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easca\Desktop\"/>
    </mc:Choice>
  </mc:AlternateContent>
  <bookViews>
    <workbookView xWindow="0" yWindow="0" windowWidth="20490" windowHeight="7755" activeTab="2"/>
  </bookViews>
  <sheets>
    <sheet name="0_Overview" sheetId="1" r:id="rId1"/>
    <sheet name="1_Raw_Data" sheetId="2" r:id="rId2"/>
    <sheet name="2_Clean_Data" sheetId="3" r:id="rId3"/>
    <sheet name="3_Pivot" sheetId="4" r:id="rId4"/>
    <sheet name="4_Charts" sheetId="5" r:id="rId5"/>
  </sheets>
  <definedNames>
    <definedName name="_xlnm._FilterDatabase" localSheetId="1" hidden="1">'1_Raw_Data'!$A$1:$M$2501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4" l="1"/>
  <c r="H10" i="4"/>
  <c r="K9" i="4"/>
  <c r="H9" i="4"/>
  <c r="E9" i="4"/>
  <c r="K8" i="4"/>
  <c r="H8" i="4"/>
  <c r="E8" i="4"/>
  <c r="K7" i="4"/>
  <c r="H7" i="4"/>
  <c r="E7" i="4"/>
  <c r="K6" i="4"/>
  <c r="H6" i="4"/>
  <c r="E6" i="4"/>
  <c r="K5" i="4"/>
  <c r="H5" i="4"/>
  <c r="E5" i="4"/>
  <c r="R2501" i="3"/>
  <c r="Q2501" i="3"/>
  <c r="P2501" i="3"/>
  <c r="O2501" i="3"/>
  <c r="G2501" i="3"/>
  <c r="R2500" i="3"/>
  <c r="Q2500" i="3"/>
  <c r="P2500" i="3"/>
  <c r="O2500" i="3"/>
  <c r="G2500" i="3"/>
  <c r="R2499" i="3"/>
  <c r="Q2499" i="3"/>
  <c r="P2499" i="3"/>
  <c r="O2499" i="3"/>
  <c r="G2499" i="3"/>
  <c r="R2498" i="3"/>
  <c r="Q2498" i="3"/>
  <c r="P2498" i="3"/>
  <c r="O2498" i="3"/>
  <c r="G2498" i="3"/>
  <c r="R2497" i="3"/>
  <c r="Q2497" i="3"/>
  <c r="P2497" i="3"/>
  <c r="O2497" i="3"/>
  <c r="G2497" i="3"/>
  <c r="R2496" i="3"/>
  <c r="Q2496" i="3"/>
  <c r="P2496" i="3"/>
  <c r="O2496" i="3"/>
  <c r="G2496" i="3"/>
  <c r="R2495" i="3"/>
  <c r="Q2495" i="3"/>
  <c r="P2495" i="3"/>
  <c r="O2495" i="3"/>
  <c r="G2495" i="3"/>
  <c r="R2494" i="3"/>
  <c r="Q2494" i="3"/>
  <c r="P2494" i="3"/>
  <c r="O2494" i="3"/>
  <c r="G2494" i="3"/>
  <c r="R2493" i="3"/>
  <c r="Q2493" i="3"/>
  <c r="P2493" i="3"/>
  <c r="O2493" i="3"/>
  <c r="G2493" i="3"/>
  <c r="R2492" i="3"/>
  <c r="Q2492" i="3"/>
  <c r="P2492" i="3"/>
  <c r="O2492" i="3"/>
  <c r="G2492" i="3"/>
  <c r="R2491" i="3"/>
  <c r="Q2491" i="3"/>
  <c r="P2491" i="3"/>
  <c r="O2491" i="3"/>
  <c r="G2491" i="3"/>
  <c r="R2490" i="3"/>
  <c r="Q2490" i="3"/>
  <c r="P2490" i="3"/>
  <c r="O2490" i="3"/>
  <c r="G2490" i="3"/>
  <c r="R2489" i="3"/>
  <c r="Q2489" i="3"/>
  <c r="P2489" i="3"/>
  <c r="O2489" i="3"/>
  <c r="G2489" i="3"/>
  <c r="R2488" i="3"/>
  <c r="Q2488" i="3"/>
  <c r="P2488" i="3"/>
  <c r="O2488" i="3"/>
  <c r="G2488" i="3"/>
  <c r="R2487" i="3"/>
  <c r="Q2487" i="3"/>
  <c r="P2487" i="3"/>
  <c r="O2487" i="3"/>
  <c r="G2487" i="3"/>
  <c r="R2486" i="3"/>
  <c r="Q2486" i="3"/>
  <c r="P2486" i="3"/>
  <c r="O2486" i="3"/>
  <c r="G2486" i="3"/>
  <c r="R2485" i="3"/>
  <c r="Q2485" i="3"/>
  <c r="P2485" i="3"/>
  <c r="O2485" i="3"/>
  <c r="G2485" i="3"/>
  <c r="R2484" i="3"/>
  <c r="Q2484" i="3"/>
  <c r="P2484" i="3"/>
  <c r="O2484" i="3"/>
  <c r="G2484" i="3"/>
  <c r="R2483" i="3"/>
  <c r="Q2483" i="3"/>
  <c r="P2483" i="3"/>
  <c r="O2483" i="3"/>
  <c r="G2483" i="3"/>
  <c r="R2482" i="3"/>
  <c r="Q2482" i="3"/>
  <c r="P2482" i="3"/>
  <c r="O2482" i="3"/>
  <c r="G2482" i="3"/>
  <c r="R2481" i="3"/>
  <c r="Q2481" i="3"/>
  <c r="P2481" i="3"/>
  <c r="O2481" i="3"/>
  <c r="G2481" i="3"/>
  <c r="R2480" i="3"/>
  <c r="Q2480" i="3"/>
  <c r="P2480" i="3"/>
  <c r="O2480" i="3"/>
  <c r="G2480" i="3"/>
  <c r="R2479" i="3"/>
  <c r="Q2479" i="3"/>
  <c r="P2479" i="3"/>
  <c r="O2479" i="3"/>
  <c r="G2479" i="3"/>
  <c r="R2478" i="3"/>
  <c r="Q2478" i="3"/>
  <c r="P2478" i="3"/>
  <c r="O2478" i="3"/>
  <c r="G2478" i="3"/>
  <c r="R2477" i="3"/>
  <c r="Q2477" i="3"/>
  <c r="P2477" i="3"/>
  <c r="O2477" i="3"/>
  <c r="G2477" i="3"/>
  <c r="R2476" i="3"/>
  <c r="Q2476" i="3"/>
  <c r="P2476" i="3"/>
  <c r="O2476" i="3"/>
  <c r="G2476" i="3"/>
  <c r="R2475" i="3"/>
  <c r="Q2475" i="3"/>
  <c r="P2475" i="3"/>
  <c r="O2475" i="3"/>
  <c r="G2475" i="3"/>
  <c r="R2474" i="3"/>
  <c r="Q2474" i="3"/>
  <c r="P2474" i="3"/>
  <c r="O2474" i="3"/>
  <c r="G2474" i="3"/>
  <c r="R2473" i="3"/>
  <c r="Q2473" i="3"/>
  <c r="P2473" i="3"/>
  <c r="O2473" i="3"/>
  <c r="G2473" i="3"/>
  <c r="R2472" i="3"/>
  <c r="Q2472" i="3"/>
  <c r="P2472" i="3"/>
  <c r="O2472" i="3"/>
  <c r="G2472" i="3"/>
  <c r="R2471" i="3"/>
  <c r="Q2471" i="3"/>
  <c r="P2471" i="3"/>
  <c r="O2471" i="3"/>
  <c r="G2471" i="3"/>
  <c r="R2470" i="3"/>
  <c r="Q2470" i="3"/>
  <c r="P2470" i="3"/>
  <c r="O2470" i="3"/>
  <c r="G2470" i="3"/>
  <c r="R2469" i="3"/>
  <c r="Q2469" i="3"/>
  <c r="P2469" i="3"/>
  <c r="O2469" i="3"/>
  <c r="G2469" i="3"/>
  <c r="R2468" i="3"/>
  <c r="Q2468" i="3"/>
  <c r="P2468" i="3"/>
  <c r="O2468" i="3"/>
  <c r="G2468" i="3"/>
  <c r="R2467" i="3"/>
  <c r="Q2467" i="3"/>
  <c r="P2467" i="3"/>
  <c r="O2467" i="3"/>
  <c r="G2467" i="3"/>
  <c r="R2466" i="3"/>
  <c r="Q2466" i="3"/>
  <c r="P2466" i="3"/>
  <c r="O2466" i="3"/>
  <c r="G2466" i="3"/>
  <c r="R2465" i="3"/>
  <c r="Q2465" i="3"/>
  <c r="P2465" i="3"/>
  <c r="O2465" i="3"/>
  <c r="G2465" i="3"/>
  <c r="R2464" i="3"/>
  <c r="Q2464" i="3"/>
  <c r="P2464" i="3"/>
  <c r="O2464" i="3"/>
  <c r="G2464" i="3"/>
  <c r="R2463" i="3"/>
  <c r="Q2463" i="3"/>
  <c r="P2463" i="3"/>
  <c r="O2463" i="3"/>
  <c r="G2463" i="3"/>
  <c r="R2462" i="3"/>
  <c r="Q2462" i="3"/>
  <c r="P2462" i="3"/>
  <c r="O2462" i="3"/>
  <c r="G2462" i="3"/>
  <c r="R2461" i="3"/>
  <c r="Q2461" i="3"/>
  <c r="P2461" i="3"/>
  <c r="O2461" i="3"/>
  <c r="G2461" i="3"/>
  <c r="R2460" i="3"/>
  <c r="Q2460" i="3"/>
  <c r="P2460" i="3"/>
  <c r="O2460" i="3"/>
  <c r="G2460" i="3"/>
  <c r="R2459" i="3"/>
  <c r="Q2459" i="3"/>
  <c r="P2459" i="3"/>
  <c r="O2459" i="3"/>
  <c r="G2459" i="3"/>
  <c r="R2458" i="3"/>
  <c r="Q2458" i="3"/>
  <c r="P2458" i="3"/>
  <c r="O2458" i="3"/>
  <c r="G2458" i="3"/>
  <c r="R2457" i="3"/>
  <c r="Q2457" i="3"/>
  <c r="P2457" i="3"/>
  <c r="O2457" i="3"/>
  <c r="G2457" i="3"/>
  <c r="R2456" i="3"/>
  <c r="Q2456" i="3"/>
  <c r="P2456" i="3"/>
  <c r="O2456" i="3"/>
  <c r="G2456" i="3"/>
  <c r="R2455" i="3"/>
  <c r="Q2455" i="3"/>
  <c r="P2455" i="3"/>
  <c r="O2455" i="3"/>
  <c r="G2455" i="3"/>
  <c r="R2454" i="3"/>
  <c r="Q2454" i="3"/>
  <c r="P2454" i="3"/>
  <c r="O2454" i="3"/>
  <c r="G2454" i="3"/>
  <c r="R2453" i="3"/>
  <c r="Q2453" i="3"/>
  <c r="P2453" i="3"/>
  <c r="O2453" i="3"/>
  <c r="G2453" i="3"/>
  <c r="R2452" i="3"/>
  <c r="Q2452" i="3"/>
  <c r="P2452" i="3"/>
  <c r="O2452" i="3"/>
  <c r="G2452" i="3"/>
  <c r="R2451" i="3"/>
  <c r="Q2451" i="3"/>
  <c r="P2451" i="3"/>
  <c r="O2451" i="3"/>
  <c r="G2451" i="3"/>
  <c r="R2450" i="3"/>
  <c r="Q2450" i="3"/>
  <c r="P2450" i="3"/>
  <c r="O2450" i="3"/>
  <c r="G2450" i="3"/>
  <c r="R2449" i="3"/>
  <c r="Q2449" i="3"/>
  <c r="P2449" i="3"/>
  <c r="O2449" i="3"/>
  <c r="G2449" i="3"/>
  <c r="R2448" i="3"/>
  <c r="Q2448" i="3"/>
  <c r="P2448" i="3"/>
  <c r="O2448" i="3"/>
  <c r="G2448" i="3"/>
  <c r="R2447" i="3"/>
  <c r="Q2447" i="3"/>
  <c r="P2447" i="3"/>
  <c r="O2447" i="3"/>
  <c r="G2447" i="3"/>
  <c r="R2446" i="3"/>
  <c r="Q2446" i="3"/>
  <c r="P2446" i="3"/>
  <c r="O2446" i="3"/>
  <c r="G2446" i="3"/>
  <c r="R2445" i="3"/>
  <c r="Q2445" i="3"/>
  <c r="P2445" i="3"/>
  <c r="O2445" i="3"/>
  <c r="G2445" i="3"/>
  <c r="R2444" i="3"/>
  <c r="Q2444" i="3"/>
  <c r="P2444" i="3"/>
  <c r="O2444" i="3"/>
  <c r="G2444" i="3"/>
  <c r="R2443" i="3"/>
  <c r="Q2443" i="3"/>
  <c r="P2443" i="3"/>
  <c r="O2443" i="3"/>
  <c r="G2443" i="3"/>
  <c r="R2442" i="3"/>
  <c r="Q2442" i="3"/>
  <c r="P2442" i="3"/>
  <c r="O2442" i="3"/>
  <c r="G2442" i="3"/>
  <c r="R2441" i="3"/>
  <c r="Q2441" i="3"/>
  <c r="P2441" i="3"/>
  <c r="O2441" i="3"/>
  <c r="G2441" i="3"/>
  <c r="R2440" i="3"/>
  <c r="Q2440" i="3"/>
  <c r="P2440" i="3"/>
  <c r="O2440" i="3"/>
  <c r="G2440" i="3"/>
  <c r="R2439" i="3"/>
  <c r="Q2439" i="3"/>
  <c r="P2439" i="3"/>
  <c r="O2439" i="3"/>
  <c r="G2439" i="3"/>
  <c r="R2438" i="3"/>
  <c r="Q2438" i="3"/>
  <c r="P2438" i="3"/>
  <c r="O2438" i="3"/>
  <c r="G2438" i="3"/>
  <c r="R2437" i="3"/>
  <c r="Q2437" i="3"/>
  <c r="P2437" i="3"/>
  <c r="O2437" i="3"/>
  <c r="G2437" i="3"/>
  <c r="R2436" i="3"/>
  <c r="Q2436" i="3"/>
  <c r="P2436" i="3"/>
  <c r="O2436" i="3"/>
  <c r="G2436" i="3"/>
  <c r="R2435" i="3"/>
  <c r="Q2435" i="3"/>
  <c r="P2435" i="3"/>
  <c r="O2435" i="3"/>
  <c r="G2435" i="3"/>
  <c r="R2434" i="3"/>
  <c r="Q2434" i="3"/>
  <c r="P2434" i="3"/>
  <c r="O2434" i="3"/>
  <c r="G2434" i="3"/>
  <c r="R2433" i="3"/>
  <c r="Q2433" i="3"/>
  <c r="P2433" i="3"/>
  <c r="O2433" i="3"/>
  <c r="G2433" i="3"/>
  <c r="R2432" i="3"/>
  <c r="Q2432" i="3"/>
  <c r="P2432" i="3"/>
  <c r="O2432" i="3"/>
  <c r="G2432" i="3"/>
  <c r="R2431" i="3"/>
  <c r="Q2431" i="3"/>
  <c r="P2431" i="3"/>
  <c r="O2431" i="3"/>
  <c r="G2431" i="3"/>
  <c r="R2430" i="3"/>
  <c r="Q2430" i="3"/>
  <c r="P2430" i="3"/>
  <c r="O2430" i="3"/>
  <c r="G2430" i="3"/>
  <c r="R2429" i="3"/>
  <c r="Q2429" i="3"/>
  <c r="P2429" i="3"/>
  <c r="O2429" i="3"/>
  <c r="G2429" i="3"/>
  <c r="R2428" i="3"/>
  <c r="Q2428" i="3"/>
  <c r="P2428" i="3"/>
  <c r="O2428" i="3"/>
  <c r="G2428" i="3"/>
  <c r="R2427" i="3"/>
  <c r="Q2427" i="3"/>
  <c r="P2427" i="3"/>
  <c r="O2427" i="3"/>
  <c r="G2427" i="3"/>
  <c r="R2426" i="3"/>
  <c r="Q2426" i="3"/>
  <c r="P2426" i="3"/>
  <c r="O2426" i="3"/>
  <c r="G2426" i="3"/>
  <c r="R2425" i="3"/>
  <c r="Q2425" i="3"/>
  <c r="P2425" i="3"/>
  <c r="O2425" i="3"/>
  <c r="G2425" i="3"/>
  <c r="R2424" i="3"/>
  <c r="Q2424" i="3"/>
  <c r="P2424" i="3"/>
  <c r="O2424" i="3"/>
  <c r="G2424" i="3"/>
  <c r="R2423" i="3"/>
  <c r="Q2423" i="3"/>
  <c r="P2423" i="3"/>
  <c r="O2423" i="3"/>
  <c r="G2423" i="3"/>
  <c r="R2422" i="3"/>
  <c r="Q2422" i="3"/>
  <c r="P2422" i="3"/>
  <c r="O2422" i="3"/>
  <c r="G2422" i="3"/>
  <c r="R2421" i="3"/>
  <c r="Q2421" i="3"/>
  <c r="P2421" i="3"/>
  <c r="O2421" i="3"/>
  <c r="G2421" i="3"/>
  <c r="R2420" i="3"/>
  <c r="Q2420" i="3"/>
  <c r="P2420" i="3"/>
  <c r="O2420" i="3"/>
  <c r="G2420" i="3"/>
  <c r="R2419" i="3"/>
  <c r="Q2419" i="3"/>
  <c r="P2419" i="3"/>
  <c r="O2419" i="3"/>
  <c r="G2419" i="3"/>
  <c r="R2418" i="3"/>
  <c r="Q2418" i="3"/>
  <c r="P2418" i="3"/>
  <c r="O2418" i="3"/>
  <c r="G2418" i="3"/>
  <c r="R2417" i="3"/>
  <c r="Q2417" i="3"/>
  <c r="P2417" i="3"/>
  <c r="O2417" i="3"/>
  <c r="G2417" i="3"/>
  <c r="R2416" i="3"/>
  <c r="Q2416" i="3"/>
  <c r="P2416" i="3"/>
  <c r="O2416" i="3"/>
  <c r="G2416" i="3"/>
  <c r="R2415" i="3"/>
  <c r="Q2415" i="3"/>
  <c r="P2415" i="3"/>
  <c r="O2415" i="3"/>
  <c r="G2415" i="3"/>
  <c r="R2414" i="3"/>
  <c r="Q2414" i="3"/>
  <c r="P2414" i="3"/>
  <c r="O2414" i="3"/>
  <c r="G2414" i="3"/>
  <c r="R2413" i="3"/>
  <c r="Q2413" i="3"/>
  <c r="P2413" i="3"/>
  <c r="O2413" i="3"/>
  <c r="G2413" i="3"/>
  <c r="R2412" i="3"/>
  <c r="Q2412" i="3"/>
  <c r="P2412" i="3"/>
  <c r="O2412" i="3"/>
  <c r="G2412" i="3"/>
  <c r="R2411" i="3"/>
  <c r="Q2411" i="3"/>
  <c r="P2411" i="3"/>
  <c r="O2411" i="3"/>
  <c r="G2411" i="3"/>
  <c r="R2410" i="3"/>
  <c r="Q2410" i="3"/>
  <c r="P2410" i="3"/>
  <c r="O2410" i="3"/>
  <c r="G2410" i="3"/>
  <c r="R2409" i="3"/>
  <c r="Q2409" i="3"/>
  <c r="P2409" i="3"/>
  <c r="O2409" i="3"/>
  <c r="G2409" i="3"/>
  <c r="R2408" i="3"/>
  <c r="Q2408" i="3"/>
  <c r="P2408" i="3"/>
  <c r="O2408" i="3"/>
  <c r="G2408" i="3"/>
  <c r="R2407" i="3"/>
  <c r="Q2407" i="3"/>
  <c r="P2407" i="3"/>
  <c r="O2407" i="3"/>
  <c r="G2407" i="3"/>
  <c r="R2406" i="3"/>
  <c r="Q2406" i="3"/>
  <c r="P2406" i="3"/>
  <c r="O2406" i="3"/>
  <c r="G2406" i="3"/>
  <c r="R2405" i="3"/>
  <c r="Q2405" i="3"/>
  <c r="P2405" i="3"/>
  <c r="O2405" i="3"/>
  <c r="G2405" i="3"/>
  <c r="R2404" i="3"/>
  <c r="Q2404" i="3"/>
  <c r="P2404" i="3"/>
  <c r="O2404" i="3"/>
  <c r="G2404" i="3"/>
  <c r="R2403" i="3"/>
  <c r="Q2403" i="3"/>
  <c r="P2403" i="3"/>
  <c r="O2403" i="3"/>
  <c r="G2403" i="3"/>
  <c r="R2402" i="3"/>
  <c r="Q2402" i="3"/>
  <c r="P2402" i="3"/>
  <c r="O2402" i="3"/>
  <c r="G2402" i="3"/>
  <c r="R2401" i="3"/>
  <c r="Q2401" i="3"/>
  <c r="P2401" i="3"/>
  <c r="O2401" i="3"/>
  <c r="G2401" i="3"/>
  <c r="R2400" i="3"/>
  <c r="Q2400" i="3"/>
  <c r="P2400" i="3"/>
  <c r="O2400" i="3"/>
  <c r="G2400" i="3"/>
  <c r="R2399" i="3"/>
  <c r="Q2399" i="3"/>
  <c r="P2399" i="3"/>
  <c r="O2399" i="3"/>
  <c r="G2399" i="3"/>
  <c r="R2398" i="3"/>
  <c r="Q2398" i="3"/>
  <c r="P2398" i="3"/>
  <c r="O2398" i="3"/>
  <c r="G2398" i="3"/>
  <c r="R2397" i="3"/>
  <c r="Q2397" i="3"/>
  <c r="P2397" i="3"/>
  <c r="O2397" i="3"/>
  <c r="G2397" i="3"/>
  <c r="R2396" i="3"/>
  <c r="Q2396" i="3"/>
  <c r="P2396" i="3"/>
  <c r="O2396" i="3"/>
  <c r="G2396" i="3"/>
  <c r="R2395" i="3"/>
  <c r="Q2395" i="3"/>
  <c r="P2395" i="3"/>
  <c r="O2395" i="3"/>
  <c r="G2395" i="3"/>
  <c r="R2394" i="3"/>
  <c r="Q2394" i="3"/>
  <c r="P2394" i="3"/>
  <c r="O2394" i="3"/>
  <c r="G2394" i="3"/>
  <c r="R2393" i="3"/>
  <c r="Q2393" i="3"/>
  <c r="P2393" i="3"/>
  <c r="O2393" i="3"/>
  <c r="G2393" i="3"/>
  <c r="R2392" i="3"/>
  <c r="Q2392" i="3"/>
  <c r="P2392" i="3"/>
  <c r="O2392" i="3"/>
  <c r="G2392" i="3"/>
  <c r="R2391" i="3"/>
  <c r="Q2391" i="3"/>
  <c r="P2391" i="3"/>
  <c r="O2391" i="3"/>
  <c r="G2391" i="3"/>
  <c r="R2390" i="3"/>
  <c r="Q2390" i="3"/>
  <c r="P2390" i="3"/>
  <c r="O2390" i="3"/>
  <c r="G2390" i="3"/>
  <c r="R2389" i="3"/>
  <c r="Q2389" i="3"/>
  <c r="P2389" i="3"/>
  <c r="O2389" i="3"/>
  <c r="G2389" i="3"/>
  <c r="R2388" i="3"/>
  <c r="Q2388" i="3"/>
  <c r="P2388" i="3"/>
  <c r="O2388" i="3"/>
  <c r="G2388" i="3"/>
  <c r="R2387" i="3"/>
  <c r="Q2387" i="3"/>
  <c r="P2387" i="3"/>
  <c r="O2387" i="3"/>
  <c r="G2387" i="3"/>
  <c r="R2386" i="3"/>
  <c r="Q2386" i="3"/>
  <c r="P2386" i="3"/>
  <c r="O2386" i="3"/>
  <c r="G2386" i="3"/>
  <c r="R2385" i="3"/>
  <c r="Q2385" i="3"/>
  <c r="P2385" i="3"/>
  <c r="O2385" i="3"/>
  <c r="G2385" i="3"/>
  <c r="R2384" i="3"/>
  <c r="Q2384" i="3"/>
  <c r="P2384" i="3"/>
  <c r="O2384" i="3"/>
  <c r="G2384" i="3"/>
  <c r="R2383" i="3"/>
  <c r="Q2383" i="3"/>
  <c r="P2383" i="3"/>
  <c r="O2383" i="3"/>
  <c r="G2383" i="3"/>
  <c r="R2382" i="3"/>
  <c r="Q2382" i="3"/>
  <c r="P2382" i="3"/>
  <c r="O2382" i="3"/>
  <c r="G2382" i="3"/>
  <c r="R2381" i="3"/>
  <c r="Q2381" i="3"/>
  <c r="P2381" i="3"/>
  <c r="O2381" i="3"/>
  <c r="G2381" i="3"/>
  <c r="R2380" i="3"/>
  <c r="Q2380" i="3"/>
  <c r="P2380" i="3"/>
  <c r="O2380" i="3"/>
  <c r="G2380" i="3"/>
  <c r="R2379" i="3"/>
  <c r="Q2379" i="3"/>
  <c r="P2379" i="3"/>
  <c r="O2379" i="3"/>
  <c r="G2379" i="3"/>
  <c r="R2378" i="3"/>
  <c r="Q2378" i="3"/>
  <c r="P2378" i="3"/>
  <c r="O2378" i="3"/>
  <c r="G2378" i="3"/>
  <c r="R2377" i="3"/>
  <c r="Q2377" i="3"/>
  <c r="P2377" i="3"/>
  <c r="O2377" i="3"/>
  <c r="G2377" i="3"/>
  <c r="R2376" i="3"/>
  <c r="Q2376" i="3"/>
  <c r="P2376" i="3"/>
  <c r="O2376" i="3"/>
  <c r="G2376" i="3"/>
  <c r="R2375" i="3"/>
  <c r="Q2375" i="3"/>
  <c r="P2375" i="3"/>
  <c r="O2375" i="3"/>
  <c r="G2375" i="3"/>
  <c r="R2374" i="3"/>
  <c r="Q2374" i="3"/>
  <c r="P2374" i="3"/>
  <c r="O2374" i="3"/>
  <c r="G2374" i="3"/>
  <c r="R2373" i="3"/>
  <c r="Q2373" i="3"/>
  <c r="P2373" i="3"/>
  <c r="O2373" i="3"/>
  <c r="G2373" i="3"/>
  <c r="R2372" i="3"/>
  <c r="Q2372" i="3"/>
  <c r="P2372" i="3"/>
  <c r="O2372" i="3"/>
  <c r="G2372" i="3"/>
  <c r="R2371" i="3"/>
  <c r="Q2371" i="3"/>
  <c r="P2371" i="3"/>
  <c r="O2371" i="3"/>
  <c r="G2371" i="3"/>
  <c r="R2370" i="3"/>
  <c r="Q2370" i="3"/>
  <c r="P2370" i="3"/>
  <c r="O2370" i="3"/>
  <c r="G2370" i="3"/>
  <c r="R2369" i="3"/>
  <c r="Q2369" i="3"/>
  <c r="P2369" i="3"/>
  <c r="O2369" i="3"/>
  <c r="G2369" i="3"/>
  <c r="R2368" i="3"/>
  <c r="Q2368" i="3"/>
  <c r="P2368" i="3"/>
  <c r="O2368" i="3"/>
  <c r="G2368" i="3"/>
  <c r="R2367" i="3"/>
  <c r="Q2367" i="3"/>
  <c r="P2367" i="3"/>
  <c r="O2367" i="3"/>
  <c r="G2367" i="3"/>
  <c r="R2366" i="3"/>
  <c r="Q2366" i="3"/>
  <c r="P2366" i="3"/>
  <c r="O2366" i="3"/>
  <c r="G2366" i="3"/>
  <c r="R2365" i="3"/>
  <c r="Q2365" i="3"/>
  <c r="P2365" i="3"/>
  <c r="O2365" i="3"/>
  <c r="G2365" i="3"/>
  <c r="R2364" i="3"/>
  <c r="Q2364" i="3"/>
  <c r="P2364" i="3"/>
  <c r="O2364" i="3"/>
  <c r="G2364" i="3"/>
  <c r="R2363" i="3"/>
  <c r="Q2363" i="3"/>
  <c r="P2363" i="3"/>
  <c r="O2363" i="3"/>
  <c r="G2363" i="3"/>
  <c r="R2362" i="3"/>
  <c r="Q2362" i="3"/>
  <c r="P2362" i="3"/>
  <c r="O2362" i="3"/>
  <c r="G2362" i="3"/>
  <c r="R2361" i="3"/>
  <c r="Q2361" i="3"/>
  <c r="P2361" i="3"/>
  <c r="O2361" i="3"/>
  <c r="G2361" i="3"/>
  <c r="R2360" i="3"/>
  <c r="Q2360" i="3"/>
  <c r="P2360" i="3"/>
  <c r="O2360" i="3"/>
  <c r="G2360" i="3"/>
  <c r="R2359" i="3"/>
  <c r="Q2359" i="3"/>
  <c r="P2359" i="3"/>
  <c r="O2359" i="3"/>
  <c r="G2359" i="3"/>
  <c r="R2358" i="3"/>
  <c r="Q2358" i="3"/>
  <c r="P2358" i="3"/>
  <c r="O2358" i="3"/>
  <c r="G2358" i="3"/>
  <c r="R2357" i="3"/>
  <c r="Q2357" i="3"/>
  <c r="P2357" i="3"/>
  <c r="O2357" i="3"/>
  <c r="G2357" i="3"/>
  <c r="R2356" i="3"/>
  <c r="Q2356" i="3"/>
  <c r="P2356" i="3"/>
  <c r="O2356" i="3"/>
  <c r="G2356" i="3"/>
  <c r="R2355" i="3"/>
  <c r="Q2355" i="3"/>
  <c r="P2355" i="3"/>
  <c r="O2355" i="3"/>
  <c r="G2355" i="3"/>
  <c r="R2354" i="3"/>
  <c r="Q2354" i="3"/>
  <c r="P2354" i="3"/>
  <c r="O2354" i="3"/>
  <c r="G2354" i="3"/>
  <c r="R2353" i="3"/>
  <c r="Q2353" i="3"/>
  <c r="P2353" i="3"/>
  <c r="O2353" i="3"/>
  <c r="G2353" i="3"/>
  <c r="R2352" i="3"/>
  <c r="Q2352" i="3"/>
  <c r="P2352" i="3"/>
  <c r="O2352" i="3"/>
  <c r="G2352" i="3"/>
  <c r="R2351" i="3"/>
  <c r="Q2351" i="3"/>
  <c r="P2351" i="3"/>
  <c r="O2351" i="3"/>
  <c r="G2351" i="3"/>
  <c r="R2350" i="3"/>
  <c r="Q2350" i="3"/>
  <c r="P2350" i="3"/>
  <c r="O2350" i="3"/>
  <c r="G2350" i="3"/>
  <c r="R2349" i="3"/>
  <c r="Q2349" i="3"/>
  <c r="P2349" i="3"/>
  <c r="O2349" i="3"/>
  <c r="G2349" i="3"/>
  <c r="R2348" i="3"/>
  <c r="Q2348" i="3"/>
  <c r="P2348" i="3"/>
  <c r="O2348" i="3"/>
  <c r="G2348" i="3"/>
  <c r="R2347" i="3"/>
  <c r="Q2347" i="3"/>
  <c r="P2347" i="3"/>
  <c r="O2347" i="3"/>
  <c r="G2347" i="3"/>
  <c r="R2346" i="3"/>
  <c r="Q2346" i="3"/>
  <c r="P2346" i="3"/>
  <c r="O2346" i="3"/>
  <c r="G2346" i="3"/>
  <c r="R2345" i="3"/>
  <c r="Q2345" i="3"/>
  <c r="P2345" i="3"/>
  <c r="O2345" i="3"/>
  <c r="G2345" i="3"/>
  <c r="R2344" i="3"/>
  <c r="Q2344" i="3"/>
  <c r="P2344" i="3"/>
  <c r="O2344" i="3"/>
  <c r="G2344" i="3"/>
  <c r="R2343" i="3"/>
  <c r="Q2343" i="3"/>
  <c r="P2343" i="3"/>
  <c r="O2343" i="3"/>
  <c r="G2343" i="3"/>
  <c r="R2342" i="3"/>
  <c r="Q2342" i="3"/>
  <c r="P2342" i="3"/>
  <c r="O2342" i="3"/>
  <c r="G2342" i="3"/>
  <c r="R2341" i="3"/>
  <c r="Q2341" i="3"/>
  <c r="P2341" i="3"/>
  <c r="O2341" i="3"/>
  <c r="G2341" i="3"/>
  <c r="R2340" i="3"/>
  <c r="Q2340" i="3"/>
  <c r="P2340" i="3"/>
  <c r="O2340" i="3"/>
  <c r="G2340" i="3"/>
  <c r="R2339" i="3"/>
  <c r="Q2339" i="3"/>
  <c r="P2339" i="3"/>
  <c r="O2339" i="3"/>
  <c r="G2339" i="3"/>
  <c r="R2338" i="3"/>
  <c r="Q2338" i="3"/>
  <c r="P2338" i="3"/>
  <c r="O2338" i="3"/>
  <c r="G2338" i="3"/>
  <c r="R2337" i="3"/>
  <c r="Q2337" i="3"/>
  <c r="P2337" i="3"/>
  <c r="O2337" i="3"/>
  <c r="G2337" i="3"/>
  <c r="R2336" i="3"/>
  <c r="Q2336" i="3"/>
  <c r="P2336" i="3"/>
  <c r="O2336" i="3"/>
  <c r="G2336" i="3"/>
  <c r="R2335" i="3"/>
  <c r="Q2335" i="3"/>
  <c r="P2335" i="3"/>
  <c r="O2335" i="3"/>
  <c r="G2335" i="3"/>
  <c r="R2334" i="3"/>
  <c r="Q2334" i="3"/>
  <c r="P2334" i="3"/>
  <c r="O2334" i="3"/>
  <c r="G2334" i="3"/>
  <c r="R2333" i="3"/>
  <c r="Q2333" i="3"/>
  <c r="P2333" i="3"/>
  <c r="O2333" i="3"/>
  <c r="G2333" i="3"/>
  <c r="R2332" i="3"/>
  <c r="Q2332" i="3"/>
  <c r="P2332" i="3"/>
  <c r="O2332" i="3"/>
  <c r="G2332" i="3"/>
  <c r="R2331" i="3"/>
  <c r="Q2331" i="3"/>
  <c r="P2331" i="3"/>
  <c r="O2331" i="3"/>
  <c r="G2331" i="3"/>
  <c r="R2330" i="3"/>
  <c r="Q2330" i="3"/>
  <c r="P2330" i="3"/>
  <c r="O2330" i="3"/>
  <c r="G2330" i="3"/>
  <c r="R2329" i="3"/>
  <c r="Q2329" i="3"/>
  <c r="P2329" i="3"/>
  <c r="O2329" i="3"/>
  <c r="G2329" i="3"/>
  <c r="R2328" i="3"/>
  <c r="Q2328" i="3"/>
  <c r="P2328" i="3"/>
  <c r="O2328" i="3"/>
  <c r="G2328" i="3"/>
  <c r="R2327" i="3"/>
  <c r="Q2327" i="3"/>
  <c r="P2327" i="3"/>
  <c r="O2327" i="3"/>
  <c r="G2327" i="3"/>
  <c r="R2326" i="3"/>
  <c r="Q2326" i="3"/>
  <c r="P2326" i="3"/>
  <c r="O2326" i="3"/>
  <c r="G2326" i="3"/>
  <c r="R2325" i="3"/>
  <c r="Q2325" i="3"/>
  <c r="P2325" i="3"/>
  <c r="O2325" i="3"/>
  <c r="G2325" i="3"/>
  <c r="R2324" i="3"/>
  <c r="Q2324" i="3"/>
  <c r="P2324" i="3"/>
  <c r="O2324" i="3"/>
  <c r="G2324" i="3"/>
  <c r="R2323" i="3"/>
  <c r="Q2323" i="3"/>
  <c r="P2323" i="3"/>
  <c r="O2323" i="3"/>
  <c r="G2323" i="3"/>
  <c r="R2322" i="3"/>
  <c r="Q2322" i="3"/>
  <c r="P2322" i="3"/>
  <c r="O2322" i="3"/>
  <c r="G2322" i="3"/>
  <c r="R2321" i="3"/>
  <c r="Q2321" i="3"/>
  <c r="P2321" i="3"/>
  <c r="O2321" i="3"/>
  <c r="G2321" i="3"/>
  <c r="R2320" i="3"/>
  <c r="Q2320" i="3"/>
  <c r="P2320" i="3"/>
  <c r="O2320" i="3"/>
  <c r="G2320" i="3"/>
  <c r="R2319" i="3"/>
  <c r="Q2319" i="3"/>
  <c r="P2319" i="3"/>
  <c r="O2319" i="3"/>
  <c r="G2319" i="3"/>
  <c r="R2318" i="3"/>
  <c r="Q2318" i="3"/>
  <c r="P2318" i="3"/>
  <c r="O2318" i="3"/>
  <c r="G2318" i="3"/>
  <c r="R2317" i="3"/>
  <c r="Q2317" i="3"/>
  <c r="P2317" i="3"/>
  <c r="O2317" i="3"/>
  <c r="G2317" i="3"/>
  <c r="R2316" i="3"/>
  <c r="Q2316" i="3"/>
  <c r="P2316" i="3"/>
  <c r="O2316" i="3"/>
  <c r="G2316" i="3"/>
  <c r="R2315" i="3"/>
  <c r="Q2315" i="3"/>
  <c r="P2315" i="3"/>
  <c r="O2315" i="3"/>
  <c r="G2315" i="3"/>
  <c r="R2314" i="3"/>
  <c r="Q2314" i="3"/>
  <c r="P2314" i="3"/>
  <c r="O2314" i="3"/>
  <c r="G2314" i="3"/>
  <c r="R2313" i="3"/>
  <c r="Q2313" i="3"/>
  <c r="P2313" i="3"/>
  <c r="O2313" i="3"/>
  <c r="G2313" i="3"/>
  <c r="R2312" i="3"/>
  <c r="Q2312" i="3"/>
  <c r="P2312" i="3"/>
  <c r="O2312" i="3"/>
  <c r="G2312" i="3"/>
  <c r="R2311" i="3"/>
  <c r="Q2311" i="3"/>
  <c r="P2311" i="3"/>
  <c r="O2311" i="3"/>
  <c r="G2311" i="3"/>
  <c r="R2310" i="3"/>
  <c r="Q2310" i="3"/>
  <c r="P2310" i="3"/>
  <c r="O2310" i="3"/>
  <c r="G2310" i="3"/>
  <c r="R2309" i="3"/>
  <c r="Q2309" i="3"/>
  <c r="P2309" i="3"/>
  <c r="O2309" i="3"/>
  <c r="G2309" i="3"/>
  <c r="R2308" i="3"/>
  <c r="Q2308" i="3"/>
  <c r="P2308" i="3"/>
  <c r="O2308" i="3"/>
  <c r="G2308" i="3"/>
  <c r="R2307" i="3"/>
  <c r="Q2307" i="3"/>
  <c r="P2307" i="3"/>
  <c r="O2307" i="3"/>
  <c r="G2307" i="3"/>
  <c r="R2306" i="3"/>
  <c r="Q2306" i="3"/>
  <c r="P2306" i="3"/>
  <c r="O2306" i="3"/>
  <c r="G2306" i="3"/>
  <c r="R2305" i="3"/>
  <c r="Q2305" i="3"/>
  <c r="P2305" i="3"/>
  <c r="O2305" i="3"/>
  <c r="G2305" i="3"/>
  <c r="R2304" i="3"/>
  <c r="Q2304" i="3"/>
  <c r="P2304" i="3"/>
  <c r="O2304" i="3"/>
  <c r="G2304" i="3"/>
  <c r="R2303" i="3"/>
  <c r="Q2303" i="3"/>
  <c r="P2303" i="3"/>
  <c r="O2303" i="3"/>
  <c r="G2303" i="3"/>
  <c r="R2302" i="3"/>
  <c r="Q2302" i="3"/>
  <c r="P2302" i="3"/>
  <c r="O2302" i="3"/>
  <c r="G2302" i="3"/>
  <c r="R2301" i="3"/>
  <c r="Q2301" i="3"/>
  <c r="P2301" i="3"/>
  <c r="O2301" i="3"/>
  <c r="G2301" i="3"/>
  <c r="R2300" i="3"/>
  <c r="Q2300" i="3"/>
  <c r="P2300" i="3"/>
  <c r="O2300" i="3"/>
  <c r="G2300" i="3"/>
  <c r="R2299" i="3"/>
  <c r="Q2299" i="3"/>
  <c r="P2299" i="3"/>
  <c r="O2299" i="3"/>
  <c r="G2299" i="3"/>
  <c r="R2298" i="3"/>
  <c r="Q2298" i="3"/>
  <c r="P2298" i="3"/>
  <c r="O2298" i="3"/>
  <c r="G2298" i="3"/>
  <c r="R2297" i="3"/>
  <c r="Q2297" i="3"/>
  <c r="P2297" i="3"/>
  <c r="O2297" i="3"/>
  <c r="G2297" i="3"/>
  <c r="R2296" i="3"/>
  <c r="Q2296" i="3"/>
  <c r="P2296" i="3"/>
  <c r="O2296" i="3"/>
  <c r="G2296" i="3"/>
  <c r="R2295" i="3"/>
  <c r="Q2295" i="3"/>
  <c r="P2295" i="3"/>
  <c r="O2295" i="3"/>
  <c r="G2295" i="3"/>
  <c r="R2294" i="3"/>
  <c r="Q2294" i="3"/>
  <c r="P2294" i="3"/>
  <c r="O2294" i="3"/>
  <c r="G2294" i="3"/>
  <c r="R2293" i="3"/>
  <c r="Q2293" i="3"/>
  <c r="P2293" i="3"/>
  <c r="O2293" i="3"/>
  <c r="G2293" i="3"/>
  <c r="R2292" i="3"/>
  <c r="Q2292" i="3"/>
  <c r="P2292" i="3"/>
  <c r="O2292" i="3"/>
  <c r="G2292" i="3"/>
  <c r="R2291" i="3"/>
  <c r="Q2291" i="3"/>
  <c r="P2291" i="3"/>
  <c r="O2291" i="3"/>
  <c r="G2291" i="3"/>
  <c r="R2290" i="3"/>
  <c r="Q2290" i="3"/>
  <c r="P2290" i="3"/>
  <c r="O2290" i="3"/>
  <c r="G2290" i="3"/>
  <c r="R2289" i="3"/>
  <c r="Q2289" i="3"/>
  <c r="P2289" i="3"/>
  <c r="O2289" i="3"/>
  <c r="G2289" i="3"/>
  <c r="R2288" i="3"/>
  <c r="Q2288" i="3"/>
  <c r="P2288" i="3"/>
  <c r="O2288" i="3"/>
  <c r="G2288" i="3"/>
  <c r="R2287" i="3"/>
  <c r="Q2287" i="3"/>
  <c r="P2287" i="3"/>
  <c r="O2287" i="3"/>
  <c r="G2287" i="3"/>
  <c r="R2286" i="3"/>
  <c r="Q2286" i="3"/>
  <c r="P2286" i="3"/>
  <c r="O2286" i="3"/>
  <c r="G2286" i="3"/>
  <c r="R2285" i="3"/>
  <c r="Q2285" i="3"/>
  <c r="P2285" i="3"/>
  <c r="O2285" i="3"/>
  <c r="G2285" i="3"/>
  <c r="R2284" i="3"/>
  <c r="Q2284" i="3"/>
  <c r="P2284" i="3"/>
  <c r="O2284" i="3"/>
  <c r="G2284" i="3"/>
  <c r="R2283" i="3"/>
  <c r="Q2283" i="3"/>
  <c r="P2283" i="3"/>
  <c r="O2283" i="3"/>
  <c r="G2283" i="3"/>
  <c r="R2282" i="3"/>
  <c r="Q2282" i="3"/>
  <c r="P2282" i="3"/>
  <c r="O2282" i="3"/>
  <c r="G2282" i="3"/>
  <c r="R2281" i="3"/>
  <c r="Q2281" i="3"/>
  <c r="P2281" i="3"/>
  <c r="O2281" i="3"/>
  <c r="G2281" i="3"/>
  <c r="R2280" i="3"/>
  <c r="Q2280" i="3"/>
  <c r="P2280" i="3"/>
  <c r="O2280" i="3"/>
  <c r="G2280" i="3"/>
  <c r="R2279" i="3"/>
  <c r="Q2279" i="3"/>
  <c r="P2279" i="3"/>
  <c r="O2279" i="3"/>
  <c r="G2279" i="3"/>
  <c r="R2278" i="3"/>
  <c r="Q2278" i="3"/>
  <c r="P2278" i="3"/>
  <c r="O2278" i="3"/>
  <c r="G2278" i="3"/>
  <c r="R2277" i="3"/>
  <c r="Q2277" i="3"/>
  <c r="P2277" i="3"/>
  <c r="O2277" i="3"/>
  <c r="G2277" i="3"/>
  <c r="R2276" i="3"/>
  <c r="Q2276" i="3"/>
  <c r="P2276" i="3"/>
  <c r="O2276" i="3"/>
  <c r="G2276" i="3"/>
  <c r="R2275" i="3"/>
  <c r="Q2275" i="3"/>
  <c r="P2275" i="3"/>
  <c r="O2275" i="3"/>
  <c r="G2275" i="3"/>
  <c r="R2274" i="3"/>
  <c r="Q2274" i="3"/>
  <c r="P2274" i="3"/>
  <c r="O2274" i="3"/>
  <c r="G2274" i="3"/>
  <c r="R2273" i="3"/>
  <c r="Q2273" i="3"/>
  <c r="P2273" i="3"/>
  <c r="O2273" i="3"/>
  <c r="G2273" i="3"/>
  <c r="R2272" i="3"/>
  <c r="Q2272" i="3"/>
  <c r="P2272" i="3"/>
  <c r="O2272" i="3"/>
  <c r="G2272" i="3"/>
  <c r="R2271" i="3"/>
  <c r="Q2271" i="3"/>
  <c r="P2271" i="3"/>
  <c r="O2271" i="3"/>
  <c r="G2271" i="3"/>
  <c r="R2270" i="3"/>
  <c r="Q2270" i="3"/>
  <c r="P2270" i="3"/>
  <c r="O2270" i="3"/>
  <c r="G2270" i="3"/>
  <c r="R2269" i="3"/>
  <c r="Q2269" i="3"/>
  <c r="P2269" i="3"/>
  <c r="O2269" i="3"/>
  <c r="G2269" i="3"/>
  <c r="R2268" i="3"/>
  <c r="Q2268" i="3"/>
  <c r="P2268" i="3"/>
  <c r="O2268" i="3"/>
  <c r="G2268" i="3"/>
  <c r="R2267" i="3"/>
  <c r="Q2267" i="3"/>
  <c r="P2267" i="3"/>
  <c r="O2267" i="3"/>
  <c r="G2267" i="3"/>
  <c r="R2266" i="3"/>
  <c r="Q2266" i="3"/>
  <c r="P2266" i="3"/>
  <c r="O2266" i="3"/>
  <c r="G2266" i="3"/>
  <c r="R2265" i="3"/>
  <c r="Q2265" i="3"/>
  <c r="P2265" i="3"/>
  <c r="O2265" i="3"/>
  <c r="G2265" i="3"/>
  <c r="R2264" i="3"/>
  <c r="Q2264" i="3"/>
  <c r="P2264" i="3"/>
  <c r="O2264" i="3"/>
  <c r="G2264" i="3"/>
  <c r="R2263" i="3"/>
  <c r="Q2263" i="3"/>
  <c r="P2263" i="3"/>
  <c r="O2263" i="3"/>
  <c r="G2263" i="3"/>
  <c r="R2262" i="3"/>
  <c r="Q2262" i="3"/>
  <c r="P2262" i="3"/>
  <c r="O2262" i="3"/>
  <c r="G2262" i="3"/>
  <c r="R2261" i="3"/>
  <c r="Q2261" i="3"/>
  <c r="P2261" i="3"/>
  <c r="O2261" i="3"/>
  <c r="G2261" i="3"/>
  <c r="R2260" i="3"/>
  <c r="Q2260" i="3"/>
  <c r="P2260" i="3"/>
  <c r="O2260" i="3"/>
  <c r="G2260" i="3"/>
  <c r="R2259" i="3"/>
  <c r="Q2259" i="3"/>
  <c r="P2259" i="3"/>
  <c r="O2259" i="3"/>
  <c r="G2259" i="3"/>
  <c r="R2258" i="3"/>
  <c r="Q2258" i="3"/>
  <c r="P2258" i="3"/>
  <c r="O2258" i="3"/>
  <c r="G2258" i="3"/>
  <c r="R2257" i="3"/>
  <c r="Q2257" i="3"/>
  <c r="P2257" i="3"/>
  <c r="O2257" i="3"/>
  <c r="G2257" i="3"/>
  <c r="R2256" i="3"/>
  <c r="Q2256" i="3"/>
  <c r="P2256" i="3"/>
  <c r="O2256" i="3"/>
  <c r="G2256" i="3"/>
  <c r="R2255" i="3"/>
  <c r="Q2255" i="3"/>
  <c r="P2255" i="3"/>
  <c r="O2255" i="3"/>
  <c r="G2255" i="3"/>
  <c r="R2254" i="3"/>
  <c r="Q2254" i="3"/>
  <c r="P2254" i="3"/>
  <c r="O2254" i="3"/>
  <c r="G2254" i="3"/>
  <c r="R2253" i="3"/>
  <c r="Q2253" i="3"/>
  <c r="P2253" i="3"/>
  <c r="O2253" i="3"/>
  <c r="G2253" i="3"/>
  <c r="R2252" i="3"/>
  <c r="Q2252" i="3"/>
  <c r="P2252" i="3"/>
  <c r="O2252" i="3"/>
  <c r="G2252" i="3"/>
  <c r="R2251" i="3"/>
  <c r="Q2251" i="3"/>
  <c r="P2251" i="3"/>
  <c r="O2251" i="3"/>
  <c r="G2251" i="3"/>
  <c r="R2250" i="3"/>
  <c r="Q2250" i="3"/>
  <c r="P2250" i="3"/>
  <c r="O2250" i="3"/>
  <c r="G2250" i="3"/>
  <c r="R2249" i="3"/>
  <c r="Q2249" i="3"/>
  <c r="P2249" i="3"/>
  <c r="O2249" i="3"/>
  <c r="G2249" i="3"/>
  <c r="R2248" i="3"/>
  <c r="Q2248" i="3"/>
  <c r="P2248" i="3"/>
  <c r="O2248" i="3"/>
  <c r="G2248" i="3"/>
  <c r="R2247" i="3"/>
  <c r="Q2247" i="3"/>
  <c r="P2247" i="3"/>
  <c r="O2247" i="3"/>
  <c r="G2247" i="3"/>
  <c r="R2246" i="3"/>
  <c r="Q2246" i="3"/>
  <c r="P2246" i="3"/>
  <c r="O2246" i="3"/>
  <c r="G2246" i="3"/>
  <c r="R2245" i="3"/>
  <c r="Q2245" i="3"/>
  <c r="P2245" i="3"/>
  <c r="O2245" i="3"/>
  <c r="G2245" i="3"/>
  <c r="R2244" i="3"/>
  <c r="Q2244" i="3"/>
  <c r="P2244" i="3"/>
  <c r="O2244" i="3"/>
  <c r="G2244" i="3"/>
  <c r="R2243" i="3"/>
  <c r="Q2243" i="3"/>
  <c r="P2243" i="3"/>
  <c r="O2243" i="3"/>
  <c r="G2243" i="3"/>
  <c r="R2242" i="3"/>
  <c r="Q2242" i="3"/>
  <c r="P2242" i="3"/>
  <c r="O2242" i="3"/>
  <c r="G2242" i="3"/>
  <c r="R2241" i="3"/>
  <c r="Q2241" i="3"/>
  <c r="P2241" i="3"/>
  <c r="O2241" i="3"/>
  <c r="G2241" i="3"/>
  <c r="R2240" i="3"/>
  <c r="Q2240" i="3"/>
  <c r="P2240" i="3"/>
  <c r="O2240" i="3"/>
  <c r="G2240" i="3"/>
  <c r="R2239" i="3"/>
  <c r="Q2239" i="3"/>
  <c r="P2239" i="3"/>
  <c r="O2239" i="3"/>
  <c r="G2239" i="3"/>
  <c r="R2238" i="3"/>
  <c r="Q2238" i="3"/>
  <c r="P2238" i="3"/>
  <c r="O2238" i="3"/>
  <c r="G2238" i="3"/>
  <c r="R2237" i="3"/>
  <c r="Q2237" i="3"/>
  <c r="P2237" i="3"/>
  <c r="O2237" i="3"/>
  <c r="G2237" i="3"/>
  <c r="R2236" i="3"/>
  <c r="Q2236" i="3"/>
  <c r="P2236" i="3"/>
  <c r="O2236" i="3"/>
  <c r="G2236" i="3"/>
  <c r="R2235" i="3"/>
  <c r="Q2235" i="3"/>
  <c r="P2235" i="3"/>
  <c r="O2235" i="3"/>
  <c r="G2235" i="3"/>
  <c r="R2234" i="3"/>
  <c r="Q2234" i="3"/>
  <c r="P2234" i="3"/>
  <c r="O2234" i="3"/>
  <c r="G2234" i="3"/>
  <c r="R2233" i="3"/>
  <c r="Q2233" i="3"/>
  <c r="P2233" i="3"/>
  <c r="O2233" i="3"/>
  <c r="G2233" i="3"/>
  <c r="R2232" i="3"/>
  <c r="Q2232" i="3"/>
  <c r="P2232" i="3"/>
  <c r="O2232" i="3"/>
  <c r="G2232" i="3"/>
  <c r="R2231" i="3"/>
  <c r="Q2231" i="3"/>
  <c r="P2231" i="3"/>
  <c r="O2231" i="3"/>
  <c r="G2231" i="3"/>
  <c r="R2230" i="3"/>
  <c r="Q2230" i="3"/>
  <c r="P2230" i="3"/>
  <c r="O2230" i="3"/>
  <c r="G2230" i="3"/>
  <c r="R2229" i="3"/>
  <c r="Q2229" i="3"/>
  <c r="P2229" i="3"/>
  <c r="O2229" i="3"/>
  <c r="G2229" i="3"/>
  <c r="R2228" i="3"/>
  <c r="Q2228" i="3"/>
  <c r="P2228" i="3"/>
  <c r="O2228" i="3"/>
  <c r="G2228" i="3"/>
  <c r="R2227" i="3"/>
  <c r="Q2227" i="3"/>
  <c r="P2227" i="3"/>
  <c r="O2227" i="3"/>
  <c r="G2227" i="3"/>
  <c r="R2226" i="3"/>
  <c r="Q2226" i="3"/>
  <c r="P2226" i="3"/>
  <c r="O2226" i="3"/>
  <c r="G2226" i="3"/>
  <c r="R2225" i="3"/>
  <c r="Q2225" i="3"/>
  <c r="P2225" i="3"/>
  <c r="O2225" i="3"/>
  <c r="G2225" i="3"/>
  <c r="R2224" i="3"/>
  <c r="Q2224" i="3"/>
  <c r="P2224" i="3"/>
  <c r="O2224" i="3"/>
  <c r="G2224" i="3"/>
  <c r="R2223" i="3"/>
  <c r="Q2223" i="3"/>
  <c r="P2223" i="3"/>
  <c r="O2223" i="3"/>
  <c r="G2223" i="3"/>
  <c r="R2222" i="3"/>
  <c r="Q2222" i="3"/>
  <c r="P2222" i="3"/>
  <c r="O2222" i="3"/>
  <c r="G2222" i="3"/>
  <c r="R2221" i="3"/>
  <c r="Q2221" i="3"/>
  <c r="P2221" i="3"/>
  <c r="O2221" i="3"/>
  <c r="G2221" i="3"/>
  <c r="R2220" i="3"/>
  <c r="Q2220" i="3"/>
  <c r="P2220" i="3"/>
  <c r="O2220" i="3"/>
  <c r="G2220" i="3"/>
  <c r="R2219" i="3"/>
  <c r="Q2219" i="3"/>
  <c r="P2219" i="3"/>
  <c r="O2219" i="3"/>
  <c r="G2219" i="3"/>
  <c r="R2218" i="3"/>
  <c r="Q2218" i="3"/>
  <c r="P2218" i="3"/>
  <c r="O2218" i="3"/>
  <c r="G2218" i="3"/>
  <c r="R2217" i="3"/>
  <c r="Q2217" i="3"/>
  <c r="P2217" i="3"/>
  <c r="O2217" i="3"/>
  <c r="G2217" i="3"/>
  <c r="R2216" i="3"/>
  <c r="Q2216" i="3"/>
  <c r="P2216" i="3"/>
  <c r="O2216" i="3"/>
  <c r="G2216" i="3"/>
  <c r="R2215" i="3"/>
  <c r="Q2215" i="3"/>
  <c r="P2215" i="3"/>
  <c r="O2215" i="3"/>
  <c r="G2215" i="3"/>
  <c r="R2214" i="3"/>
  <c r="Q2214" i="3"/>
  <c r="P2214" i="3"/>
  <c r="O2214" i="3"/>
  <c r="G2214" i="3"/>
  <c r="R2213" i="3"/>
  <c r="Q2213" i="3"/>
  <c r="P2213" i="3"/>
  <c r="O2213" i="3"/>
  <c r="G2213" i="3"/>
  <c r="R2212" i="3"/>
  <c r="Q2212" i="3"/>
  <c r="P2212" i="3"/>
  <c r="O2212" i="3"/>
  <c r="G2212" i="3"/>
  <c r="R2211" i="3"/>
  <c r="Q2211" i="3"/>
  <c r="P2211" i="3"/>
  <c r="O2211" i="3"/>
  <c r="G2211" i="3"/>
  <c r="R2210" i="3"/>
  <c r="Q2210" i="3"/>
  <c r="P2210" i="3"/>
  <c r="O2210" i="3"/>
  <c r="G2210" i="3"/>
  <c r="R2209" i="3"/>
  <c r="Q2209" i="3"/>
  <c r="P2209" i="3"/>
  <c r="O2209" i="3"/>
  <c r="G2209" i="3"/>
  <c r="R2208" i="3"/>
  <c r="Q2208" i="3"/>
  <c r="P2208" i="3"/>
  <c r="O2208" i="3"/>
  <c r="G2208" i="3"/>
  <c r="R2207" i="3"/>
  <c r="Q2207" i="3"/>
  <c r="P2207" i="3"/>
  <c r="O2207" i="3"/>
  <c r="G2207" i="3"/>
  <c r="R2206" i="3"/>
  <c r="Q2206" i="3"/>
  <c r="P2206" i="3"/>
  <c r="O2206" i="3"/>
  <c r="G2206" i="3"/>
  <c r="R2205" i="3"/>
  <c r="Q2205" i="3"/>
  <c r="P2205" i="3"/>
  <c r="O2205" i="3"/>
  <c r="G2205" i="3"/>
  <c r="R2204" i="3"/>
  <c r="Q2204" i="3"/>
  <c r="P2204" i="3"/>
  <c r="O2204" i="3"/>
  <c r="G2204" i="3"/>
  <c r="R2203" i="3"/>
  <c r="Q2203" i="3"/>
  <c r="P2203" i="3"/>
  <c r="O2203" i="3"/>
  <c r="G2203" i="3"/>
  <c r="R2202" i="3"/>
  <c r="Q2202" i="3"/>
  <c r="P2202" i="3"/>
  <c r="O2202" i="3"/>
  <c r="G2202" i="3"/>
  <c r="R2201" i="3"/>
  <c r="Q2201" i="3"/>
  <c r="P2201" i="3"/>
  <c r="O2201" i="3"/>
  <c r="G2201" i="3"/>
  <c r="R2200" i="3"/>
  <c r="Q2200" i="3"/>
  <c r="P2200" i="3"/>
  <c r="O2200" i="3"/>
  <c r="G2200" i="3"/>
  <c r="R2199" i="3"/>
  <c r="Q2199" i="3"/>
  <c r="P2199" i="3"/>
  <c r="O2199" i="3"/>
  <c r="G2199" i="3"/>
  <c r="R2198" i="3"/>
  <c r="Q2198" i="3"/>
  <c r="P2198" i="3"/>
  <c r="O2198" i="3"/>
  <c r="G2198" i="3"/>
  <c r="R2197" i="3"/>
  <c r="Q2197" i="3"/>
  <c r="P2197" i="3"/>
  <c r="O2197" i="3"/>
  <c r="G2197" i="3"/>
  <c r="R2196" i="3"/>
  <c r="Q2196" i="3"/>
  <c r="P2196" i="3"/>
  <c r="O2196" i="3"/>
  <c r="G2196" i="3"/>
  <c r="R2195" i="3"/>
  <c r="Q2195" i="3"/>
  <c r="P2195" i="3"/>
  <c r="O2195" i="3"/>
  <c r="G2195" i="3"/>
  <c r="R2194" i="3"/>
  <c r="Q2194" i="3"/>
  <c r="P2194" i="3"/>
  <c r="O2194" i="3"/>
  <c r="G2194" i="3"/>
  <c r="R2193" i="3"/>
  <c r="Q2193" i="3"/>
  <c r="P2193" i="3"/>
  <c r="O2193" i="3"/>
  <c r="G2193" i="3"/>
  <c r="R2192" i="3"/>
  <c r="Q2192" i="3"/>
  <c r="P2192" i="3"/>
  <c r="O2192" i="3"/>
  <c r="G2192" i="3"/>
  <c r="R2191" i="3"/>
  <c r="Q2191" i="3"/>
  <c r="P2191" i="3"/>
  <c r="O2191" i="3"/>
  <c r="G2191" i="3"/>
  <c r="R2190" i="3"/>
  <c r="Q2190" i="3"/>
  <c r="P2190" i="3"/>
  <c r="O2190" i="3"/>
  <c r="G2190" i="3"/>
  <c r="R2189" i="3"/>
  <c r="Q2189" i="3"/>
  <c r="P2189" i="3"/>
  <c r="O2189" i="3"/>
  <c r="G2189" i="3"/>
  <c r="R2188" i="3"/>
  <c r="Q2188" i="3"/>
  <c r="P2188" i="3"/>
  <c r="O2188" i="3"/>
  <c r="G2188" i="3"/>
  <c r="R2187" i="3"/>
  <c r="Q2187" i="3"/>
  <c r="P2187" i="3"/>
  <c r="O2187" i="3"/>
  <c r="G2187" i="3"/>
  <c r="R2186" i="3"/>
  <c r="Q2186" i="3"/>
  <c r="P2186" i="3"/>
  <c r="O2186" i="3"/>
  <c r="G2186" i="3"/>
  <c r="R2185" i="3"/>
  <c r="Q2185" i="3"/>
  <c r="P2185" i="3"/>
  <c r="O2185" i="3"/>
  <c r="G2185" i="3"/>
  <c r="R2184" i="3"/>
  <c r="Q2184" i="3"/>
  <c r="P2184" i="3"/>
  <c r="O2184" i="3"/>
  <c r="G2184" i="3"/>
  <c r="R2183" i="3"/>
  <c r="Q2183" i="3"/>
  <c r="P2183" i="3"/>
  <c r="O2183" i="3"/>
  <c r="G2183" i="3"/>
  <c r="R2182" i="3"/>
  <c r="Q2182" i="3"/>
  <c r="P2182" i="3"/>
  <c r="O2182" i="3"/>
  <c r="G2182" i="3"/>
  <c r="R2181" i="3"/>
  <c r="Q2181" i="3"/>
  <c r="P2181" i="3"/>
  <c r="O2181" i="3"/>
  <c r="G2181" i="3"/>
  <c r="R2180" i="3"/>
  <c r="Q2180" i="3"/>
  <c r="P2180" i="3"/>
  <c r="O2180" i="3"/>
  <c r="G2180" i="3"/>
  <c r="R2179" i="3"/>
  <c r="Q2179" i="3"/>
  <c r="P2179" i="3"/>
  <c r="O2179" i="3"/>
  <c r="G2179" i="3"/>
  <c r="R2178" i="3"/>
  <c r="Q2178" i="3"/>
  <c r="P2178" i="3"/>
  <c r="O2178" i="3"/>
  <c r="G2178" i="3"/>
  <c r="R2177" i="3"/>
  <c r="Q2177" i="3"/>
  <c r="P2177" i="3"/>
  <c r="O2177" i="3"/>
  <c r="G2177" i="3"/>
  <c r="R2176" i="3"/>
  <c r="Q2176" i="3"/>
  <c r="P2176" i="3"/>
  <c r="O2176" i="3"/>
  <c r="G2176" i="3"/>
  <c r="R2175" i="3"/>
  <c r="Q2175" i="3"/>
  <c r="P2175" i="3"/>
  <c r="O2175" i="3"/>
  <c r="G2175" i="3"/>
  <c r="R2174" i="3"/>
  <c r="Q2174" i="3"/>
  <c r="P2174" i="3"/>
  <c r="O2174" i="3"/>
  <c r="G2174" i="3"/>
  <c r="R2173" i="3"/>
  <c r="Q2173" i="3"/>
  <c r="P2173" i="3"/>
  <c r="O2173" i="3"/>
  <c r="G2173" i="3"/>
  <c r="R2172" i="3"/>
  <c r="Q2172" i="3"/>
  <c r="P2172" i="3"/>
  <c r="O2172" i="3"/>
  <c r="G2172" i="3"/>
  <c r="R2171" i="3"/>
  <c r="Q2171" i="3"/>
  <c r="P2171" i="3"/>
  <c r="O2171" i="3"/>
  <c r="G2171" i="3"/>
  <c r="R2170" i="3"/>
  <c r="Q2170" i="3"/>
  <c r="P2170" i="3"/>
  <c r="O2170" i="3"/>
  <c r="G2170" i="3"/>
  <c r="R2169" i="3"/>
  <c r="Q2169" i="3"/>
  <c r="P2169" i="3"/>
  <c r="O2169" i="3"/>
  <c r="G2169" i="3"/>
  <c r="R2168" i="3"/>
  <c r="Q2168" i="3"/>
  <c r="P2168" i="3"/>
  <c r="O2168" i="3"/>
  <c r="G2168" i="3"/>
  <c r="R2167" i="3"/>
  <c r="Q2167" i="3"/>
  <c r="P2167" i="3"/>
  <c r="O2167" i="3"/>
  <c r="G2167" i="3"/>
  <c r="R2166" i="3"/>
  <c r="Q2166" i="3"/>
  <c r="P2166" i="3"/>
  <c r="O2166" i="3"/>
  <c r="G2166" i="3"/>
  <c r="R2165" i="3"/>
  <c r="Q2165" i="3"/>
  <c r="P2165" i="3"/>
  <c r="O2165" i="3"/>
  <c r="G2165" i="3"/>
  <c r="R2164" i="3"/>
  <c r="Q2164" i="3"/>
  <c r="P2164" i="3"/>
  <c r="O2164" i="3"/>
  <c r="G2164" i="3"/>
  <c r="R2163" i="3"/>
  <c r="Q2163" i="3"/>
  <c r="P2163" i="3"/>
  <c r="O2163" i="3"/>
  <c r="G2163" i="3"/>
  <c r="R2162" i="3"/>
  <c r="Q2162" i="3"/>
  <c r="P2162" i="3"/>
  <c r="O2162" i="3"/>
  <c r="G2162" i="3"/>
  <c r="R2161" i="3"/>
  <c r="Q2161" i="3"/>
  <c r="P2161" i="3"/>
  <c r="O2161" i="3"/>
  <c r="G2161" i="3"/>
  <c r="R2160" i="3"/>
  <c r="Q2160" i="3"/>
  <c r="P2160" i="3"/>
  <c r="O2160" i="3"/>
  <c r="G2160" i="3"/>
  <c r="R2159" i="3"/>
  <c r="Q2159" i="3"/>
  <c r="P2159" i="3"/>
  <c r="O2159" i="3"/>
  <c r="G2159" i="3"/>
  <c r="R2158" i="3"/>
  <c r="Q2158" i="3"/>
  <c r="P2158" i="3"/>
  <c r="O2158" i="3"/>
  <c r="G2158" i="3"/>
  <c r="R2157" i="3"/>
  <c r="Q2157" i="3"/>
  <c r="P2157" i="3"/>
  <c r="O2157" i="3"/>
  <c r="G2157" i="3"/>
  <c r="R2156" i="3"/>
  <c r="Q2156" i="3"/>
  <c r="P2156" i="3"/>
  <c r="O2156" i="3"/>
  <c r="G2156" i="3"/>
  <c r="R2155" i="3"/>
  <c r="Q2155" i="3"/>
  <c r="P2155" i="3"/>
  <c r="O2155" i="3"/>
  <c r="G2155" i="3"/>
  <c r="R2154" i="3"/>
  <c r="Q2154" i="3"/>
  <c r="P2154" i="3"/>
  <c r="O2154" i="3"/>
  <c r="G2154" i="3"/>
  <c r="R2153" i="3"/>
  <c r="Q2153" i="3"/>
  <c r="P2153" i="3"/>
  <c r="O2153" i="3"/>
  <c r="G2153" i="3"/>
  <c r="R2152" i="3"/>
  <c r="Q2152" i="3"/>
  <c r="P2152" i="3"/>
  <c r="O2152" i="3"/>
  <c r="G2152" i="3"/>
  <c r="R2151" i="3"/>
  <c r="Q2151" i="3"/>
  <c r="P2151" i="3"/>
  <c r="O2151" i="3"/>
  <c r="G2151" i="3"/>
  <c r="R2150" i="3"/>
  <c r="Q2150" i="3"/>
  <c r="P2150" i="3"/>
  <c r="O2150" i="3"/>
  <c r="G2150" i="3"/>
  <c r="R2149" i="3"/>
  <c r="Q2149" i="3"/>
  <c r="P2149" i="3"/>
  <c r="O2149" i="3"/>
  <c r="G2149" i="3"/>
  <c r="R2148" i="3"/>
  <c r="Q2148" i="3"/>
  <c r="P2148" i="3"/>
  <c r="O2148" i="3"/>
  <c r="G2148" i="3"/>
  <c r="R2147" i="3"/>
  <c r="Q2147" i="3"/>
  <c r="P2147" i="3"/>
  <c r="O2147" i="3"/>
  <c r="G2147" i="3"/>
  <c r="R2146" i="3"/>
  <c r="Q2146" i="3"/>
  <c r="P2146" i="3"/>
  <c r="O2146" i="3"/>
  <c r="G2146" i="3"/>
  <c r="R2145" i="3"/>
  <c r="Q2145" i="3"/>
  <c r="P2145" i="3"/>
  <c r="O2145" i="3"/>
  <c r="G2145" i="3"/>
  <c r="R2144" i="3"/>
  <c r="Q2144" i="3"/>
  <c r="P2144" i="3"/>
  <c r="O2144" i="3"/>
  <c r="G2144" i="3"/>
  <c r="R2143" i="3"/>
  <c r="Q2143" i="3"/>
  <c r="P2143" i="3"/>
  <c r="O2143" i="3"/>
  <c r="G2143" i="3"/>
  <c r="R2142" i="3"/>
  <c r="Q2142" i="3"/>
  <c r="P2142" i="3"/>
  <c r="O2142" i="3"/>
  <c r="G2142" i="3"/>
  <c r="R2141" i="3"/>
  <c r="Q2141" i="3"/>
  <c r="P2141" i="3"/>
  <c r="O2141" i="3"/>
  <c r="G2141" i="3"/>
  <c r="R2140" i="3"/>
  <c r="Q2140" i="3"/>
  <c r="P2140" i="3"/>
  <c r="O2140" i="3"/>
  <c r="G2140" i="3"/>
  <c r="R2139" i="3"/>
  <c r="Q2139" i="3"/>
  <c r="P2139" i="3"/>
  <c r="O2139" i="3"/>
  <c r="G2139" i="3"/>
  <c r="R2138" i="3"/>
  <c r="Q2138" i="3"/>
  <c r="P2138" i="3"/>
  <c r="O2138" i="3"/>
  <c r="G2138" i="3"/>
  <c r="R2137" i="3"/>
  <c r="Q2137" i="3"/>
  <c r="P2137" i="3"/>
  <c r="O2137" i="3"/>
  <c r="G2137" i="3"/>
  <c r="R2136" i="3"/>
  <c r="Q2136" i="3"/>
  <c r="P2136" i="3"/>
  <c r="O2136" i="3"/>
  <c r="G2136" i="3"/>
  <c r="R2135" i="3"/>
  <c r="Q2135" i="3"/>
  <c r="P2135" i="3"/>
  <c r="O2135" i="3"/>
  <c r="G2135" i="3"/>
  <c r="R2134" i="3"/>
  <c r="Q2134" i="3"/>
  <c r="P2134" i="3"/>
  <c r="O2134" i="3"/>
  <c r="G2134" i="3"/>
  <c r="R2133" i="3"/>
  <c r="Q2133" i="3"/>
  <c r="P2133" i="3"/>
  <c r="O2133" i="3"/>
  <c r="G2133" i="3"/>
  <c r="R2132" i="3"/>
  <c r="Q2132" i="3"/>
  <c r="P2132" i="3"/>
  <c r="O2132" i="3"/>
  <c r="G2132" i="3"/>
  <c r="R2131" i="3"/>
  <c r="Q2131" i="3"/>
  <c r="P2131" i="3"/>
  <c r="O2131" i="3"/>
  <c r="G2131" i="3"/>
  <c r="R2130" i="3"/>
  <c r="Q2130" i="3"/>
  <c r="P2130" i="3"/>
  <c r="O2130" i="3"/>
  <c r="G2130" i="3"/>
  <c r="R2129" i="3"/>
  <c r="Q2129" i="3"/>
  <c r="P2129" i="3"/>
  <c r="O2129" i="3"/>
  <c r="G2129" i="3"/>
  <c r="R2128" i="3"/>
  <c r="Q2128" i="3"/>
  <c r="P2128" i="3"/>
  <c r="O2128" i="3"/>
  <c r="G2128" i="3"/>
  <c r="R2127" i="3"/>
  <c r="Q2127" i="3"/>
  <c r="P2127" i="3"/>
  <c r="O2127" i="3"/>
  <c r="G2127" i="3"/>
  <c r="R2126" i="3"/>
  <c r="Q2126" i="3"/>
  <c r="P2126" i="3"/>
  <c r="O2126" i="3"/>
  <c r="G2126" i="3"/>
  <c r="R2125" i="3"/>
  <c r="Q2125" i="3"/>
  <c r="P2125" i="3"/>
  <c r="O2125" i="3"/>
  <c r="G2125" i="3"/>
  <c r="R2124" i="3"/>
  <c r="Q2124" i="3"/>
  <c r="P2124" i="3"/>
  <c r="O2124" i="3"/>
  <c r="G2124" i="3"/>
  <c r="R2123" i="3"/>
  <c r="Q2123" i="3"/>
  <c r="P2123" i="3"/>
  <c r="O2123" i="3"/>
  <c r="G2123" i="3"/>
  <c r="R2122" i="3"/>
  <c r="Q2122" i="3"/>
  <c r="P2122" i="3"/>
  <c r="O2122" i="3"/>
  <c r="G2122" i="3"/>
  <c r="R2121" i="3"/>
  <c r="Q2121" i="3"/>
  <c r="P2121" i="3"/>
  <c r="O2121" i="3"/>
  <c r="G2121" i="3"/>
  <c r="R2120" i="3"/>
  <c r="Q2120" i="3"/>
  <c r="P2120" i="3"/>
  <c r="O2120" i="3"/>
  <c r="G2120" i="3"/>
  <c r="R2119" i="3"/>
  <c r="Q2119" i="3"/>
  <c r="P2119" i="3"/>
  <c r="O2119" i="3"/>
  <c r="G2119" i="3"/>
  <c r="R2118" i="3"/>
  <c r="Q2118" i="3"/>
  <c r="P2118" i="3"/>
  <c r="O2118" i="3"/>
  <c r="G2118" i="3"/>
  <c r="R2117" i="3"/>
  <c r="Q2117" i="3"/>
  <c r="P2117" i="3"/>
  <c r="O2117" i="3"/>
  <c r="G2117" i="3"/>
  <c r="R2116" i="3"/>
  <c r="Q2116" i="3"/>
  <c r="P2116" i="3"/>
  <c r="O2116" i="3"/>
  <c r="G2116" i="3"/>
  <c r="R2115" i="3"/>
  <c r="Q2115" i="3"/>
  <c r="P2115" i="3"/>
  <c r="O2115" i="3"/>
  <c r="G2115" i="3"/>
  <c r="R2114" i="3"/>
  <c r="Q2114" i="3"/>
  <c r="P2114" i="3"/>
  <c r="O2114" i="3"/>
  <c r="G2114" i="3"/>
  <c r="R2113" i="3"/>
  <c r="Q2113" i="3"/>
  <c r="P2113" i="3"/>
  <c r="O2113" i="3"/>
  <c r="G2113" i="3"/>
  <c r="R2112" i="3"/>
  <c r="Q2112" i="3"/>
  <c r="P2112" i="3"/>
  <c r="O2112" i="3"/>
  <c r="G2112" i="3"/>
  <c r="R2111" i="3"/>
  <c r="Q2111" i="3"/>
  <c r="P2111" i="3"/>
  <c r="O2111" i="3"/>
  <c r="G2111" i="3"/>
  <c r="R2110" i="3"/>
  <c r="Q2110" i="3"/>
  <c r="P2110" i="3"/>
  <c r="O2110" i="3"/>
  <c r="G2110" i="3"/>
  <c r="R2109" i="3"/>
  <c r="Q2109" i="3"/>
  <c r="P2109" i="3"/>
  <c r="O2109" i="3"/>
  <c r="G2109" i="3"/>
  <c r="R2108" i="3"/>
  <c r="Q2108" i="3"/>
  <c r="P2108" i="3"/>
  <c r="O2108" i="3"/>
  <c r="G2108" i="3"/>
  <c r="R2107" i="3"/>
  <c r="Q2107" i="3"/>
  <c r="P2107" i="3"/>
  <c r="O2107" i="3"/>
  <c r="G2107" i="3"/>
  <c r="R2106" i="3"/>
  <c r="Q2106" i="3"/>
  <c r="P2106" i="3"/>
  <c r="O2106" i="3"/>
  <c r="G2106" i="3"/>
  <c r="R2105" i="3"/>
  <c r="Q2105" i="3"/>
  <c r="P2105" i="3"/>
  <c r="O2105" i="3"/>
  <c r="G2105" i="3"/>
  <c r="R2104" i="3"/>
  <c r="Q2104" i="3"/>
  <c r="P2104" i="3"/>
  <c r="O2104" i="3"/>
  <c r="G2104" i="3"/>
  <c r="R2103" i="3"/>
  <c r="Q2103" i="3"/>
  <c r="P2103" i="3"/>
  <c r="O2103" i="3"/>
  <c r="G2103" i="3"/>
  <c r="R2102" i="3"/>
  <c r="Q2102" i="3"/>
  <c r="P2102" i="3"/>
  <c r="O2102" i="3"/>
  <c r="G2102" i="3"/>
  <c r="R2101" i="3"/>
  <c r="Q2101" i="3"/>
  <c r="P2101" i="3"/>
  <c r="O2101" i="3"/>
  <c r="G2101" i="3"/>
  <c r="R2100" i="3"/>
  <c r="Q2100" i="3"/>
  <c r="P2100" i="3"/>
  <c r="O2100" i="3"/>
  <c r="G2100" i="3"/>
  <c r="R2099" i="3"/>
  <c r="Q2099" i="3"/>
  <c r="P2099" i="3"/>
  <c r="O2099" i="3"/>
  <c r="G2099" i="3"/>
  <c r="R2098" i="3"/>
  <c r="Q2098" i="3"/>
  <c r="P2098" i="3"/>
  <c r="O2098" i="3"/>
  <c r="G2098" i="3"/>
  <c r="R2097" i="3"/>
  <c r="Q2097" i="3"/>
  <c r="P2097" i="3"/>
  <c r="O2097" i="3"/>
  <c r="G2097" i="3"/>
  <c r="R2096" i="3"/>
  <c r="Q2096" i="3"/>
  <c r="P2096" i="3"/>
  <c r="O2096" i="3"/>
  <c r="G2096" i="3"/>
  <c r="R2095" i="3"/>
  <c r="Q2095" i="3"/>
  <c r="P2095" i="3"/>
  <c r="O2095" i="3"/>
  <c r="G2095" i="3"/>
  <c r="R2094" i="3"/>
  <c r="Q2094" i="3"/>
  <c r="P2094" i="3"/>
  <c r="O2094" i="3"/>
  <c r="G2094" i="3"/>
  <c r="R2093" i="3"/>
  <c r="Q2093" i="3"/>
  <c r="P2093" i="3"/>
  <c r="O2093" i="3"/>
  <c r="G2093" i="3"/>
  <c r="R2092" i="3"/>
  <c r="Q2092" i="3"/>
  <c r="P2092" i="3"/>
  <c r="O2092" i="3"/>
  <c r="G2092" i="3"/>
  <c r="R2091" i="3"/>
  <c r="Q2091" i="3"/>
  <c r="P2091" i="3"/>
  <c r="O2091" i="3"/>
  <c r="G2091" i="3"/>
  <c r="R2090" i="3"/>
  <c r="Q2090" i="3"/>
  <c r="P2090" i="3"/>
  <c r="O2090" i="3"/>
  <c r="G2090" i="3"/>
  <c r="R2089" i="3"/>
  <c r="Q2089" i="3"/>
  <c r="P2089" i="3"/>
  <c r="O2089" i="3"/>
  <c r="G2089" i="3"/>
  <c r="R2088" i="3"/>
  <c r="Q2088" i="3"/>
  <c r="P2088" i="3"/>
  <c r="O2088" i="3"/>
  <c r="G2088" i="3"/>
  <c r="R2087" i="3"/>
  <c r="Q2087" i="3"/>
  <c r="P2087" i="3"/>
  <c r="O2087" i="3"/>
  <c r="G2087" i="3"/>
  <c r="R2086" i="3"/>
  <c r="Q2086" i="3"/>
  <c r="P2086" i="3"/>
  <c r="O2086" i="3"/>
  <c r="G2086" i="3"/>
  <c r="R2085" i="3"/>
  <c r="Q2085" i="3"/>
  <c r="P2085" i="3"/>
  <c r="O2085" i="3"/>
  <c r="G2085" i="3"/>
  <c r="R2084" i="3"/>
  <c r="Q2084" i="3"/>
  <c r="P2084" i="3"/>
  <c r="O2084" i="3"/>
  <c r="G2084" i="3"/>
  <c r="R2083" i="3"/>
  <c r="Q2083" i="3"/>
  <c r="P2083" i="3"/>
  <c r="O2083" i="3"/>
  <c r="G2083" i="3"/>
  <c r="R2082" i="3"/>
  <c r="Q2082" i="3"/>
  <c r="P2082" i="3"/>
  <c r="O2082" i="3"/>
  <c r="G2082" i="3"/>
  <c r="R2081" i="3"/>
  <c r="Q2081" i="3"/>
  <c r="P2081" i="3"/>
  <c r="O2081" i="3"/>
  <c r="G2081" i="3"/>
  <c r="R2080" i="3"/>
  <c r="Q2080" i="3"/>
  <c r="P2080" i="3"/>
  <c r="O2080" i="3"/>
  <c r="G2080" i="3"/>
  <c r="R2079" i="3"/>
  <c r="Q2079" i="3"/>
  <c r="P2079" i="3"/>
  <c r="O2079" i="3"/>
  <c r="G2079" i="3"/>
  <c r="R2078" i="3"/>
  <c r="Q2078" i="3"/>
  <c r="P2078" i="3"/>
  <c r="O2078" i="3"/>
  <c r="G2078" i="3"/>
  <c r="R2077" i="3"/>
  <c r="Q2077" i="3"/>
  <c r="P2077" i="3"/>
  <c r="O2077" i="3"/>
  <c r="G2077" i="3"/>
  <c r="R2076" i="3"/>
  <c r="Q2076" i="3"/>
  <c r="P2076" i="3"/>
  <c r="O2076" i="3"/>
  <c r="G2076" i="3"/>
  <c r="R2075" i="3"/>
  <c r="Q2075" i="3"/>
  <c r="P2075" i="3"/>
  <c r="O2075" i="3"/>
  <c r="G2075" i="3"/>
  <c r="R2074" i="3"/>
  <c r="Q2074" i="3"/>
  <c r="P2074" i="3"/>
  <c r="O2074" i="3"/>
  <c r="G2074" i="3"/>
  <c r="R2073" i="3"/>
  <c r="Q2073" i="3"/>
  <c r="P2073" i="3"/>
  <c r="O2073" i="3"/>
  <c r="G2073" i="3"/>
  <c r="R2072" i="3"/>
  <c r="Q2072" i="3"/>
  <c r="P2072" i="3"/>
  <c r="O2072" i="3"/>
  <c r="G2072" i="3"/>
  <c r="R2071" i="3"/>
  <c r="Q2071" i="3"/>
  <c r="P2071" i="3"/>
  <c r="O2071" i="3"/>
  <c r="G2071" i="3"/>
  <c r="R2070" i="3"/>
  <c r="Q2070" i="3"/>
  <c r="P2070" i="3"/>
  <c r="O2070" i="3"/>
  <c r="G2070" i="3"/>
  <c r="R2069" i="3"/>
  <c r="Q2069" i="3"/>
  <c r="P2069" i="3"/>
  <c r="O2069" i="3"/>
  <c r="G2069" i="3"/>
  <c r="R2068" i="3"/>
  <c r="Q2068" i="3"/>
  <c r="P2068" i="3"/>
  <c r="O2068" i="3"/>
  <c r="G2068" i="3"/>
  <c r="R2067" i="3"/>
  <c r="Q2067" i="3"/>
  <c r="P2067" i="3"/>
  <c r="O2067" i="3"/>
  <c r="G2067" i="3"/>
  <c r="R2066" i="3"/>
  <c r="Q2066" i="3"/>
  <c r="P2066" i="3"/>
  <c r="O2066" i="3"/>
  <c r="G2066" i="3"/>
  <c r="R2065" i="3"/>
  <c r="Q2065" i="3"/>
  <c r="P2065" i="3"/>
  <c r="O2065" i="3"/>
  <c r="G2065" i="3"/>
  <c r="R2064" i="3"/>
  <c r="Q2064" i="3"/>
  <c r="P2064" i="3"/>
  <c r="O2064" i="3"/>
  <c r="G2064" i="3"/>
  <c r="R2063" i="3"/>
  <c r="Q2063" i="3"/>
  <c r="P2063" i="3"/>
  <c r="O2063" i="3"/>
  <c r="G2063" i="3"/>
  <c r="R2062" i="3"/>
  <c r="Q2062" i="3"/>
  <c r="P2062" i="3"/>
  <c r="O2062" i="3"/>
  <c r="G2062" i="3"/>
  <c r="R2061" i="3"/>
  <c r="Q2061" i="3"/>
  <c r="P2061" i="3"/>
  <c r="O2061" i="3"/>
  <c r="G2061" i="3"/>
  <c r="R2060" i="3"/>
  <c r="Q2060" i="3"/>
  <c r="P2060" i="3"/>
  <c r="O2060" i="3"/>
  <c r="G2060" i="3"/>
  <c r="R2059" i="3"/>
  <c r="Q2059" i="3"/>
  <c r="P2059" i="3"/>
  <c r="O2059" i="3"/>
  <c r="G2059" i="3"/>
  <c r="R2058" i="3"/>
  <c r="Q2058" i="3"/>
  <c r="P2058" i="3"/>
  <c r="O2058" i="3"/>
  <c r="G2058" i="3"/>
  <c r="R2057" i="3"/>
  <c r="Q2057" i="3"/>
  <c r="P2057" i="3"/>
  <c r="O2057" i="3"/>
  <c r="G2057" i="3"/>
  <c r="R2056" i="3"/>
  <c r="Q2056" i="3"/>
  <c r="P2056" i="3"/>
  <c r="O2056" i="3"/>
  <c r="G2056" i="3"/>
  <c r="R2055" i="3"/>
  <c r="Q2055" i="3"/>
  <c r="P2055" i="3"/>
  <c r="O2055" i="3"/>
  <c r="G2055" i="3"/>
  <c r="R2054" i="3"/>
  <c r="Q2054" i="3"/>
  <c r="P2054" i="3"/>
  <c r="O2054" i="3"/>
  <c r="G2054" i="3"/>
  <c r="R2053" i="3"/>
  <c r="Q2053" i="3"/>
  <c r="P2053" i="3"/>
  <c r="O2053" i="3"/>
  <c r="G2053" i="3"/>
  <c r="R2052" i="3"/>
  <c r="Q2052" i="3"/>
  <c r="P2052" i="3"/>
  <c r="O2052" i="3"/>
  <c r="G2052" i="3"/>
  <c r="R2051" i="3"/>
  <c r="Q2051" i="3"/>
  <c r="P2051" i="3"/>
  <c r="O2051" i="3"/>
  <c r="G2051" i="3"/>
  <c r="R2050" i="3"/>
  <c r="Q2050" i="3"/>
  <c r="P2050" i="3"/>
  <c r="O2050" i="3"/>
  <c r="G2050" i="3"/>
  <c r="R2049" i="3"/>
  <c r="Q2049" i="3"/>
  <c r="P2049" i="3"/>
  <c r="O2049" i="3"/>
  <c r="G2049" i="3"/>
  <c r="R2048" i="3"/>
  <c r="Q2048" i="3"/>
  <c r="P2048" i="3"/>
  <c r="O2048" i="3"/>
  <c r="G2048" i="3"/>
  <c r="R2047" i="3"/>
  <c r="Q2047" i="3"/>
  <c r="P2047" i="3"/>
  <c r="O2047" i="3"/>
  <c r="G2047" i="3"/>
  <c r="R2046" i="3"/>
  <c r="Q2046" i="3"/>
  <c r="P2046" i="3"/>
  <c r="O2046" i="3"/>
  <c r="G2046" i="3"/>
  <c r="R2045" i="3"/>
  <c r="Q2045" i="3"/>
  <c r="P2045" i="3"/>
  <c r="O2045" i="3"/>
  <c r="G2045" i="3"/>
  <c r="R2044" i="3"/>
  <c r="Q2044" i="3"/>
  <c r="P2044" i="3"/>
  <c r="O2044" i="3"/>
  <c r="G2044" i="3"/>
  <c r="R2043" i="3"/>
  <c r="Q2043" i="3"/>
  <c r="P2043" i="3"/>
  <c r="O2043" i="3"/>
  <c r="G2043" i="3"/>
  <c r="R2042" i="3"/>
  <c r="Q2042" i="3"/>
  <c r="P2042" i="3"/>
  <c r="O2042" i="3"/>
  <c r="G2042" i="3"/>
  <c r="R2041" i="3"/>
  <c r="Q2041" i="3"/>
  <c r="P2041" i="3"/>
  <c r="O2041" i="3"/>
  <c r="G2041" i="3"/>
  <c r="R2040" i="3"/>
  <c r="Q2040" i="3"/>
  <c r="P2040" i="3"/>
  <c r="O2040" i="3"/>
  <c r="G2040" i="3"/>
  <c r="R2039" i="3"/>
  <c r="Q2039" i="3"/>
  <c r="P2039" i="3"/>
  <c r="O2039" i="3"/>
  <c r="G2039" i="3"/>
  <c r="R2038" i="3"/>
  <c r="Q2038" i="3"/>
  <c r="P2038" i="3"/>
  <c r="O2038" i="3"/>
  <c r="G2038" i="3"/>
  <c r="R2037" i="3"/>
  <c r="Q2037" i="3"/>
  <c r="P2037" i="3"/>
  <c r="O2037" i="3"/>
  <c r="G2037" i="3"/>
  <c r="R2036" i="3"/>
  <c r="Q2036" i="3"/>
  <c r="P2036" i="3"/>
  <c r="O2036" i="3"/>
  <c r="G2036" i="3"/>
  <c r="R2035" i="3"/>
  <c r="Q2035" i="3"/>
  <c r="P2035" i="3"/>
  <c r="O2035" i="3"/>
  <c r="G2035" i="3"/>
  <c r="R2034" i="3"/>
  <c r="Q2034" i="3"/>
  <c r="P2034" i="3"/>
  <c r="O2034" i="3"/>
  <c r="G2034" i="3"/>
  <c r="R2033" i="3"/>
  <c r="Q2033" i="3"/>
  <c r="P2033" i="3"/>
  <c r="O2033" i="3"/>
  <c r="G2033" i="3"/>
  <c r="R2032" i="3"/>
  <c r="Q2032" i="3"/>
  <c r="P2032" i="3"/>
  <c r="O2032" i="3"/>
  <c r="G2032" i="3"/>
  <c r="R2031" i="3"/>
  <c r="Q2031" i="3"/>
  <c r="P2031" i="3"/>
  <c r="O2031" i="3"/>
  <c r="G2031" i="3"/>
  <c r="R2030" i="3"/>
  <c r="Q2030" i="3"/>
  <c r="P2030" i="3"/>
  <c r="O2030" i="3"/>
  <c r="G2030" i="3"/>
  <c r="R2029" i="3"/>
  <c r="Q2029" i="3"/>
  <c r="P2029" i="3"/>
  <c r="O2029" i="3"/>
  <c r="G2029" i="3"/>
  <c r="R2028" i="3"/>
  <c r="Q2028" i="3"/>
  <c r="P2028" i="3"/>
  <c r="O2028" i="3"/>
  <c r="G2028" i="3"/>
  <c r="R2027" i="3"/>
  <c r="Q2027" i="3"/>
  <c r="P2027" i="3"/>
  <c r="O2027" i="3"/>
  <c r="G2027" i="3"/>
  <c r="R2026" i="3"/>
  <c r="Q2026" i="3"/>
  <c r="P2026" i="3"/>
  <c r="O2026" i="3"/>
  <c r="G2026" i="3"/>
  <c r="R2025" i="3"/>
  <c r="Q2025" i="3"/>
  <c r="P2025" i="3"/>
  <c r="O2025" i="3"/>
  <c r="G2025" i="3"/>
  <c r="R2024" i="3"/>
  <c r="Q2024" i="3"/>
  <c r="P2024" i="3"/>
  <c r="O2024" i="3"/>
  <c r="G2024" i="3"/>
  <c r="R2023" i="3"/>
  <c r="Q2023" i="3"/>
  <c r="P2023" i="3"/>
  <c r="O2023" i="3"/>
  <c r="G2023" i="3"/>
  <c r="R2022" i="3"/>
  <c r="Q2022" i="3"/>
  <c r="P2022" i="3"/>
  <c r="O2022" i="3"/>
  <c r="G2022" i="3"/>
  <c r="R2021" i="3"/>
  <c r="Q2021" i="3"/>
  <c r="P2021" i="3"/>
  <c r="O2021" i="3"/>
  <c r="G2021" i="3"/>
  <c r="R2020" i="3"/>
  <c r="Q2020" i="3"/>
  <c r="P2020" i="3"/>
  <c r="O2020" i="3"/>
  <c r="G2020" i="3"/>
  <c r="R2019" i="3"/>
  <c r="Q2019" i="3"/>
  <c r="P2019" i="3"/>
  <c r="O2019" i="3"/>
  <c r="G2019" i="3"/>
  <c r="R2018" i="3"/>
  <c r="Q2018" i="3"/>
  <c r="P2018" i="3"/>
  <c r="O2018" i="3"/>
  <c r="G2018" i="3"/>
  <c r="R2017" i="3"/>
  <c r="Q2017" i="3"/>
  <c r="P2017" i="3"/>
  <c r="O2017" i="3"/>
  <c r="G2017" i="3"/>
  <c r="R2016" i="3"/>
  <c r="Q2016" i="3"/>
  <c r="P2016" i="3"/>
  <c r="O2016" i="3"/>
  <c r="G2016" i="3"/>
  <c r="R2015" i="3"/>
  <c r="Q2015" i="3"/>
  <c r="P2015" i="3"/>
  <c r="O2015" i="3"/>
  <c r="G2015" i="3"/>
  <c r="R2014" i="3"/>
  <c r="Q2014" i="3"/>
  <c r="P2014" i="3"/>
  <c r="O2014" i="3"/>
  <c r="G2014" i="3"/>
  <c r="R2013" i="3"/>
  <c r="Q2013" i="3"/>
  <c r="P2013" i="3"/>
  <c r="O2013" i="3"/>
  <c r="G2013" i="3"/>
  <c r="R2012" i="3"/>
  <c r="Q2012" i="3"/>
  <c r="P2012" i="3"/>
  <c r="O2012" i="3"/>
  <c r="G2012" i="3"/>
  <c r="R2011" i="3"/>
  <c r="Q2011" i="3"/>
  <c r="P2011" i="3"/>
  <c r="O2011" i="3"/>
  <c r="G2011" i="3"/>
  <c r="R2010" i="3"/>
  <c r="Q2010" i="3"/>
  <c r="P2010" i="3"/>
  <c r="O2010" i="3"/>
  <c r="G2010" i="3"/>
  <c r="R2009" i="3"/>
  <c r="Q2009" i="3"/>
  <c r="P2009" i="3"/>
  <c r="O2009" i="3"/>
  <c r="G2009" i="3"/>
  <c r="R2008" i="3"/>
  <c r="Q2008" i="3"/>
  <c r="P2008" i="3"/>
  <c r="O2008" i="3"/>
  <c r="G2008" i="3"/>
  <c r="R2007" i="3"/>
  <c r="Q2007" i="3"/>
  <c r="P2007" i="3"/>
  <c r="O2007" i="3"/>
  <c r="G2007" i="3"/>
  <c r="R2006" i="3"/>
  <c r="Q2006" i="3"/>
  <c r="P2006" i="3"/>
  <c r="O2006" i="3"/>
  <c r="G2006" i="3"/>
  <c r="R2005" i="3"/>
  <c r="Q2005" i="3"/>
  <c r="P2005" i="3"/>
  <c r="O2005" i="3"/>
  <c r="G2005" i="3"/>
  <c r="R2004" i="3"/>
  <c r="Q2004" i="3"/>
  <c r="P2004" i="3"/>
  <c r="O2004" i="3"/>
  <c r="G2004" i="3"/>
  <c r="R2003" i="3"/>
  <c r="Q2003" i="3"/>
  <c r="P2003" i="3"/>
  <c r="O2003" i="3"/>
  <c r="G2003" i="3"/>
  <c r="R2002" i="3"/>
  <c r="Q2002" i="3"/>
  <c r="P2002" i="3"/>
  <c r="O2002" i="3"/>
  <c r="G2002" i="3"/>
  <c r="R2001" i="3"/>
  <c r="Q2001" i="3"/>
  <c r="P2001" i="3"/>
  <c r="O2001" i="3"/>
  <c r="G2001" i="3"/>
  <c r="R2000" i="3"/>
  <c r="Q2000" i="3"/>
  <c r="P2000" i="3"/>
  <c r="O2000" i="3"/>
  <c r="G2000" i="3"/>
  <c r="R1999" i="3"/>
  <c r="Q1999" i="3"/>
  <c r="P1999" i="3"/>
  <c r="O1999" i="3"/>
  <c r="G1999" i="3"/>
  <c r="R1998" i="3"/>
  <c r="Q1998" i="3"/>
  <c r="P1998" i="3"/>
  <c r="O1998" i="3"/>
  <c r="G1998" i="3"/>
  <c r="R1997" i="3"/>
  <c r="Q1997" i="3"/>
  <c r="P1997" i="3"/>
  <c r="O1997" i="3"/>
  <c r="G1997" i="3"/>
  <c r="R1996" i="3"/>
  <c r="Q1996" i="3"/>
  <c r="P1996" i="3"/>
  <c r="O1996" i="3"/>
  <c r="G1996" i="3"/>
  <c r="R1995" i="3"/>
  <c r="Q1995" i="3"/>
  <c r="P1995" i="3"/>
  <c r="O1995" i="3"/>
  <c r="G1995" i="3"/>
  <c r="R1994" i="3"/>
  <c r="Q1994" i="3"/>
  <c r="P1994" i="3"/>
  <c r="O1994" i="3"/>
  <c r="G1994" i="3"/>
  <c r="R1993" i="3"/>
  <c r="Q1993" i="3"/>
  <c r="P1993" i="3"/>
  <c r="O1993" i="3"/>
  <c r="G1993" i="3"/>
  <c r="R1992" i="3"/>
  <c r="Q1992" i="3"/>
  <c r="P1992" i="3"/>
  <c r="O1992" i="3"/>
  <c r="G1992" i="3"/>
  <c r="R1991" i="3"/>
  <c r="Q1991" i="3"/>
  <c r="P1991" i="3"/>
  <c r="O1991" i="3"/>
  <c r="G1991" i="3"/>
  <c r="R1990" i="3"/>
  <c r="Q1990" i="3"/>
  <c r="P1990" i="3"/>
  <c r="O1990" i="3"/>
  <c r="G1990" i="3"/>
  <c r="R1989" i="3"/>
  <c r="Q1989" i="3"/>
  <c r="P1989" i="3"/>
  <c r="O1989" i="3"/>
  <c r="G1989" i="3"/>
  <c r="R1988" i="3"/>
  <c r="Q1988" i="3"/>
  <c r="P1988" i="3"/>
  <c r="O1988" i="3"/>
  <c r="G1988" i="3"/>
  <c r="R1987" i="3"/>
  <c r="Q1987" i="3"/>
  <c r="P1987" i="3"/>
  <c r="O1987" i="3"/>
  <c r="G1987" i="3"/>
  <c r="R1986" i="3"/>
  <c r="Q1986" i="3"/>
  <c r="P1986" i="3"/>
  <c r="O1986" i="3"/>
  <c r="G1986" i="3"/>
  <c r="R1985" i="3"/>
  <c r="Q1985" i="3"/>
  <c r="P1985" i="3"/>
  <c r="O1985" i="3"/>
  <c r="G1985" i="3"/>
  <c r="R1984" i="3"/>
  <c r="Q1984" i="3"/>
  <c r="P1984" i="3"/>
  <c r="O1984" i="3"/>
  <c r="G1984" i="3"/>
  <c r="R1983" i="3"/>
  <c r="Q1983" i="3"/>
  <c r="P1983" i="3"/>
  <c r="O1983" i="3"/>
  <c r="G1983" i="3"/>
  <c r="R1982" i="3"/>
  <c r="Q1982" i="3"/>
  <c r="P1982" i="3"/>
  <c r="O1982" i="3"/>
  <c r="G1982" i="3"/>
  <c r="R1981" i="3"/>
  <c r="Q1981" i="3"/>
  <c r="P1981" i="3"/>
  <c r="O1981" i="3"/>
  <c r="G1981" i="3"/>
  <c r="R1980" i="3"/>
  <c r="Q1980" i="3"/>
  <c r="P1980" i="3"/>
  <c r="O1980" i="3"/>
  <c r="G1980" i="3"/>
  <c r="R1979" i="3"/>
  <c r="Q1979" i="3"/>
  <c r="P1979" i="3"/>
  <c r="O1979" i="3"/>
  <c r="G1979" i="3"/>
  <c r="R1978" i="3"/>
  <c r="Q1978" i="3"/>
  <c r="P1978" i="3"/>
  <c r="O1978" i="3"/>
  <c r="G1978" i="3"/>
  <c r="R1977" i="3"/>
  <c r="Q1977" i="3"/>
  <c r="P1977" i="3"/>
  <c r="O1977" i="3"/>
  <c r="G1977" i="3"/>
  <c r="R1976" i="3"/>
  <c r="Q1976" i="3"/>
  <c r="P1976" i="3"/>
  <c r="O1976" i="3"/>
  <c r="G1976" i="3"/>
  <c r="R1975" i="3"/>
  <c r="Q1975" i="3"/>
  <c r="P1975" i="3"/>
  <c r="O1975" i="3"/>
  <c r="G1975" i="3"/>
  <c r="R1974" i="3"/>
  <c r="Q1974" i="3"/>
  <c r="P1974" i="3"/>
  <c r="O1974" i="3"/>
  <c r="G1974" i="3"/>
  <c r="R1973" i="3"/>
  <c r="Q1973" i="3"/>
  <c r="P1973" i="3"/>
  <c r="O1973" i="3"/>
  <c r="G1973" i="3"/>
  <c r="R1972" i="3"/>
  <c r="Q1972" i="3"/>
  <c r="P1972" i="3"/>
  <c r="O1972" i="3"/>
  <c r="G1972" i="3"/>
  <c r="R1971" i="3"/>
  <c r="Q1971" i="3"/>
  <c r="P1971" i="3"/>
  <c r="O1971" i="3"/>
  <c r="G1971" i="3"/>
  <c r="R1970" i="3"/>
  <c r="Q1970" i="3"/>
  <c r="P1970" i="3"/>
  <c r="O1970" i="3"/>
  <c r="G1970" i="3"/>
  <c r="R1969" i="3"/>
  <c r="Q1969" i="3"/>
  <c r="P1969" i="3"/>
  <c r="O1969" i="3"/>
  <c r="G1969" i="3"/>
  <c r="R1968" i="3"/>
  <c r="Q1968" i="3"/>
  <c r="P1968" i="3"/>
  <c r="O1968" i="3"/>
  <c r="G1968" i="3"/>
  <c r="R1967" i="3"/>
  <c r="Q1967" i="3"/>
  <c r="P1967" i="3"/>
  <c r="O1967" i="3"/>
  <c r="G1967" i="3"/>
  <c r="R1966" i="3"/>
  <c r="Q1966" i="3"/>
  <c r="P1966" i="3"/>
  <c r="O1966" i="3"/>
  <c r="G1966" i="3"/>
  <c r="R1965" i="3"/>
  <c r="Q1965" i="3"/>
  <c r="P1965" i="3"/>
  <c r="O1965" i="3"/>
  <c r="G1965" i="3"/>
  <c r="R1964" i="3"/>
  <c r="Q1964" i="3"/>
  <c r="P1964" i="3"/>
  <c r="O1964" i="3"/>
  <c r="G1964" i="3"/>
  <c r="R1963" i="3"/>
  <c r="Q1963" i="3"/>
  <c r="P1963" i="3"/>
  <c r="O1963" i="3"/>
  <c r="G1963" i="3"/>
  <c r="R1962" i="3"/>
  <c r="Q1962" i="3"/>
  <c r="P1962" i="3"/>
  <c r="O1962" i="3"/>
  <c r="G1962" i="3"/>
  <c r="R1961" i="3"/>
  <c r="Q1961" i="3"/>
  <c r="P1961" i="3"/>
  <c r="O1961" i="3"/>
  <c r="G1961" i="3"/>
  <c r="R1960" i="3"/>
  <c r="Q1960" i="3"/>
  <c r="P1960" i="3"/>
  <c r="O1960" i="3"/>
  <c r="G1960" i="3"/>
  <c r="R1959" i="3"/>
  <c r="Q1959" i="3"/>
  <c r="P1959" i="3"/>
  <c r="O1959" i="3"/>
  <c r="G1959" i="3"/>
  <c r="R1958" i="3"/>
  <c r="Q1958" i="3"/>
  <c r="P1958" i="3"/>
  <c r="O1958" i="3"/>
  <c r="G1958" i="3"/>
  <c r="R1957" i="3"/>
  <c r="Q1957" i="3"/>
  <c r="P1957" i="3"/>
  <c r="O1957" i="3"/>
  <c r="G1957" i="3"/>
  <c r="R1956" i="3"/>
  <c r="Q1956" i="3"/>
  <c r="P1956" i="3"/>
  <c r="O1956" i="3"/>
  <c r="G1956" i="3"/>
  <c r="R1955" i="3"/>
  <c r="Q1955" i="3"/>
  <c r="P1955" i="3"/>
  <c r="O1955" i="3"/>
  <c r="G1955" i="3"/>
  <c r="R1954" i="3"/>
  <c r="Q1954" i="3"/>
  <c r="P1954" i="3"/>
  <c r="O1954" i="3"/>
  <c r="G1954" i="3"/>
  <c r="R1953" i="3"/>
  <c r="Q1953" i="3"/>
  <c r="P1953" i="3"/>
  <c r="O1953" i="3"/>
  <c r="G1953" i="3"/>
  <c r="R1952" i="3"/>
  <c r="Q1952" i="3"/>
  <c r="P1952" i="3"/>
  <c r="O1952" i="3"/>
  <c r="G1952" i="3"/>
  <c r="R1951" i="3"/>
  <c r="Q1951" i="3"/>
  <c r="P1951" i="3"/>
  <c r="O1951" i="3"/>
  <c r="G1951" i="3"/>
  <c r="R1950" i="3"/>
  <c r="Q1950" i="3"/>
  <c r="P1950" i="3"/>
  <c r="O1950" i="3"/>
  <c r="G1950" i="3"/>
  <c r="R1949" i="3"/>
  <c r="Q1949" i="3"/>
  <c r="P1949" i="3"/>
  <c r="O1949" i="3"/>
  <c r="G1949" i="3"/>
  <c r="R1948" i="3"/>
  <c r="Q1948" i="3"/>
  <c r="P1948" i="3"/>
  <c r="O1948" i="3"/>
  <c r="G1948" i="3"/>
  <c r="R1947" i="3"/>
  <c r="Q1947" i="3"/>
  <c r="P1947" i="3"/>
  <c r="O1947" i="3"/>
  <c r="G1947" i="3"/>
  <c r="R1946" i="3"/>
  <c r="Q1946" i="3"/>
  <c r="P1946" i="3"/>
  <c r="O1946" i="3"/>
  <c r="G1946" i="3"/>
  <c r="R1945" i="3"/>
  <c r="Q1945" i="3"/>
  <c r="P1945" i="3"/>
  <c r="O1945" i="3"/>
  <c r="G1945" i="3"/>
  <c r="R1944" i="3"/>
  <c r="Q1944" i="3"/>
  <c r="P1944" i="3"/>
  <c r="O1944" i="3"/>
  <c r="G1944" i="3"/>
  <c r="R1943" i="3"/>
  <c r="Q1943" i="3"/>
  <c r="P1943" i="3"/>
  <c r="O1943" i="3"/>
  <c r="G1943" i="3"/>
  <c r="R1942" i="3"/>
  <c r="Q1942" i="3"/>
  <c r="P1942" i="3"/>
  <c r="O1942" i="3"/>
  <c r="G1942" i="3"/>
  <c r="R1941" i="3"/>
  <c r="Q1941" i="3"/>
  <c r="P1941" i="3"/>
  <c r="O1941" i="3"/>
  <c r="G1941" i="3"/>
  <c r="R1940" i="3"/>
  <c r="Q1940" i="3"/>
  <c r="P1940" i="3"/>
  <c r="O1940" i="3"/>
  <c r="G1940" i="3"/>
  <c r="R1939" i="3"/>
  <c r="Q1939" i="3"/>
  <c r="P1939" i="3"/>
  <c r="O1939" i="3"/>
  <c r="G1939" i="3"/>
  <c r="R1938" i="3"/>
  <c r="Q1938" i="3"/>
  <c r="P1938" i="3"/>
  <c r="O1938" i="3"/>
  <c r="G1938" i="3"/>
  <c r="R1937" i="3"/>
  <c r="Q1937" i="3"/>
  <c r="P1937" i="3"/>
  <c r="O1937" i="3"/>
  <c r="G1937" i="3"/>
  <c r="R1936" i="3"/>
  <c r="Q1936" i="3"/>
  <c r="P1936" i="3"/>
  <c r="O1936" i="3"/>
  <c r="G1936" i="3"/>
  <c r="R1935" i="3"/>
  <c r="Q1935" i="3"/>
  <c r="P1935" i="3"/>
  <c r="O1935" i="3"/>
  <c r="G1935" i="3"/>
  <c r="R1934" i="3"/>
  <c r="Q1934" i="3"/>
  <c r="P1934" i="3"/>
  <c r="O1934" i="3"/>
  <c r="G1934" i="3"/>
  <c r="R1933" i="3"/>
  <c r="Q1933" i="3"/>
  <c r="P1933" i="3"/>
  <c r="O1933" i="3"/>
  <c r="G1933" i="3"/>
  <c r="R1932" i="3"/>
  <c r="Q1932" i="3"/>
  <c r="P1932" i="3"/>
  <c r="O1932" i="3"/>
  <c r="G1932" i="3"/>
  <c r="R1931" i="3"/>
  <c r="Q1931" i="3"/>
  <c r="P1931" i="3"/>
  <c r="O1931" i="3"/>
  <c r="G1931" i="3"/>
  <c r="R1930" i="3"/>
  <c r="Q1930" i="3"/>
  <c r="P1930" i="3"/>
  <c r="O1930" i="3"/>
  <c r="G1930" i="3"/>
  <c r="R1929" i="3"/>
  <c r="Q1929" i="3"/>
  <c r="P1929" i="3"/>
  <c r="O1929" i="3"/>
  <c r="G1929" i="3"/>
  <c r="R1928" i="3"/>
  <c r="Q1928" i="3"/>
  <c r="P1928" i="3"/>
  <c r="O1928" i="3"/>
  <c r="G1928" i="3"/>
  <c r="R1927" i="3"/>
  <c r="Q1927" i="3"/>
  <c r="P1927" i="3"/>
  <c r="O1927" i="3"/>
  <c r="G1927" i="3"/>
  <c r="R1926" i="3"/>
  <c r="Q1926" i="3"/>
  <c r="P1926" i="3"/>
  <c r="O1926" i="3"/>
  <c r="G1926" i="3"/>
  <c r="R1925" i="3"/>
  <c r="Q1925" i="3"/>
  <c r="P1925" i="3"/>
  <c r="O1925" i="3"/>
  <c r="G1925" i="3"/>
  <c r="R1924" i="3"/>
  <c r="Q1924" i="3"/>
  <c r="P1924" i="3"/>
  <c r="O1924" i="3"/>
  <c r="G1924" i="3"/>
  <c r="R1923" i="3"/>
  <c r="Q1923" i="3"/>
  <c r="P1923" i="3"/>
  <c r="O1923" i="3"/>
  <c r="G1923" i="3"/>
  <c r="R1922" i="3"/>
  <c r="Q1922" i="3"/>
  <c r="P1922" i="3"/>
  <c r="O1922" i="3"/>
  <c r="G1922" i="3"/>
  <c r="R1921" i="3"/>
  <c r="Q1921" i="3"/>
  <c r="P1921" i="3"/>
  <c r="O1921" i="3"/>
  <c r="G1921" i="3"/>
  <c r="R1920" i="3"/>
  <c r="Q1920" i="3"/>
  <c r="P1920" i="3"/>
  <c r="O1920" i="3"/>
  <c r="G1920" i="3"/>
  <c r="R1919" i="3"/>
  <c r="Q1919" i="3"/>
  <c r="P1919" i="3"/>
  <c r="O1919" i="3"/>
  <c r="G1919" i="3"/>
  <c r="R1918" i="3"/>
  <c r="Q1918" i="3"/>
  <c r="P1918" i="3"/>
  <c r="O1918" i="3"/>
  <c r="G1918" i="3"/>
  <c r="R1917" i="3"/>
  <c r="Q1917" i="3"/>
  <c r="P1917" i="3"/>
  <c r="O1917" i="3"/>
  <c r="G1917" i="3"/>
  <c r="R1916" i="3"/>
  <c r="Q1916" i="3"/>
  <c r="P1916" i="3"/>
  <c r="O1916" i="3"/>
  <c r="G1916" i="3"/>
  <c r="R1915" i="3"/>
  <c r="Q1915" i="3"/>
  <c r="P1915" i="3"/>
  <c r="O1915" i="3"/>
  <c r="G1915" i="3"/>
  <c r="R1914" i="3"/>
  <c r="Q1914" i="3"/>
  <c r="P1914" i="3"/>
  <c r="O1914" i="3"/>
  <c r="G1914" i="3"/>
  <c r="R1913" i="3"/>
  <c r="Q1913" i="3"/>
  <c r="P1913" i="3"/>
  <c r="O1913" i="3"/>
  <c r="G1913" i="3"/>
  <c r="R1912" i="3"/>
  <c r="Q1912" i="3"/>
  <c r="P1912" i="3"/>
  <c r="O1912" i="3"/>
  <c r="G1912" i="3"/>
  <c r="R1911" i="3"/>
  <c r="Q1911" i="3"/>
  <c r="P1911" i="3"/>
  <c r="O1911" i="3"/>
  <c r="G1911" i="3"/>
  <c r="R1910" i="3"/>
  <c r="Q1910" i="3"/>
  <c r="P1910" i="3"/>
  <c r="O1910" i="3"/>
  <c r="G1910" i="3"/>
  <c r="R1909" i="3"/>
  <c r="Q1909" i="3"/>
  <c r="P1909" i="3"/>
  <c r="O1909" i="3"/>
  <c r="G1909" i="3"/>
  <c r="R1908" i="3"/>
  <c r="Q1908" i="3"/>
  <c r="P1908" i="3"/>
  <c r="O1908" i="3"/>
  <c r="G1908" i="3"/>
  <c r="R1907" i="3"/>
  <c r="Q1907" i="3"/>
  <c r="P1907" i="3"/>
  <c r="O1907" i="3"/>
  <c r="G1907" i="3"/>
  <c r="R1906" i="3"/>
  <c r="Q1906" i="3"/>
  <c r="P1906" i="3"/>
  <c r="O1906" i="3"/>
  <c r="G1906" i="3"/>
  <c r="R1905" i="3"/>
  <c r="Q1905" i="3"/>
  <c r="P1905" i="3"/>
  <c r="O1905" i="3"/>
  <c r="G1905" i="3"/>
  <c r="R1904" i="3"/>
  <c r="Q1904" i="3"/>
  <c r="P1904" i="3"/>
  <c r="O1904" i="3"/>
  <c r="G1904" i="3"/>
  <c r="R1903" i="3"/>
  <c r="Q1903" i="3"/>
  <c r="P1903" i="3"/>
  <c r="O1903" i="3"/>
  <c r="G1903" i="3"/>
  <c r="R1902" i="3"/>
  <c r="Q1902" i="3"/>
  <c r="P1902" i="3"/>
  <c r="O1902" i="3"/>
  <c r="G1902" i="3"/>
  <c r="R1901" i="3"/>
  <c r="Q1901" i="3"/>
  <c r="P1901" i="3"/>
  <c r="O1901" i="3"/>
  <c r="G1901" i="3"/>
  <c r="R1900" i="3"/>
  <c r="Q1900" i="3"/>
  <c r="P1900" i="3"/>
  <c r="O1900" i="3"/>
  <c r="G1900" i="3"/>
  <c r="R1899" i="3"/>
  <c r="Q1899" i="3"/>
  <c r="P1899" i="3"/>
  <c r="O1899" i="3"/>
  <c r="G1899" i="3"/>
  <c r="R1898" i="3"/>
  <c r="Q1898" i="3"/>
  <c r="P1898" i="3"/>
  <c r="O1898" i="3"/>
  <c r="G1898" i="3"/>
  <c r="R1897" i="3"/>
  <c r="Q1897" i="3"/>
  <c r="P1897" i="3"/>
  <c r="O1897" i="3"/>
  <c r="G1897" i="3"/>
  <c r="R1896" i="3"/>
  <c r="Q1896" i="3"/>
  <c r="P1896" i="3"/>
  <c r="O1896" i="3"/>
  <c r="G1896" i="3"/>
  <c r="R1895" i="3"/>
  <c r="Q1895" i="3"/>
  <c r="P1895" i="3"/>
  <c r="O1895" i="3"/>
  <c r="G1895" i="3"/>
  <c r="R1894" i="3"/>
  <c r="Q1894" i="3"/>
  <c r="P1894" i="3"/>
  <c r="O1894" i="3"/>
  <c r="G1894" i="3"/>
  <c r="R1893" i="3"/>
  <c r="Q1893" i="3"/>
  <c r="P1893" i="3"/>
  <c r="O1893" i="3"/>
  <c r="G1893" i="3"/>
  <c r="R1892" i="3"/>
  <c r="Q1892" i="3"/>
  <c r="P1892" i="3"/>
  <c r="O1892" i="3"/>
  <c r="G1892" i="3"/>
  <c r="R1891" i="3"/>
  <c r="Q1891" i="3"/>
  <c r="P1891" i="3"/>
  <c r="O1891" i="3"/>
  <c r="G1891" i="3"/>
  <c r="R1890" i="3"/>
  <c r="Q1890" i="3"/>
  <c r="P1890" i="3"/>
  <c r="O1890" i="3"/>
  <c r="G1890" i="3"/>
  <c r="R1889" i="3"/>
  <c r="Q1889" i="3"/>
  <c r="P1889" i="3"/>
  <c r="O1889" i="3"/>
  <c r="G1889" i="3"/>
  <c r="R1888" i="3"/>
  <c r="Q1888" i="3"/>
  <c r="P1888" i="3"/>
  <c r="O1888" i="3"/>
  <c r="G1888" i="3"/>
  <c r="R1887" i="3"/>
  <c r="Q1887" i="3"/>
  <c r="P1887" i="3"/>
  <c r="O1887" i="3"/>
  <c r="G1887" i="3"/>
  <c r="R1886" i="3"/>
  <c r="Q1886" i="3"/>
  <c r="P1886" i="3"/>
  <c r="O1886" i="3"/>
  <c r="G1886" i="3"/>
  <c r="R1885" i="3"/>
  <c r="Q1885" i="3"/>
  <c r="P1885" i="3"/>
  <c r="O1885" i="3"/>
  <c r="G1885" i="3"/>
  <c r="R1884" i="3"/>
  <c r="Q1884" i="3"/>
  <c r="P1884" i="3"/>
  <c r="O1884" i="3"/>
  <c r="G1884" i="3"/>
  <c r="R1883" i="3"/>
  <c r="Q1883" i="3"/>
  <c r="P1883" i="3"/>
  <c r="O1883" i="3"/>
  <c r="G1883" i="3"/>
  <c r="R1882" i="3"/>
  <c r="Q1882" i="3"/>
  <c r="P1882" i="3"/>
  <c r="O1882" i="3"/>
  <c r="G1882" i="3"/>
  <c r="R1881" i="3"/>
  <c r="Q1881" i="3"/>
  <c r="P1881" i="3"/>
  <c r="O1881" i="3"/>
  <c r="G1881" i="3"/>
  <c r="R1880" i="3"/>
  <c r="Q1880" i="3"/>
  <c r="P1880" i="3"/>
  <c r="O1880" i="3"/>
  <c r="G1880" i="3"/>
  <c r="R1879" i="3"/>
  <c r="Q1879" i="3"/>
  <c r="P1879" i="3"/>
  <c r="O1879" i="3"/>
  <c r="G1879" i="3"/>
  <c r="R1878" i="3"/>
  <c r="Q1878" i="3"/>
  <c r="P1878" i="3"/>
  <c r="O1878" i="3"/>
  <c r="G1878" i="3"/>
  <c r="R1877" i="3"/>
  <c r="Q1877" i="3"/>
  <c r="P1877" i="3"/>
  <c r="O1877" i="3"/>
  <c r="G1877" i="3"/>
  <c r="R1876" i="3"/>
  <c r="Q1876" i="3"/>
  <c r="P1876" i="3"/>
  <c r="O1876" i="3"/>
  <c r="G1876" i="3"/>
  <c r="R1875" i="3"/>
  <c r="Q1875" i="3"/>
  <c r="P1875" i="3"/>
  <c r="O1875" i="3"/>
  <c r="G1875" i="3"/>
  <c r="R1874" i="3"/>
  <c r="Q1874" i="3"/>
  <c r="P1874" i="3"/>
  <c r="O1874" i="3"/>
  <c r="G1874" i="3"/>
  <c r="R1873" i="3"/>
  <c r="Q1873" i="3"/>
  <c r="P1873" i="3"/>
  <c r="O1873" i="3"/>
  <c r="G1873" i="3"/>
  <c r="R1872" i="3"/>
  <c r="Q1872" i="3"/>
  <c r="P1872" i="3"/>
  <c r="O1872" i="3"/>
  <c r="G1872" i="3"/>
  <c r="R1871" i="3"/>
  <c r="Q1871" i="3"/>
  <c r="P1871" i="3"/>
  <c r="O1871" i="3"/>
  <c r="G1871" i="3"/>
  <c r="R1870" i="3"/>
  <c r="Q1870" i="3"/>
  <c r="P1870" i="3"/>
  <c r="O1870" i="3"/>
  <c r="G1870" i="3"/>
  <c r="R1869" i="3"/>
  <c r="Q1869" i="3"/>
  <c r="P1869" i="3"/>
  <c r="O1869" i="3"/>
  <c r="G1869" i="3"/>
  <c r="R1868" i="3"/>
  <c r="Q1868" i="3"/>
  <c r="P1868" i="3"/>
  <c r="O1868" i="3"/>
  <c r="G1868" i="3"/>
  <c r="R1867" i="3"/>
  <c r="Q1867" i="3"/>
  <c r="P1867" i="3"/>
  <c r="O1867" i="3"/>
  <c r="G1867" i="3"/>
  <c r="R1866" i="3"/>
  <c r="Q1866" i="3"/>
  <c r="P1866" i="3"/>
  <c r="O1866" i="3"/>
  <c r="G1866" i="3"/>
  <c r="R1865" i="3"/>
  <c r="Q1865" i="3"/>
  <c r="P1865" i="3"/>
  <c r="O1865" i="3"/>
  <c r="G1865" i="3"/>
  <c r="R1864" i="3"/>
  <c r="Q1864" i="3"/>
  <c r="P1864" i="3"/>
  <c r="O1864" i="3"/>
  <c r="G1864" i="3"/>
  <c r="R1863" i="3"/>
  <c r="Q1863" i="3"/>
  <c r="P1863" i="3"/>
  <c r="O1863" i="3"/>
  <c r="G1863" i="3"/>
  <c r="R1862" i="3"/>
  <c r="Q1862" i="3"/>
  <c r="P1862" i="3"/>
  <c r="O1862" i="3"/>
  <c r="G1862" i="3"/>
  <c r="R1861" i="3"/>
  <c r="Q1861" i="3"/>
  <c r="P1861" i="3"/>
  <c r="O1861" i="3"/>
  <c r="G1861" i="3"/>
  <c r="R1860" i="3"/>
  <c r="Q1860" i="3"/>
  <c r="P1860" i="3"/>
  <c r="O1860" i="3"/>
  <c r="G1860" i="3"/>
  <c r="R1859" i="3"/>
  <c r="Q1859" i="3"/>
  <c r="P1859" i="3"/>
  <c r="O1859" i="3"/>
  <c r="G1859" i="3"/>
  <c r="R1858" i="3"/>
  <c r="Q1858" i="3"/>
  <c r="P1858" i="3"/>
  <c r="O1858" i="3"/>
  <c r="G1858" i="3"/>
  <c r="R1857" i="3"/>
  <c r="Q1857" i="3"/>
  <c r="P1857" i="3"/>
  <c r="O1857" i="3"/>
  <c r="G1857" i="3"/>
  <c r="R1856" i="3"/>
  <c r="Q1856" i="3"/>
  <c r="P1856" i="3"/>
  <c r="O1856" i="3"/>
  <c r="G1856" i="3"/>
  <c r="R1855" i="3"/>
  <c r="Q1855" i="3"/>
  <c r="P1855" i="3"/>
  <c r="O1855" i="3"/>
  <c r="G1855" i="3"/>
  <c r="R1854" i="3"/>
  <c r="Q1854" i="3"/>
  <c r="P1854" i="3"/>
  <c r="O1854" i="3"/>
  <c r="G1854" i="3"/>
  <c r="R1853" i="3"/>
  <c r="Q1853" i="3"/>
  <c r="P1853" i="3"/>
  <c r="O1853" i="3"/>
  <c r="G1853" i="3"/>
  <c r="R1852" i="3"/>
  <c r="Q1852" i="3"/>
  <c r="P1852" i="3"/>
  <c r="O1852" i="3"/>
  <c r="G1852" i="3"/>
  <c r="R1851" i="3"/>
  <c r="Q1851" i="3"/>
  <c r="P1851" i="3"/>
  <c r="O1851" i="3"/>
  <c r="G1851" i="3"/>
  <c r="R1850" i="3"/>
  <c r="Q1850" i="3"/>
  <c r="P1850" i="3"/>
  <c r="O1850" i="3"/>
  <c r="G1850" i="3"/>
  <c r="R1849" i="3"/>
  <c r="Q1849" i="3"/>
  <c r="P1849" i="3"/>
  <c r="O1849" i="3"/>
  <c r="G1849" i="3"/>
  <c r="R1848" i="3"/>
  <c r="Q1848" i="3"/>
  <c r="P1848" i="3"/>
  <c r="O1848" i="3"/>
  <c r="G1848" i="3"/>
  <c r="R1847" i="3"/>
  <c r="Q1847" i="3"/>
  <c r="P1847" i="3"/>
  <c r="O1847" i="3"/>
  <c r="G1847" i="3"/>
  <c r="R1846" i="3"/>
  <c r="Q1846" i="3"/>
  <c r="P1846" i="3"/>
  <c r="O1846" i="3"/>
  <c r="G1846" i="3"/>
  <c r="R1845" i="3"/>
  <c r="Q1845" i="3"/>
  <c r="P1845" i="3"/>
  <c r="O1845" i="3"/>
  <c r="G1845" i="3"/>
  <c r="R1844" i="3"/>
  <c r="Q1844" i="3"/>
  <c r="P1844" i="3"/>
  <c r="O1844" i="3"/>
  <c r="G1844" i="3"/>
  <c r="R1843" i="3"/>
  <c r="Q1843" i="3"/>
  <c r="P1843" i="3"/>
  <c r="O1843" i="3"/>
  <c r="G1843" i="3"/>
  <c r="R1842" i="3"/>
  <c r="Q1842" i="3"/>
  <c r="P1842" i="3"/>
  <c r="O1842" i="3"/>
  <c r="G1842" i="3"/>
  <c r="R1841" i="3"/>
  <c r="Q1841" i="3"/>
  <c r="P1841" i="3"/>
  <c r="O1841" i="3"/>
  <c r="G1841" i="3"/>
  <c r="R1840" i="3"/>
  <c r="Q1840" i="3"/>
  <c r="P1840" i="3"/>
  <c r="O1840" i="3"/>
  <c r="G1840" i="3"/>
  <c r="R1839" i="3"/>
  <c r="Q1839" i="3"/>
  <c r="P1839" i="3"/>
  <c r="O1839" i="3"/>
  <c r="G1839" i="3"/>
  <c r="R1838" i="3"/>
  <c r="Q1838" i="3"/>
  <c r="P1838" i="3"/>
  <c r="O1838" i="3"/>
  <c r="G1838" i="3"/>
  <c r="R1837" i="3"/>
  <c r="Q1837" i="3"/>
  <c r="P1837" i="3"/>
  <c r="O1837" i="3"/>
  <c r="G1837" i="3"/>
  <c r="R1836" i="3"/>
  <c r="Q1836" i="3"/>
  <c r="P1836" i="3"/>
  <c r="O1836" i="3"/>
  <c r="G1836" i="3"/>
  <c r="R1835" i="3"/>
  <c r="Q1835" i="3"/>
  <c r="P1835" i="3"/>
  <c r="O1835" i="3"/>
  <c r="G1835" i="3"/>
  <c r="R1834" i="3"/>
  <c r="Q1834" i="3"/>
  <c r="P1834" i="3"/>
  <c r="O1834" i="3"/>
  <c r="G1834" i="3"/>
  <c r="R1833" i="3"/>
  <c r="Q1833" i="3"/>
  <c r="P1833" i="3"/>
  <c r="O1833" i="3"/>
  <c r="G1833" i="3"/>
  <c r="R1832" i="3"/>
  <c r="Q1832" i="3"/>
  <c r="P1832" i="3"/>
  <c r="O1832" i="3"/>
  <c r="G1832" i="3"/>
  <c r="R1831" i="3"/>
  <c r="Q1831" i="3"/>
  <c r="P1831" i="3"/>
  <c r="O1831" i="3"/>
  <c r="G1831" i="3"/>
  <c r="R1830" i="3"/>
  <c r="Q1830" i="3"/>
  <c r="P1830" i="3"/>
  <c r="O1830" i="3"/>
  <c r="G1830" i="3"/>
  <c r="R1829" i="3"/>
  <c r="Q1829" i="3"/>
  <c r="P1829" i="3"/>
  <c r="O1829" i="3"/>
  <c r="G1829" i="3"/>
  <c r="R1828" i="3"/>
  <c r="Q1828" i="3"/>
  <c r="P1828" i="3"/>
  <c r="O1828" i="3"/>
  <c r="G1828" i="3"/>
  <c r="R1827" i="3"/>
  <c r="Q1827" i="3"/>
  <c r="P1827" i="3"/>
  <c r="O1827" i="3"/>
  <c r="G1827" i="3"/>
  <c r="R1826" i="3"/>
  <c r="Q1826" i="3"/>
  <c r="P1826" i="3"/>
  <c r="O1826" i="3"/>
  <c r="G1826" i="3"/>
  <c r="R1825" i="3"/>
  <c r="Q1825" i="3"/>
  <c r="P1825" i="3"/>
  <c r="O1825" i="3"/>
  <c r="G1825" i="3"/>
  <c r="R1824" i="3"/>
  <c r="Q1824" i="3"/>
  <c r="P1824" i="3"/>
  <c r="O1824" i="3"/>
  <c r="G1824" i="3"/>
  <c r="R1823" i="3"/>
  <c r="Q1823" i="3"/>
  <c r="P1823" i="3"/>
  <c r="O1823" i="3"/>
  <c r="G1823" i="3"/>
  <c r="R1822" i="3"/>
  <c r="Q1822" i="3"/>
  <c r="P1822" i="3"/>
  <c r="O1822" i="3"/>
  <c r="G1822" i="3"/>
  <c r="R1821" i="3"/>
  <c r="Q1821" i="3"/>
  <c r="P1821" i="3"/>
  <c r="O1821" i="3"/>
  <c r="G1821" i="3"/>
  <c r="R1820" i="3"/>
  <c r="Q1820" i="3"/>
  <c r="P1820" i="3"/>
  <c r="O1820" i="3"/>
  <c r="G1820" i="3"/>
  <c r="R1819" i="3"/>
  <c r="Q1819" i="3"/>
  <c r="P1819" i="3"/>
  <c r="O1819" i="3"/>
  <c r="G1819" i="3"/>
  <c r="R1818" i="3"/>
  <c r="Q1818" i="3"/>
  <c r="P1818" i="3"/>
  <c r="O1818" i="3"/>
  <c r="G1818" i="3"/>
  <c r="R1817" i="3"/>
  <c r="Q1817" i="3"/>
  <c r="P1817" i="3"/>
  <c r="O1817" i="3"/>
  <c r="G1817" i="3"/>
  <c r="R1816" i="3"/>
  <c r="Q1816" i="3"/>
  <c r="P1816" i="3"/>
  <c r="O1816" i="3"/>
  <c r="G1816" i="3"/>
  <c r="R1815" i="3"/>
  <c r="Q1815" i="3"/>
  <c r="P1815" i="3"/>
  <c r="O1815" i="3"/>
  <c r="G1815" i="3"/>
  <c r="R1814" i="3"/>
  <c r="Q1814" i="3"/>
  <c r="P1814" i="3"/>
  <c r="O1814" i="3"/>
  <c r="G1814" i="3"/>
  <c r="R1813" i="3"/>
  <c r="Q1813" i="3"/>
  <c r="P1813" i="3"/>
  <c r="O1813" i="3"/>
  <c r="G1813" i="3"/>
  <c r="R1812" i="3"/>
  <c r="Q1812" i="3"/>
  <c r="P1812" i="3"/>
  <c r="O1812" i="3"/>
  <c r="G1812" i="3"/>
  <c r="R1811" i="3"/>
  <c r="Q1811" i="3"/>
  <c r="P1811" i="3"/>
  <c r="O1811" i="3"/>
  <c r="G1811" i="3"/>
  <c r="R1810" i="3"/>
  <c r="Q1810" i="3"/>
  <c r="P1810" i="3"/>
  <c r="O1810" i="3"/>
  <c r="G1810" i="3"/>
  <c r="R1809" i="3"/>
  <c r="Q1809" i="3"/>
  <c r="P1809" i="3"/>
  <c r="O1809" i="3"/>
  <c r="G1809" i="3"/>
  <c r="R1808" i="3"/>
  <c r="Q1808" i="3"/>
  <c r="P1808" i="3"/>
  <c r="O1808" i="3"/>
  <c r="G1808" i="3"/>
  <c r="R1807" i="3"/>
  <c r="Q1807" i="3"/>
  <c r="P1807" i="3"/>
  <c r="O1807" i="3"/>
  <c r="G1807" i="3"/>
  <c r="R1806" i="3"/>
  <c r="Q1806" i="3"/>
  <c r="P1806" i="3"/>
  <c r="O1806" i="3"/>
  <c r="G1806" i="3"/>
  <c r="R1805" i="3"/>
  <c r="Q1805" i="3"/>
  <c r="P1805" i="3"/>
  <c r="O1805" i="3"/>
  <c r="G1805" i="3"/>
  <c r="R1804" i="3"/>
  <c r="Q1804" i="3"/>
  <c r="P1804" i="3"/>
  <c r="O1804" i="3"/>
  <c r="G1804" i="3"/>
  <c r="R1803" i="3"/>
  <c r="Q1803" i="3"/>
  <c r="P1803" i="3"/>
  <c r="O1803" i="3"/>
  <c r="G1803" i="3"/>
  <c r="R1802" i="3"/>
  <c r="Q1802" i="3"/>
  <c r="P1802" i="3"/>
  <c r="O1802" i="3"/>
  <c r="G1802" i="3"/>
  <c r="R1801" i="3"/>
  <c r="Q1801" i="3"/>
  <c r="P1801" i="3"/>
  <c r="O1801" i="3"/>
  <c r="G1801" i="3"/>
  <c r="R1800" i="3"/>
  <c r="Q1800" i="3"/>
  <c r="P1800" i="3"/>
  <c r="O1800" i="3"/>
  <c r="G1800" i="3"/>
  <c r="R1799" i="3"/>
  <c r="Q1799" i="3"/>
  <c r="P1799" i="3"/>
  <c r="O1799" i="3"/>
  <c r="G1799" i="3"/>
  <c r="R1798" i="3"/>
  <c r="Q1798" i="3"/>
  <c r="P1798" i="3"/>
  <c r="O1798" i="3"/>
  <c r="G1798" i="3"/>
  <c r="R1797" i="3"/>
  <c r="Q1797" i="3"/>
  <c r="P1797" i="3"/>
  <c r="O1797" i="3"/>
  <c r="G1797" i="3"/>
  <c r="R1796" i="3"/>
  <c r="Q1796" i="3"/>
  <c r="P1796" i="3"/>
  <c r="O1796" i="3"/>
  <c r="G1796" i="3"/>
  <c r="R1795" i="3"/>
  <c r="Q1795" i="3"/>
  <c r="P1795" i="3"/>
  <c r="O1795" i="3"/>
  <c r="G1795" i="3"/>
  <c r="R1794" i="3"/>
  <c r="Q1794" i="3"/>
  <c r="P1794" i="3"/>
  <c r="O1794" i="3"/>
  <c r="G1794" i="3"/>
  <c r="R1793" i="3"/>
  <c r="Q1793" i="3"/>
  <c r="P1793" i="3"/>
  <c r="O1793" i="3"/>
  <c r="G1793" i="3"/>
  <c r="R1792" i="3"/>
  <c r="Q1792" i="3"/>
  <c r="P1792" i="3"/>
  <c r="O1792" i="3"/>
  <c r="G1792" i="3"/>
  <c r="R1791" i="3"/>
  <c r="Q1791" i="3"/>
  <c r="P1791" i="3"/>
  <c r="O1791" i="3"/>
  <c r="G1791" i="3"/>
  <c r="R1790" i="3"/>
  <c r="Q1790" i="3"/>
  <c r="P1790" i="3"/>
  <c r="O1790" i="3"/>
  <c r="G1790" i="3"/>
  <c r="R1789" i="3"/>
  <c r="Q1789" i="3"/>
  <c r="P1789" i="3"/>
  <c r="O1789" i="3"/>
  <c r="G1789" i="3"/>
  <c r="R1788" i="3"/>
  <c r="Q1788" i="3"/>
  <c r="P1788" i="3"/>
  <c r="O1788" i="3"/>
  <c r="G1788" i="3"/>
  <c r="R1787" i="3"/>
  <c r="Q1787" i="3"/>
  <c r="P1787" i="3"/>
  <c r="O1787" i="3"/>
  <c r="G1787" i="3"/>
  <c r="R1786" i="3"/>
  <c r="Q1786" i="3"/>
  <c r="P1786" i="3"/>
  <c r="O1786" i="3"/>
  <c r="G1786" i="3"/>
  <c r="R1785" i="3"/>
  <c r="Q1785" i="3"/>
  <c r="P1785" i="3"/>
  <c r="O1785" i="3"/>
  <c r="G1785" i="3"/>
  <c r="R1784" i="3"/>
  <c r="Q1784" i="3"/>
  <c r="P1784" i="3"/>
  <c r="O1784" i="3"/>
  <c r="G1784" i="3"/>
  <c r="R1783" i="3"/>
  <c r="Q1783" i="3"/>
  <c r="P1783" i="3"/>
  <c r="O1783" i="3"/>
  <c r="G1783" i="3"/>
  <c r="R1782" i="3"/>
  <c r="Q1782" i="3"/>
  <c r="P1782" i="3"/>
  <c r="O1782" i="3"/>
  <c r="G1782" i="3"/>
  <c r="R1781" i="3"/>
  <c r="Q1781" i="3"/>
  <c r="P1781" i="3"/>
  <c r="O1781" i="3"/>
  <c r="G1781" i="3"/>
  <c r="R1780" i="3"/>
  <c r="Q1780" i="3"/>
  <c r="P1780" i="3"/>
  <c r="O1780" i="3"/>
  <c r="G1780" i="3"/>
  <c r="R1779" i="3"/>
  <c r="Q1779" i="3"/>
  <c r="P1779" i="3"/>
  <c r="O1779" i="3"/>
  <c r="G1779" i="3"/>
  <c r="R1778" i="3"/>
  <c r="Q1778" i="3"/>
  <c r="P1778" i="3"/>
  <c r="O1778" i="3"/>
  <c r="G1778" i="3"/>
  <c r="R1777" i="3"/>
  <c r="Q1777" i="3"/>
  <c r="P1777" i="3"/>
  <c r="O1777" i="3"/>
  <c r="G1777" i="3"/>
  <c r="R1776" i="3"/>
  <c r="Q1776" i="3"/>
  <c r="P1776" i="3"/>
  <c r="O1776" i="3"/>
  <c r="G1776" i="3"/>
  <c r="R1775" i="3"/>
  <c r="Q1775" i="3"/>
  <c r="P1775" i="3"/>
  <c r="O1775" i="3"/>
  <c r="G1775" i="3"/>
  <c r="R1774" i="3"/>
  <c r="Q1774" i="3"/>
  <c r="P1774" i="3"/>
  <c r="O1774" i="3"/>
  <c r="G1774" i="3"/>
  <c r="R1773" i="3"/>
  <c r="Q1773" i="3"/>
  <c r="P1773" i="3"/>
  <c r="O1773" i="3"/>
  <c r="G1773" i="3"/>
  <c r="R1772" i="3"/>
  <c r="Q1772" i="3"/>
  <c r="P1772" i="3"/>
  <c r="O1772" i="3"/>
  <c r="G1772" i="3"/>
  <c r="R1771" i="3"/>
  <c r="Q1771" i="3"/>
  <c r="P1771" i="3"/>
  <c r="O1771" i="3"/>
  <c r="G1771" i="3"/>
  <c r="R1770" i="3"/>
  <c r="Q1770" i="3"/>
  <c r="P1770" i="3"/>
  <c r="O1770" i="3"/>
  <c r="G1770" i="3"/>
  <c r="R1769" i="3"/>
  <c r="Q1769" i="3"/>
  <c r="P1769" i="3"/>
  <c r="O1769" i="3"/>
  <c r="G1769" i="3"/>
  <c r="R1768" i="3"/>
  <c r="Q1768" i="3"/>
  <c r="P1768" i="3"/>
  <c r="O1768" i="3"/>
  <c r="G1768" i="3"/>
  <c r="R1767" i="3"/>
  <c r="Q1767" i="3"/>
  <c r="P1767" i="3"/>
  <c r="O1767" i="3"/>
  <c r="G1767" i="3"/>
  <c r="R1766" i="3"/>
  <c r="Q1766" i="3"/>
  <c r="P1766" i="3"/>
  <c r="O1766" i="3"/>
  <c r="G1766" i="3"/>
  <c r="R1765" i="3"/>
  <c r="Q1765" i="3"/>
  <c r="P1765" i="3"/>
  <c r="O1765" i="3"/>
  <c r="G1765" i="3"/>
  <c r="R1764" i="3"/>
  <c r="Q1764" i="3"/>
  <c r="P1764" i="3"/>
  <c r="O1764" i="3"/>
  <c r="G1764" i="3"/>
  <c r="R1763" i="3"/>
  <c r="Q1763" i="3"/>
  <c r="P1763" i="3"/>
  <c r="O1763" i="3"/>
  <c r="G1763" i="3"/>
  <c r="R1762" i="3"/>
  <c r="Q1762" i="3"/>
  <c r="P1762" i="3"/>
  <c r="O1762" i="3"/>
  <c r="G1762" i="3"/>
  <c r="R1761" i="3"/>
  <c r="Q1761" i="3"/>
  <c r="P1761" i="3"/>
  <c r="O1761" i="3"/>
  <c r="G1761" i="3"/>
  <c r="R1760" i="3"/>
  <c r="Q1760" i="3"/>
  <c r="P1760" i="3"/>
  <c r="O1760" i="3"/>
  <c r="G1760" i="3"/>
  <c r="R1759" i="3"/>
  <c r="Q1759" i="3"/>
  <c r="P1759" i="3"/>
  <c r="O1759" i="3"/>
  <c r="G1759" i="3"/>
  <c r="R1758" i="3"/>
  <c r="Q1758" i="3"/>
  <c r="P1758" i="3"/>
  <c r="O1758" i="3"/>
  <c r="G1758" i="3"/>
  <c r="R1757" i="3"/>
  <c r="Q1757" i="3"/>
  <c r="P1757" i="3"/>
  <c r="O1757" i="3"/>
  <c r="G1757" i="3"/>
  <c r="R1756" i="3"/>
  <c r="Q1756" i="3"/>
  <c r="P1756" i="3"/>
  <c r="O1756" i="3"/>
  <c r="G1756" i="3"/>
  <c r="R1755" i="3"/>
  <c r="Q1755" i="3"/>
  <c r="P1755" i="3"/>
  <c r="O1755" i="3"/>
  <c r="G1755" i="3"/>
  <c r="R1754" i="3"/>
  <c r="Q1754" i="3"/>
  <c r="P1754" i="3"/>
  <c r="O1754" i="3"/>
  <c r="G1754" i="3"/>
  <c r="R1753" i="3"/>
  <c r="Q1753" i="3"/>
  <c r="P1753" i="3"/>
  <c r="O1753" i="3"/>
  <c r="G1753" i="3"/>
  <c r="R1752" i="3"/>
  <c r="Q1752" i="3"/>
  <c r="P1752" i="3"/>
  <c r="O1752" i="3"/>
  <c r="G1752" i="3"/>
  <c r="R1751" i="3"/>
  <c r="Q1751" i="3"/>
  <c r="P1751" i="3"/>
  <c r="O1751" i="3"/>
  <c r="G1751" i="3"/>
  <c r="R1750" i="3"/>
  <c r="Q1750" i="3"/>
  <c r="P1750" i="3"/>
  <c r="O1750" i="3"/>
  <c r="G1750" i="3"/>
  <c r="R1749" i="3"/>
  <c r="Q1749" i="3"/>
  <c r="P1749" i="3"/>
  <c r="O1749" i="3"/>
  <c r="G1749" i="3"/>
  <c r="R1748" i="3"/>
  <c r="Q1748" i="3"/>
  <c r="P1748" i="3"/>
  <c r="O1748" i="3"/>
  <c r="G1748" i="3"/>
  <c r="R1747" i="3"/>
  <c r="Q1747" i="3"/>
  <c r="P1747" i="3"/>
  <c r="O1747" i="3"/>
  <c r="G1747" i="3"/>
  <c r="R1746" i="3"/>
  <c r="Q1746" i="3"/>
  <c r="P1746" i="3"/>
  <c r="O1746" i="3"/>
  <c r="G1746" i="3"/>
  <c r="R1745" i="3"/>
  <c r="Q1745" i="3"/>
  <c r="P1745" i="3"/>
  <c r="O1745" i="3"/>
  <c r="G1745" i="3"/>
  <c r="R1744" i="3"/>
  <c r="Q1744" i="3"/>
  <c r="P1744" i="3"/>
  <c r="O1744" i="3"/>
  <c r="G1744" i="3"/>
  <c r="R1743" i="3"/>
  <c r="Q1743" i="3"/>
  <c r="P1743" i="3"/>
  <c r="O1743" i="3"/>
  <c r="G1743" i="3"/>
  <c r="R1742" i="3"/>
  <c r="Q1742" i="3"/>
  <c r="P1742" i="3"/>
  <c r="O1742" i="3"/>
  <c r="G1742" i="3"/>
  <c r="R1741" i="3"/>
  <c r="Q1741" i="3"/>
  <c r="P1741" i="3"/>
  <c r="O1741" i="3"/>
  <c r="G1741" i="3"/>
  <c r="R1740" i="3"/>
  <c r="Q1740" i="3"/>
  <c r="P1740" i="3"/>
  <c r="O1740" i="3"/>
  <c r="G1740" i="3"/>
  <c r="R1739" i="3"/>
  <c r="Q1739" i="3"/>
  <c r="P1739" i="3"/>
  <c r="O1739" i="3"/>
  <c r="G1739" i="3"/>
  <c r="R1738" i="3"/>
  <c r="Q1738" i="3"/>
  <c r="P1738" i="3"/>
  <c r="O1738" i="3"/>
  <c r="G1738" i="3"/>
  <c r="R1737" i="3"/>
  <c r="Q1737" i="3"/>
  <c r="P1737" i="3"/>
  <c r="O1737" i="3"/>
  <c r="G1737" i="3"/>
  <c r="R1736" i="3"/>
  <c r="Q1736" i="3"/>
  <c r="P1736" i="3"/>
  <c r="O1736" i="3"/>
  <c r="G1736" i="3"/>
  <c r="R1735" i="3"/>
  <c r="Q1735" i="3"/>
  <c r="P1735" i="3"/>
  <c r="O1735" i="3"/>
  <c r="G1735" i="3"/>
  <c r="R1734" i="3"/>
  <c r="Q1734" i="3"/>
  <c r="P1734" i="3"/>
  <c r="O1734" i="3"/>
  <c r="G1734" i="3"/>
  <c r="R1733" i="3"/>
  <c r="Q1733" i="3"/>
  <c r="P1733" i="3"/>
  <c r="O1733" i="3"/>
  <c r="G1733" i="3"/>
  <c r="R1732" i="3"/>
  <c r="Q1732" i="3"/>
  <c r="P1732" i="3"/>
  <c r="O1732" i="3"/>
  <c r="G1732" i="3"/>
  <c r="R1731" i="3"/>
  <c r="Q1731" i="3"/>
  <c r="P1731" i="3"/>
  <c r="O1731" i="3"/>
  <c r="G1731" i="3"/>
  <c r="R1730" i="3"/>
  <c r="Q1730" i="3"/>
  <c r="P1730" i="3"/>
  <c r="O1730" i="3"/>
  <c r="G1730" i="3"/>
  <c r="R1729" i="3"/>
  <c r="Q1729" i="3"/>
  <c r="P1729" i="3"/>
  <c r="O1729" i="3"/>
  <c r="G1729" i="3"/>
  <c r="R1728" i="3"/>
  <c r="Q1728" i="3"/>
  <c r="P1728" i="3"/>
  <c r="O1728" i="3"/>
  <c r="G1728" i="3"/>
  <c r="R1727" i="3"/>
  <c r="Q1727" i="3"/>
  <c r="P1727" i="3"/>
  <c r="O1727" i="3"/>
  <c r="G1727" i="3"/>
  <c r="R1726" i="3"/>
  <c r="Q1726" i="3"/>
  <c r="P1726" i="3"/>
  <c r="O1726" i="3"/>
  <c r="G1726" i="3"/>
  <c r="R1725" i="3"/>
  <c r="Q1725" i="3"/>
  <c r="P1725" i="3"/>
  <c r="O1725" i="3"/>
  <c r="G1725" i="3"/>
  <c r="R1724" i="3"/>
  <c r="Q1724" i="3"/>
  <c r="P1724" i="3"/>
  <c r="O1724" i="3"/>
  <c r="G1724" i="3"/>
  <c r="R1723" i="3"/>
  <c r="Q1723" i="3"/>
  <c r="P1723" i="3"/>
  <c r="O1723" i="3"/>
  <c r="G1723" i="3"/>
  <c r="R1722" i="3"/>
  <c r="Q1722" i="3"/>
  <c r="P1722" i="3"/>
  <c r="O1722" i="3"/>
  <c r="G1722" i="3"/>
  <c r="R1721" i="3"/>
  <c r="Q1721" i="3"/>
  <c r="P1721" i="3"/>
  <c r="O1721" i="3"/>
  <c r="G1721" i="3"/>
  <c r="R1720" i="3"/>
  <c r="Q1720" i="3"/>
  <c r="P1720" i="3"/>
  <c r="O1720" i="3"/>
  <c r="G1720" i="3"/>
  <c r="R1719" i="3"/>
  <c r="Q1719" i="3"/>
  <c r="P1719" i="3"/>
  <c r="O1719" i="3"/>
  <c r="G1719" i="3"/>
  <c r="R1718" i="3"/>
  <c r="Q1718" i="3"/>
  <c r="P1718" i="3"/>
  <c r="O1718" i="3"/>
  <c r="G1718" i="3"/>
  <c r="R1717" i="3"/>
  <c r="Q1717" i="3"/>
  <c r="P1717" i="3"/>
  <c r="O1717" i="3"/>
  <c r="G1717" i="3"/>
  <c r="R1716" i="3"/>
  <c r="Q1716" i="3"/>
  <c r="P1716" i="3"/>
  <c r="O1716" i="3"/>
  <c r="G1716" i="3"/>
  <c r="R1715" i="3"/>
  <c r="Q1715" i="3"/>
  <c r="P1715" i="3"/>
  <c r="O1715" i="3"/>
  <c r="G1715" i="3"/>
  <c r="R1714" i="3"/>
  <c r="Q1714" i="3"/>
  <c r="P1714" i="3"/>
  <c r="O1714" i="3"/>
  <c r="G1714" i="3"/>
  <c r="R1713" i="3"/>
  <c r="Q1713" i="3"/>
  <c r="P1713" i="3"/>
  <c r="O1713" i="3"/>
  <c r="G1713" i="3"/>
  <c r="R1712" i="3"/>
  <c r="Q1712" i="3"/>
  <c r="P1712" i="3"/>
  <c r="O1712" i="3"/>
  <c r="G1712" i="3"/>
  <c r="R1711" i="3"/>
  <c r="Q1711" i="3"/>
  <c r="P1711" i="3"/>
  <c r="O1711" i="3"/>
  <c r="G1711" i="3"/>
  <c r="R1710" i="3"/>
  <c r="Q1710" i="3"/>
  <c r="P1710" i="3"/>
  <c r="O1710" i="3"/>
  <c r="G1710" i="3"/>
  <c r="R1709" i="3"/>
  <c r="Q1709" i="3"/>
  <c r="P1709" i="3"/>
  <c r="O1709" i="3"/>
  <c r="G1709" i="3"/>
  <c r="R1708" i="3"/>
  <c r="Q1708" i="3"/>
  <c r="P1708" i="3"/>
  <c r="O1708" i="3"/>
  <c r="G1708" i="3"/>
  <c r="R1707" i="3"/>
  <c r="Q1707" i="3"/>
  <c r="P1707" i="3"/>
  <c r="O1707" i="3"/>
  <c r="G1707" i="3"/>
  <c r="R1706" i="3"/>
  <c r="Q1706" i="3"/>
  <c r="P1706" i="3"/>
  <c r="O1706" i="3"/>
  <c r="G1706" i="3"/>
  <c r="R1705" i="3"/>
  <c r="Q1705" i="3"/>
  <c r="P1705" i="3"/>
  <c r="O1705" i="3"/>
  <c r="G1705" i="3"/>
  <c r="R1704" i="3"/>
  <c r="Q1704" i="3"/>
  <c r="P1704" i="3"/>
  <c r="O1704" i="3"/>
  <c r="G1704" i="3"/>
  <c r="R1703" i="3"/>
  <c r="Q1703" i="3"/>
  <c r="P1703" i="3"/>
  <c r="O1703" i="3"/>
  <c r="G1703" i="3"/>
  <c r="R1702" i="3"/>
  <c r="Q1702" i="3"/>
  <c r="P1702" i="3"/>
  <c r="O1702" i="3"/>
  <c r="G1702" i="3"/>
  <c r="R1701" i="3"/>
  <c r="Q1701" i="3"/>
  <c r="P1701" i="3"/>
  <c r="O1701" i="3"/>
  <c r="G1701" i="3"/>
  <c r="R1700" i="3"/>
  <c r="Q1700" i="3"/>
  <c r="P1700" i="3"/>
  <c r="O1700" i="3"/>
  <c r="G1700" i="3"/>
  <c r="R1699" i="3"/>
  <c r="Q1699" i="3"/>
  <c r="P1699" i="3"/>
  <c r="O1699" i="3"/>
  <c r="G1699" i="3"/>
  <c r="R1698" i="3"/>
  <c r="Q1698" i="3"/>
  <c r="P1698" i="3"/>
  <c r="O1698" i="3"/>
  <c r="G1698" i="3"/>
  <c r="R1697" i="3"/>
  <c r="Q1697" i="3"/>
  <c r="P1697" i="3"/>
  <c r="O1697" i="3"/>
  <c r="G1697" i="3"/>
  <c r="R1696" i="3"/>
  <c r="Q1696" i="3"/>
  <c r="P1696" i="3"/>
  <c r="O1696" i="3"/>
  <c r="G1696" i="3"/>
  <c r="R1695" i="3"/>
  <c r="Q1695" i="3"/>
  <c r="P1695" i="3"/>
  <c r="O1695" i="3"/>
  <c r="G1695" i="3"/>
  <c r="R1694" i="3"/>
  <c r="Q1694" i="3"/>
  <c r="P1694" i="3"/>
  <c r="O1694" i="3"/>
  <c r="G1694" i="3"/>
  <c r="R1693" i="3"/>
  <c r="Q1693" i="3"/>
  <c r="P1693" i="3"/>
  <c r="O1693" i="3"/>
  <c r="G1693" i="3"/>
  <c r="R1692" i="3"/>
  <c r="Q1692" i="3"/>
  <c r="P1692" i="3"/>
  <c r="O1692" i="3"/>
  <c r="G1692" i="3"/>
  <c r="R1691" i="3"/>
  <c r="Q1691" i="3"/>
  <c r="P1691" i="3"/>
  <c r="O1691" i="3"/>
  <c r="G1691" i="3"/>
  <c r="R1690" i="3"/>
  <c r="Q1690" i="3"/>
  <c r="P1690" i="3"/>
  <c r="O1690" i="3"/>
  <c r="G1690" i="3"/>
  <c r="R1689" i="3"/>
  <c r="Q1689" i="3"/>
  <c r="P1689" i="3"/>
  <c r="O1689" i="3"/>
  <c r="G1689" i="3"/>
  <c r="R1688" i="3"/>
  <c r="Q1688" i="3"/>
  <c r="P1688" i="3"/>
  <c r="O1688" i="3"/>
  <c r="G1688" i="3"/>
  <c r="R1687" i="3"/>
  <c r="Q1687" i="3"/>
  <c r="P1687" i="3"/>
  <c r="O1687" i="3"/>
  <c r="G1687" i="3"/>
  <c r="R1686" i="3"/>
  <c r="Q1686" i="3"/>
  <c r="P1686" i="3"/>
  <c r="O1686" i="3"/>
  <c r="G1686" i="3"/>
  <c r="R1685" i="3"/>
  <c r="Q1685" i="3"/>
  <c r="P1685" i="3"/>
  <c r="O1685" i="3"/>
  <c r="G1685" i="3"/>
  <c r="R1684" i="3"/>
  <c r="Q1684" i="3"/>
  <c r="P1684" i="3"/>
  <c r="O1684" i="3"/>
  <c r="G1684" i="3"/>
  <c r="R1683" i="3"/>
  <c r="Q1683" i="3"/>
  <c r="P1683" i="3"/>
  <c r="O1683" i="3"/>
  <c r="G1683" i="3"/>
  <c r="R1682" i="3"/>
  <c r="Q1682" i="3"/>
  <c r="P1682" i="3"/>
  <c r="O1682" i="3"/>
  <c r="G1682" i="3"/>
  <c r="R1681" i="3"/>
  <c r="Q1681" i="3"/>
  <c r="P1681" i="3"/>
  <c r="O1681" i="3"/>
  <c r="G1681" i="3"/>
  <c r="R1680" i="3"/>
  <c r="Q1680" i="3"/>
  <c r="P1680" i="3"/>
  <c r="O1680" i="3"/>
  <c r="G1680" i="3"/>
  <c r="R1679" i="3"/>
  <c r="Q1679" i="3"/>
  <c r="P1679" i="3"/>
  <c r="O1679" i="3"/>
  <c r="G1679" i="3"/>
  <c r="R1678" i="3"/>
  <c r="Q1678" i="3"/>
  <c r="P1678" i="3"/>
  <c r="O1678" i="3"/>
  <c r="G1678" i="3"/>
  <c r="R1677" i="3"/>
  <c r="Q1677" i="3"/>
  <c r="P1677" i="3"/>
  <c r="O1677" i="3"/>
  <c r="G1677" i="3"/>
  <c r="R1676" i="3"/>
  <c r="Q1676" i="3"/>
  <c r="P1676" i="3"/>
  <c r="O1676" i="3"/>
  <c r="G1676" i="3"/>
  <c r="R1675" i="3"/>
  <c r="Q1675" i="3"/>
  <c r="P1675" i="3"/>
  <c r="O1675" i="3"/>
  <c r="G1675" i="3"/>
  <c r="R1674" i="3"/>
  <c r="Q1674" i="3"/>
  <c r="P1674" i="3"/>
  <c r="O1674" i="3"/>
  <c r="G1674" i="3"/>
  <c r="R1673" i="3"/>
  <c r="Q1673" i="3"/>
  <c r="P1673" i="3"/>
  <c r="O1673" i="3"/>
  <c r="G1673" i="3"/>
  <c r="R1672" i="3"/>
  <c r="Q1672" i="3"/>
  <c r="P1672" i="3"/>
  <c r="O1672" i="3"/>
  <c r="G1672" i="3"/>
  <c r="R1671" i="3"/>
  <c r="Q1671" i="3"/>
  <c r="P1671" i="3"/>
  <c r="O1671" i="3"/>
  <c r="G1671" i="3"/>
  <c r="R1670" i="3"/>
  <c r="Q1670" i="3"/>
  <c r="P1670" i="3"/>
  <c r="O1670" i="3"/>
  <c r="G1670" i="3"/>
  <c r="R1669" i="3"/>
  <c r="Q1669" i="3"/>
  <c r="P1669" i="3"/>
  <c r="O1669" i="3"/>
  <c r="G1669" i="3"/>
  <c r="R1668" i="3"/>
  <c r="Q1668" i="3"/>
  <c r="P1668" i="3"/>
  <c r="O1668" i="3"/>
  <c r="G1668" i="3"/>
  <c r="R1667" i="3"/>
  <c r="Q1667" i="3"/>
  <c r="P1667" i="3"/>
  <c r="O1667" i="3"/>
  <c r="G1667" i="3"/>
  <c r="R1666" i="3"/>
  <c r="Q1666" i="3"/>
  <c r="P1666" i="3"/>
  <c r="O1666" i="3"/>
  <c r="G1666" i="3"/>
  <c r="R1665" i="3"/>
  <c r="Q1665" i="3"/>
  <c r="P1665" i="3"/>
  <c r="O1665" i="3"/>
  <c r="G1665" i="3"/>
  <c r="R1664" i="3"/>
  <c r="Q1664" i="3"/>
  <c r="P1664" i="3"/>
  <c r="O1664" i="3"/>
  <c r="G1664" i="3"/>
  <c r="R1663" i="3"/>
  <c r="Q1663" i="3"/>
  <c r="P1663" i="3"/>
  <c r="O1663" i="3"/>
  <c r="G1663" i="3"/>
  <c r="R1662" i="3"/>
  <c r="Q1662" i="3"/>
  <c r="P1662" i="3"/>
  <c r="O1662" i="3"/>
  <c r="G1662" i="3"/>
  <c r="R1661" i="3"/>
  <c r="Q1661" i="3"/>
  <c r="P1661" i="3"/>
  <c r="O1661" i="3"/>
  <c r="G1661" i="3"/>
  <c r="R1660" i="3"/>
  <c r="Q1660" i="3"/>
  <c r="P1660" i="3"/>
  <c r="O1660" i="3"/>
  <c r="G1660" i="3"/>
  <c r="R1659" i="3"/>
  <c r="Q1659" i="3"/>
  <c r="P1659" i="3"/>
  <c r="O1659" i="3"/>
  <c r="G1659" i="3"/>
  <c r="R1658" i="3"/>
  <c r="Q1658" i="3"/>
  <c r="P1658" i="3"/>
  <c r="O1658" i="3"/>
  <c r="G1658" i="3"/>
  <c r="R1657" i="3"/>
  <c r="Q1657" i="3"/>
  <c r="P1657" i="3"/>
  <c r="O1657" i="3"/>
  <c r="G1657" i="3"/>
  <c r="R1656" i="3"/>
  <c r="Q1656" i="3"/>
  <c r="P1656" i="3"/>
  <c r="O1656" i="3"/>
  <c r="G1656" i="3"/>
  <c r="R1655" i="3"/>
  <c r="Q1655" i="3"/>
  <c r="P1655" i="3"/>
  <c r="O1655" i="3"/>
  <c r="G1655" i="3"/>
  <c r="R1654" i="3"/>
  <c r="Q1654" i="3"/>
  <c r="P1654" i="3"/>
  <c r="O1654" i="3"/>
  <c r="G1654" i="3"/>
  <c r="R1653" i="3"/>
  <c r="Q1653" i="3"/>
  <c r="P1653" i="3"/>
  <c r="O1653" i="3"/>
  <c r="G1653" i="3"/>
  <c r="R1652" i="3"/>
  <c r="Q1652" i="3"/>
  <c r="P1652" i="3"/>
  <c r="O1652" i="3"/>
  <c r="G1652" i="3"/>
  <c r="R1651" i="3"/>
  <c r="Q1651" i="3"/>
  <c r="P1651" i="3"/>
  <c r="O1651" i="3"/>
  <c r="G1651" i="3"/>
  <c r="R1650" i="3"/>
  <c r="Q1650" i="3"/>
  <c r="P1650" i="3"/>
  <c r="O1650" i="3"/>
  <c r="G1650" i="3"/>
  <c r="R1649" i="3"/>
  <c r="Q1649" i="3"/>
  <c r="P1649" i="3"/>
  <c r="O1649" i="3"/>
  <c r="G1649" i="3"/>
  <c r="R1648" i="3"/>
  <c r="Q1648" i="3"/>
  <c r="P1648" i="3"/>
  <c r="O1648" i="3"/>
  <c r="G1648" i="3"/>
  <c r="R1647" i="3"/>
  <c r="Q1647" i="3"/>
  <c r="P1647" i="3"/>
  <c r="O1647" i="3"/>
  <c r="G1647" i="3"/>
  <c r="R1646" i="3"/>
  <c r="Q1646" i="3"/>
  <c r="P1646" i="3"/>
  <c r="O1646" i="3"/>
  <c r="G1646" i="3"/>
  <c r="R1645" i="3"/>
  <c r="Q1645" i="3"/>
  <c r="P1645" i="3"/>
  <c r="O1645" i="3"/>
  <c r="G1645" i="3"/>
  <c r="R1644" i="3"/>
  <c r="Q1644" i="3"/>
  <c r="P1644" i="3"/>
  <c r="O1644" i="3"/>
  <c r="G1644" i="3"/>
  <c r="R1643" i="3"/>
  <c r="Q1643" i="3"/>
  <c r="P1643" i="3"/>
  <c r="O1643" i="3"/>
  <c r="G1643" i="3"/>
  <c r="R1642" i="3"/>
  <c r="Q1642" i="3"/>
  <c r="P1642" i="3"/>
  <c r="O1642" i="3"/>
  <c r="G1642" i="3"/>
  <c r="R1641" i="3"/>
  <c r="Q1641" i="3"/>
  <c r="P1641" i="3"/>
  <c r="O1641" i="3"/>
  <c r="G1641" i="3"/>
  <c r="R1640" i="3"/>
  <c r="Q1640" i="3"/>
  <c r="P1640" i="3"/>
  <c r="O1640" i="3"/>
  <c r="G1640" i="3"/>
  <c r="R1639" i="3"/>
  <c r="Q1639" i="3"/>
  <c r="P1639" i="3"/>
  <c r="O1639" i="3"/>
  <c r="G1639" i="3"/>
  <c r="R1638" i="3"/>
  <c r="Q1638" i="3"/>
  <c r="P1638" i="3"/>
  <c r="O1638" i="3"/>
  <c r="G1638" i="3"/>
  <c r="R1637" i="3"/>
  <c r="Q1637" i="3"/>
  <c r="P1637" i="3"/>
  <c r="O1637" i="3"/>
  <c r="G1637" i="3"/>
  <c r="R1636" i="3"/>
  <c r="Q1636" i="3"/>
  <c r="P1636" i="3"/>
  <c r="O1636" i="3"/>
  <c r="G1636" i="3"/>
  <c r="R1635" i="3"/>
  <c r="Q1635" i="3"/>
  <c r="P1635" i="3"/>
  <c r="O1635" i="3"/>
  <c r="G1635" i="3"/>
  <c r="R1634" i="3"/>
  <c r="Q1634" i="3"/>
  <c r="P1634" i="3"/>
  <c r="O1634" i="3"/>
  <c r="G1634" i="3"/>
  <c r="R1633" i="3"/>
  <c r="Q1633" i="3"/>
  <c r="P1633" i="3"/>
  <c r="O1633" i="3"/>
  <c r="G1633" i="3"/>
  <c r="R1632" i="3"/>
  <c r="Q1632" i="3"/>
  <c r="P1632" i="3"/>
  <c r="O1632" i="3"/>
  <c r="G1632" i="3"/>
  <c r="R1631" i="3"/>
  <c r="Q1631" i="3"/>
  <c r="P1631" i="3"/>
  <c r="O1631" i="3"/>
  <c r="G1631" i="3"/>
  <c r="R1630" i="3"/>
  <c r="Q1630" i="3"/>
  <c r="P1630" i="3"/>
  <c r="O1630" i="3"/>
  <c r="G1630" i="3"/>
  <c r="R1629" i="3"/>
  <c r="Q1629" i="3"/>
  <c r="P1629" i="3"/>
  <c r="O1629" i="3"/>
  <c r="G1629" i="3"/>
  <c r="R1628" i="3"/>
  <c r="Q1628" i="3"/>
  <c r="P1628" i="3"/>
  <c r="O1628" i="3"/>
  <c r="G1628" i="3"/>
  <c r="R1627" i="3"/>
  <c r="Q1627" i="3"/>
  <c r="P1627" i="3"/>
  <c r="O1627" i="3"/>
  <c r="G1627" i="3"/>
  <c r="R1626" i="3"/>
  <c r="Q1626" i="3"/>
  <c r="P1626" i="3"/>
  <c r="O1626" i="3"/>
  <c r="G1626" i="3"/>
  <c r="R1625" i="3"/>
  <c r="Q1625" i="3"/>
  <c r="P1625" i="3"/>
  <c r="O1625" i="3"/>
  <c r="G1625" i="3"/>
  <c r="R1624" i="3"/>
  <c r="Q1624" i="3"/>
  <c r="P1624" i="3"/>
  <c r="O1624" i="3"/>
  <c r="G1624" i="3"/>
  <c r="R1623" i="3"/>
  <c r="Q1623" i="3"/>
  <c r="P1623" i="3"/>
  <c r="O1623" i="3"/>
  <c r="G1623" i="3"/>
  <c r="R1622" i="3"/>
  <c r="Q1622" i="3"/>
  <c r="P1622" i="3"/>
  <c r="O1622" i="3"/>
  <c r="G1622" i="3"/>
  <c r="R1621" i="3"/>
  <c r="Q1621" i="3"/>
  <c r="P1621" i="3"/>
  <c r="O1621" i="3"/>
  <c r="G1621" i="3"/>
  <c r="R1620" i="3"/>
  <c r="Q1620" i="3"/>
  <c r="P1620" i="3"/>
  <c r="O1620" i="3"/>
  <c r="G1620" i="3"/>
  <c r="R1619" i="3"/>
  <c r="Q1619" i="3"/>
  <c r="P1619" i="3"/>
  <c r="O1619" i="3"/>
  <c r="G1619" i="3"/>
  <c r="R1618" i="3"/>
  <c r="Q1618" i="3"/>
  <c r="P1618" i="3"/>
  <c r="O1618" i="3"/>
  <c r="G1618" i="3"/>
  <c r="R1617" i="3"/>
  <c r="Q1617" i="3"/>
  <c r="P1617" i="3"/>
  <c r="O1617" i="3"/>
  <c r="G1617" i="3"/>
  <c r="R1616" i="3"/>
  <c r="Q1616" i="3"/>
  <c r="P1616" i="3"/>
  <c r="O1616" i="3"/>
  <c r="G1616" i="3"/>
  <c r="R1615" i="3"/>
  <c r="Q1615" i="3"/>
  <c r="P1615" i="3"/>
  <c r="O1615" i="3"/>
  <c r="G1615" i="3"/>
  <c r="R1614" i="3"/>
  <c r="Q1614" i="3"/>
  <c r="P1614" i="3"/>
  <c r="O1614" i="3"/>
  <c r="G1614" i="3"/>
  <c r="R1613" i="3"/>
  <c r="Q1613" i="3"/>
  <c r="P1613" i="3"/>
  <c r="O1613" i="3"/>
  <c r="G1613" i="3"/>
  <c r="R1612" i="3"/>
  <c r="Q1612" i="3"/>
  <c r="P1612" i="3"/>
  <c r="O1612" i="3"/>
  <c r="G1612" i="3"/>
  <c r="R1611" i="3"/>
  <c r="Q1611" i="3"/>
  <c r="P1611" i="3"/>
  <c r="O1611" i="3"/>
  <c r="G1611" i="3"/>
  <c r="R1610" i="3"/>
  <c r="Q1610" i="3"/>
  <c r="P1610" i="3"/>
  <c r="O1610" i="3"/>
  <c r="G1610" i="3"/>
  <c r="R1609" i="3"/>
  <c r="Q1609" i="3"/>
  <c r="P1609" i="3"/>
  <c r="O1609" i="3"/>
  <c r="G1609" i="3"/>
  <c r="R1608" i="3"/>
  <c r="Q1608" i="3"/>
  <c r="P1608" i="3"/>
  <c r="O1608" i="3"/>
  <c r="G1608" i="3"/>
  <c r="R1607" i="3"/>
  <c r="Q1607" i="3"/>
  <c r="P1607" i="3"/>
  <c r="O1607" i="3"/>
  <c r="G1607" i="3"/>
  <c r="R1606" i="3"/>
  <c r="Q1606" i="3"/>
  <c r="P1606" i="3"/>
  <c r="O1606" i="3"/>
  <c r="G1606" i="3"/>
  <c r="R1605" i="3"/>
  <c r="Q1605" i="3"/>
  <c r="P1605" i="3"/>
  <c r="O1605" i="3"/>
  <c r="G1605" i="3"/>
  <c r="R1604" i="3"/>
  <c r="Q1604" i="3"/>
  <c r="P1604" i="3"/>
  <c r="O1604" i="3"/>
  <c r="G1604" i="3"/>
  <c r="R1603" i="3"/>
  <c r="Q1603" i="3"/>
  <c r="P1603" i="3"/>
  <c r="O1603" i="3"/>
  <c r="G1603" i="3"/>
  <c r="R1602" i="3"/>
  <c r="Q1602" i="3"/>
  <c r="P1602" i="3"/>
  <c r="O1602" i="3"/>
  <c r="G1602" i="3"/>
  <c r="R1601" i="3"/>
  <c r="Q1601" i="3"/>
  <c r="P1601" i="3"/>
  <c r="O1601" i="3"/>
  <c r="G1601" i="3"/>
  <c r="R1600" i="3"/>
  <c r="Q1600" i="3"/>
  <c r="P1600" i="3"/>
  <c r="O1600" i="3"/>
  <c r="G1600" i="3"/>
  <c r="R1599" i="3"/>
  <c r="Q1599" i="3"/>
  <c r="P1599" i="3"/>
  <c r="O1599" i="3"/>
  <c r="G1599" i="3"/>
  <c r="R1598" i="3"/>
  <c r="Q1598" i="3"/>
  <c r="P1598" i="3"/>
  <c r="O1598" i="3"/>
  <c r="G1598" i="3"/>
  <c r="R1597" i="3"/>
  <c r="Q1597" i="3"/>
  <c r="P1597" i="3"/>
  <c r="O1597" i="3"/>
  <c r="G1597" i="3"/>
  <c r="R1596" i="3"/>
  <c r="Q1596" i="3"/>
  <c r="P1596" i="3"/>
  <c r="O1596" i="3"/>
  <c r="G1596" i="3"/>
  <c r="R1595" i="3"/>
  <c r="Q1595" i="3"/>
  <c r="P1595" i="3"/>
  <c r="O1595" i="3"/>
  <c r="G1595" i="3"/>
  <c r="R1594" i="3"/>
  <c r="Q1594" i="3"/>
  <c r="P1594" i="3"/>
  <c r="O1594" i="3"/>
  <c r="G1594" i="3"/>
  <c r="R1593" i="3"/>
  <c r="Q1593" i="3"/>
  <c r="P1593" i="3"/>
  <c r="O1593" i="3"/>
  <c r="G1593" i="3"/>
  <c r="R1592" i="3"/>
  <c r="Q1592" i="3"/>
  <c r="P1592" i="3"/>
  <c r="O1592" i="3"/>
  <c r="G1592" i="3"/>
  <c r="R1591" i="3"/>
  <c r="Q1591" i="3"/>
  <c r="P1591" i="3"/>
  <c r="O1591" i="3"/>
  <c r="G1591" i="3"/>
  <c r="R1590" i="3"/>
  <c r="Q1590" i="3"/>
  <c r="P1590" i="3"/>
  <c r="O1590" i="3"/>
  <c r="G1590" i="3"/>
  <c r="R1589" i="3"/>
  <c r="Q1589" i="3"/>
  <c r="P1589" i="3"/>
  <c r="O1589" i="3"/>
  <c r="G1589" i="3"/>
  <c r="R1588" i="3"/>
  <c r="Q1588" i="3"/>
  <c r="P1588" i="3"/>
  <c r="O1588" i="3"/>
  <c r="G1588" i="3"/>
  <c r="R1587" i="3"/>
  <c r="Q1587" i="3"/>
  <c r="P1587" i="3"/>
  <c r="O1587" i="3"/>
  <c r="G1587" i="3"/>
  <c r="R1586" i="3"/>
  <c r="Q1586" i="3"/>
  <c r="P1586" i="3"/>
  <c r="O1586" i="3"/>
  <c r="G1586" i="3"/>
  <c r="R1585" i="3"/>
  <c r="Q1585" i="3"/>
  <c r="P1585" i="3"/>
  <c r="O1585" i="3"/>
  <c r="G1585" i="3"/>
  <c r="R1584" i="3"/>
  <c r="Q1584" i="3"/>
  <c r="P1584" i="3"/>
  <c r="O1584" i="3"/>
  <c r="G1584" i="3"/>
  <c r="R1583" i="3"/>
  <c r="Q1583" i="3"/>
  <c r="P1583" i="3"/>
  <c r="O1583" i="3"/>
  <c r="G1583" i="3"/>
  <c r="R1582" i="3"/>
  <c r="Q1582" i="3"/>
  <c r="P1582" i="3"/>
  <c r="O1582" i="3"/>
  <c r="G1582" i="3"/>
  <c r="R1581" i="3"/>
  <c r="Q1581" i="3"/>
  <c r="P1581" i="3"/>
  <c r="O1581" i="3"/>
  <c r="G1581" i="3"/>
  <c r="R1580" i="3"/>
  <c r="Q1580" i="3"/>
  <c r="P1580" i="3"/>
  <c r="O1580" i="3"/>
  <c r="G1580" i="3"/>
  <c r="R1579" i="3"/>
  <c r="Q1579" i="3"/>
  <c r="P1579" i="3"/>
  <c r="O1579" i="3"/>
  <c r="G1579" i="3"/>
  <c r="R1578" i="3"/>
  <c r="Q1578" i="3"/>
  <c r="P1578" i="3"/>
  <c r="O1578" i="3"/>
  <c r="G1578" i="3"/>
  <c r="R1577" i="3"/>
  <c r="Q1577" i="3"/>
  <c r="P1577" i="3"/>
  <c r="O1577" i="3"/>
  <c r="G1577" i="3"/>
  <c r="R1576" i="3"/>
  <c r="Q1576" i="3"/>
  <c r="P1576" i="3"/>
  <c r="O1576" i="3"/>
  <c r="G1576" i="3"/>
  <c r="R1575" i="3"/>
  <c r="Q1575" i="3"/>
  <c r="P1575" i="3"/>
  <c r="O1575" i="3"/>
  <c r="G1575" i="3"/>
  <c r="R1574" i="3"/>
  <c r="Q1574" i="3"/>
  <c r="P1574" i="3"/>
  <c r="O1574" i="3"/>
  <c r="G1574" i="3"/>
  <c r="R1573" i="3"/>
  <c r="Q1573" i="3"/>
  <c r="P1573" i="3"/>
  <c r="O1573" i="3"/>
  <c r="G1573" i="3"/>
  <c r="R1572" i="3"/>
  <c r="Q1572" i="3"/>
  <c r="P1572" i="3"/>
  <c r="O1572" i="3"/>
  <c r="G1572" i="3"/>
  <c r="R1571" i="3"/>
  <c r="Q1571" i="3"/>
  <c r="P1571" i="3"/>
  <c r="O1571" i="3"/>
  <c r="G1571" i="3"/>
  <c r="R1570" i="3"/>
  <c r="Q1570" i="3"/>
  <c r="P1570" i="3"/>
  <c r="O1570" i="3"/>
  <c r="G1570" i="3"/>
  <c r="R1569" i="3"/>
  <c r="Q1569" i="3"/>
  <c r="P1569" i="3"/>
  <c r="O1569" i="3"/>
  <c r="G1569" i="3"/>
  <c r="R1568" i="3"/>
  <c r="Q1568" i="3"/>
  <c r="P1568" i="3"/>
  <c r="O1568" i="3"/>
  <c r="G1568" i="3"/>
  <c r="R1567" i="3"/>
  <c r="Q1567" i="3"/>
  <c r="P1567" i="3"/>
  <c r="O1567" i="3"/>
  <c r="G1567" i="3"/>
  <c r="R1566" i="3"/>
  <c r="Q1566" i="3"/>
  <c r="P1566" i="3"/>
  <c r="O1566" i="3"/>
  <c r="G1566" i="3"/>
  <c r="R1565" i="3"/>
  <c r="Q1565" i="3"/>
  <c r="P1565" i="3"/>
  <c r="O1565" i="3"/>
  <c r="G1565" i="3"/>
  <c r="R1564" i="3"/>
  <c r="Q1564" i="3"/>
  <c r="P1564" i="3"/>
  <c r="O1564" i="3"/>
  <c r="G1564" i="3"/>
  <c r="R1563" i="3"/>
  <c r="Q1563" i="3"/>
  <c r="P1563" i="3"/>
  <c r="O1563" i="3"/>
  <c r="G1563" i="3"/>
  <c r="R1562" i="3"/>
  <c r="Q1562" i="3"/>
  <c r="P1562" i="3"/>
  <c r="O1562" i="3"/>
  <c r="G1562" i="3"/>
  <c r="R1561" i="3"/>
  <c r="Q1561" i="3"/>
  <c r="P1561" i="3"/>
  <c r="O1561" i="3"/>
  <c r="G1561" i="3"/>
  <c r="R1560" i="3"/>
  <c r="Q1560" i="3"/>
  <c r="P1560" i="3"/>
  <c r="O1560" i="3"/>
  <c r="G1560" i="3"/>
  <c r="R1559" i="3"/>
  <c r="Q1559" i="3"/>
  <c r="P1559" i="3"/>
  <c r="O1559" i="3"/>
  <c r="G1559" i="3"/>
  <c r="R1558" i="3"/>
  <c r="Q1558" i="3"/>
  <c r="P1558" i="3"/>
  <c r="O1558" i="3"/>
  <c r="G1558" i="3"/>
  <c r="R1557" i="3"/>
  <c r="Q1557" i="3"/>
  <c r="P1557" i="3"/>
  <c r="O1557" i="3"/>
  <c r="G1557" i="3"/>
  <c r="R1556" i="3"/>
  <c r="Q1556" i="3"/>
  <c r="P1556" i="3"/>
  <c r="O1556" i="3"/>
  <c r="G1556" i="3"/>
  <c r="R1555" i="3"/>
  <c r="Q1555" i="3"/>
  <c r="P1555" i="3"/>
  <c r="O1555" i="3"/>
  <c r="G1555" i="3"/>
  <c r="R1554" i="3"/>
  <c r="Q1554" i="3"/>
  <c r="P1554" i="3"/>
  <c r="O1554" i="3"/>
  <c r="G1554" i="3"/>
  <c r="R1553" i="3"/>
  <c r="Q1553" i="3"/>
  <c r="P1553" i="3"/>
  <c r="O1553" i="3"/>
  <c r="G1553" i="3"/>
  <c r="R1552" i="3"/>
  <c r="Q1552" i="3"/>
  <c r="P1552" i="3"/>
  <c r="O1552" i="3"/>
  <c r="G1552" i="3"/>
  <c r="R1551" i="3"/>
  <c r="Q1551" i="3"/>
  <c r="P1551" i="3"/>
  <c r="O1551" i="3"/>
  <c r="G1551" i="3"/>
  <c r="R1550" i="3"/>
  <c r="Q1550" i="3"/>
  <c r="P1550" i="3"/>
  <c r="O1550" i="3"/>
  <c r="G1550" i="3"/>
  <c r="R1549" i="3"/>
  <c r="Q1549" i="3"/>
  <c r="P1549" i="3"/>
  <c r="O1549" i="3"/>
  <c r="G1549" i="3"/>
  <c r="R1548" i="3"/>
  <c r="Q1548" i="3"/>
  <c r="P1548" i="3"/>
  <c r="O1548" i="3"/>
  <c r="G1548" i="3"/>
  <c r="R1547" i="3"/>
  <c r="Q1547" i="3"/>
  <c r="P1547" i="3"/>
  <c r="O1547" i="3"/>
  <c r="G1547" i="3"/>
  <c r="R1546" i="3"/>
  <c r="Q1546" i="3"/>
  <c r="P1546" i="3"/>
  <c r="O1546" i="3"/>
  <c r="G1546" i="3"/>
  <c r="R1545" i="3"/>
  <c r="Q1545" i="3"/>
  <c r="P1545" i="3"/>
  <c r="O1545" i="3"/>
  <c r="G1545" i="3"/>
  <c r="R1544" i="3"/>
  <c r="Q1544" i="3"/>
  <c r="P1544" i="3"/>
  <c r="O1544" i="3"/>
  <c r="G1544" i="3"/>
  <c r="R1543" i="3"/>
  <c r="Q1543" i="3"/>
  <c r="P1543" i="3"/>
  <c r="O1543" i="3"/>
  <c r="G1543" i="3"/>
  <c r="R1542" i="3"/>
  <c r="Q1542" i="3"/>
  <c r="P1542" i="3"/>
  <c r="O1542" i="3"/>
  <c r="G1542" i="3"/>
  <c r="R1541" i="3"/>
  <c r="Q1541" i="3"/>
  <c r="P1541" i="3"/>
  <c r="O1541" i="3"/>
  <c r="G1541" i="3"/>
  <c r="R1540" i="3"/>
  <c r="Q1540" i="3"/>
  <c r="P1540" i="3"/>
  <c r="O1540" i="3"/>
  <c r="G1540" i="3"/>
  <c r="R1539" i="3"/>
  <c r="Q1539" i="3"/>
  <c r="P1539" i="3"/>
  <c r="O1539" i="3"/>
  <c r="G1539" i="3"/>
  <c r="R1538" i="3"/>
  <c r="Q1538" i="3"/>
  <c r="P1538" i="3"/>
  <c r="O1538" i="3"/>
  <c r="G1538" i="3"/>
  <c r="R1537" i="3"/>
  <c r="Q1537" i="3"/>
  <c r="P1537" i="3"/>
  <c r="O1537" i="3"/>
  <c r="G1537" i="3"/>
  <c r="R1536" i="3"/>
  <c r="Q1536" i="3"/>
  <c r="P1536" i="3"/>
  <c r="O1536" i="3"/>
  <c r="G1536" i="3"/>
  <c r="R1535" i="3"/>
  <c r="Q1535" i="3"/>
  <c r="P1535" i="3"/>
  <c r="O1535" i="3"/>
  <c r="G1535" i="3"/>
  <c r="R1534" i="3"/>
  <c r="Q1534" i="3"/>
  <c r="P1534" i="3"/>
  <c r="O1534" i="3"/>
  <c r="G1534" i="3"/>
  <c r="R1533" i="3"/>
  <c r="Q1533" i="3"/>
  <c r="P1533" i="3"/>
  <c r="O1533" i="3"/>
  <c r="G1533" i="3"/>
  <c r="R1532" i="3"/>
  <c r="Q1532" i="3"/>
  <c r="P1532" i="3"/>
  <c r="O1532" i="3"/>
  <c r="G1532" i="3"/>
  <c r="R1531" i="3"/>
  <c r="Q1531" i="3"/>
  <c r="P1531" i="3"/>
  <c r="O1531" i="3"/>
  <c r="G1531" i="3"/>
  <c r="R1530" i="3"/>
  <c r="Q1530" i="3"/>
  <c r="P1530" i="3"/>
  <c r="O1530" i="3"/>
  <c r="G1530" i="3"/>
  <c r="R1529" i="3"/>
  <c r="Q1529" i="3"/>
  <c r="P1529" i="3"/>
  <c r="O1529" i="3"/>
  <c r="G1529" i="3"/>
  <c r="R1528" i="3"/>
  <c r="Q1528" i="3"/>
  <c r="P1528" i="3"/>
  <c r="O1528" i="3"/>
  <c r="G1528" i="3"/>
  <c r="R1527" i="3"/>
  <c r="Q1527" i="3"/>
  <c r="P1527" i="3"/>
  <c r="O1527" i="3"/>
  <c r="G1527" i="3"/>
  <c r="R1526" i="3"/>
  <c r="Q1526" i="3"/>
  <c r="P1526" i="3"/>
  <c r="O1526" i="3"/>
  <c r="G1526" i="3"/>
  <c r="R1525" i="3"/>
  <c r="Q1525" i="3"/>
  <c r="P1525" i="3"/>
  <c r="O1525" i="3"/>
  <c r="G1525" i="3"/>
  <c r="R1524" i="3"/>
  <c r="Q1524" i="3"/>
  <c r="P1524" i="3"/>
  <c r="O1524" i="3"/>
  <c r="G1524" i="3"/>
  <c r="R1523" i="3"/>
  <c r="Q1523" i="3"/>
  <c r="P1523" i="3"/>
  <c r="O1523" i="3"/>
  <c r="G1523" i="3"/>
  <c r="R1522" i="3"/>
  <c r="Q1522" i="3"/>
  <c r="P1522" i="3"/>
  <c r="O1522" i="3"/>
  <c r="G1522" i="3"/>
  <c r="R1521" i="3"/>
  <c r="Q1521" i="3"/>
  <c r="P1521" i="3"/>
  <c r="O1521" i="3"/>
  <c r="G1521" i="3"/>
  <c r="R1520" i="3"/>
  <c r="Q1520" i="3"/>
  <c r="P1520" i="3"/>
  <c r="O1520" i="3"/>
  <c r="G1520" i="3"/>
  <c r="R1519" i="3"/>
  <c r="Q1519" i="3"/>
  <c r="P1519" i="3"/>
  <c r="O1519" i="3"/>
  <c r="G1519" i="3"/>
  <c r="R1518" i="3"/>
  <c r="Q1518" i="3"/>
  <c r="P1518" i="3"/>
  <c r="O1518" i="3"/>
  <c r="G1518" i="3"/>
  <c r="R1517" i="3"/>
  <c r="Q1517" i="3"/>
  <c r="P1517" i="3"/>
  <c r="O1517" i="3"/>
  <c r="G1517" i="3"/>
  <c r="R1516" i="3"/>
  <c r="Q1516" i="3"/>
  <c r="P1516" i="3"/>
  <c r="O1516" i="3"/>
  <c r="G1516" i="3"/>
  <c r="R1515" i="3"/>
  <c r="Q1515" i="3"/>
  <c r="P1515" i="3"/>
  <c r="O1515" i="3"/>
  <c r="G1515" i="3"/>
  <c r="R1514" i="3"/>
  <c r="Q1514" i="3"/>
  <c r="P1514" i="3"/>
  <c r="O1514" i="3"/>
  <c r="G1514" i="3"/>
  <c r="R1513" i="3"/>
  <c r="Q1513" i="3"/>
  <c r="P1513" i="3"/>
  <c r="O1513" i="3"/>
  <c r="G1513" i="3"/>
  <c r="R1512" i="3"/>
  <c r="Q1512" i="3"/>
  <c r="P1512" i="3"/>
  <c r="O1512" i="3"/>
  <c r="G1512" i="3"/>
  <c r="R1511" i="3"/>
  <c r="Q1511" i="3"/>
  <c r="P1511" i="3"/>
  <c r="O1511" i="3"/>
  <c r="G1511" i="3"/>
  <c r="R1510" i="3"/>
  <c r="Q1510" i="3"/>
  <c r="P1510" i="3"/>
  <c r="O1510" i="3"/>
  <c r="G1510" i="3"/>
  <c r="R1509" i="3"/>
  <c r="Q1509" i="3"/>
  <c r="P1509" i="3"/>
  <c r="O1509" i="3"/>
  <c r="G1509" i="3"/>
  <c r="R1508" i="3"/>
  <c r="Q1508" i="3"/>
  <c r="P1508" i="3"/>
  <c r="O1508" i="3"/>
  <c r="G1508" i="3"/>
  <c r="R1507" i="3"/>
  <c r="Q1507" i="3"/>
  <c r="P1507" i="3"/>
  <c r="O1507" i="3"/>
  <c r="G1507" i="3"/>
  <c r="R1506" i="3"/>
  <c r="Q1506" i="3"/>
  <c r="P1506" i="3"/>
  <c r="O1506" i="3"/>
  <c r="G1506" i="3"/>
  <c r="R1505" i="3"/>
  <c r="Q1505" i="3"/>
  <c r="P1505" i="3"/>
  <c r="O1505" i="3"/>
  <c r="G1505" i="3"/>
  <c r="R1504" i="3"/>
  <c r="Q1504" i="3"/>
  <c r="P1504" i="3"/>
  <c r="O1504" i="3"/>
  <c r="G1504" i="3"/>
  <c r="R1503" i="3"/>
  <c r="Q1503" i="3"/>
  <c r="P1503" i="3"/>
  <c r="O1503" i="3"/>
  <c r="G1503" i="3"/>
  <c r="R1502" i="3"/>
  <c r="Q1502" i="3"/>
  <c r="P1502" i="3"/>
  <c r="O1502" i="3"/>
  <c r="G1502" i="3"/>
  <c r="R1501" i="3"/>
  <c r="Q1501" i="3"/>
  <c r="P1501" i="3"/>
  <c r="O1501" i="3"/>
  <c r="G1501" i="3"/>
  <c r="R1500" i="3"/>
  <c r="Q1500" i="3"/>
  <c r="P1500" i="3"/>
  <c r="O1500" i="3"/>
  <c r="G1500" i="3"/>
  <c r="R1499" i="3"/>
  <c r="Q1499" i="3"/>
  <c r="P1499" i="3"/>
  <c r="O1499" i="3"/>
  <c r="G1499" i="3"/>
  <c r="R1498" i="3"/>
  <c r="Q1498" i="3"/>
  <c r="P1498" i="3"/>
  <c r="O1498" i="3"/>
  <c r="G1498" i="3"/>
  <c r="R1497" i="3"/>
  <c r="Q1497" i="3"/>
  <c r="P1497" i="3"/>
  <c r="O1497" i="3"/>
  <c r="G1497" i="3"/>
  <c r="R1496" i="3"/>
  <c r="Q1496" i="3"/>
  <c r="P1496" i="3"/>
  <c r="O1496" i="3"/>
  <c r="G1496" i="3"/>
  <c r="R1495" i="3"/>
  <c r="Q1495" i="3"/>
  <c r="P1495" i="3"/>
  <c r="O1495" i="3"/>
  <c r="G1495" i="3"/>
  <c r="R1494" i="3"/>
  <c r="Q1494" i="3"/>
  <c r="P1494" i="3"/>
  <c r="O1494" i="3"/>
  <c r="G1494" i="3"/>
  <c r="R1493" i="3"/>
  <c r="Q1493" i="3"/>
  <c r="P1493" i="3"/>
  <c r="O1493" i="3"/>
  <c r="G1493" i="3"/>
  <c r="R1492" i="3"/>
  <c r="Q1492" i="3"/>
  <c r="P1492" i="3"/>
  <c r="O1492" i="3"/>
  <c r="G1492" i="3"/>
  <c r="R1491" i="3"/>
  <c r="Q1491" i="3"/>
  <c r="P1491" i="3"/>
  <c r="O1491" i="3"/>
  <c r="G1491" i="3"/>
  <c r="R1490" i="3"/>
  <c r="Q1490" i="3"/>
  <c r="P1490" i="3"/>
  <c r="O1490" i="3"/>
  <c r="G1490" i="3"/>
  <c r="R1489" i="3"/>
  <c r="Q1489" i="3"/>
  <c r="P1489" i="3"/>
  <c r="O1489" i="3"/>
  <c r="G1489" i="3"/>
  <c r="R1488" i="3"/>
  <c r="Q1488" i="3"/>
  <c r="P1488" i="3"/>
  <c r="O1488" i="3"/>
  <c r="G1488" i="3"/>
  <c r="R1487" i="3"/>
  <c r="Q1487" i="3"/>
  <c r="P1487" i="3"/>
  <c r="O1487" i="3"/>
  <c r="G1487" i="3"/>
  <c r="R1486" i="3"/>
  <c r="Q1486" i="3"/>
  <c r="P1486" i="3"/>
  <c r="O1486" i="3"/>
  <c r="G1486" i="3"/>
  <c r="R1485" i="3"/>
  <c r="Q1485" i="3"/>
  <c r="P1485" i="3"/>
  <c r="O1485" i="3"/>
  <c r="G1485" i="3"/>
  <c r="R1484" i="3"/>
  <c r="Q1484" i="3"/>
  <c r="P1484" i="3"/>
  <c r="O1484" i="3"/>
  <c r="G1484" i="3"/>
  <c r="R1483" i="3"/>
  <c r="Q1483" i="3"/>
  <c r="P1483" i="3"/>
  <c r="O1483" i="3"/>
  <c r="G1483" i="3"/>
  <c r="R1482" i="3"/>
  <c r="Q1482" i="3"/>
  <c r="P1482" i="3"/>
  <c r="O1482" i="3"/>
  <c r="G1482" i="3"/>
  <c r="R1481" i="3"/>
  <c r="Q1481" i="3"/>
  <c r="P1481" i="3"/>
  <c r="O1481" i="3"/>
  <c r="G1481" i="3"/>
  <c r="R1480" i="3"/>
  <c r="Q1480" i="3"/>
  <c r="P1480" i="3"/>
  <c r="O1480" i="3"/>
  <c r="G1480" i="3"/>
  <c r="R1479" i="3"/>
  <c r="Q1479" i="3"/>
  <c r="P1479" i="3"/>
  <c r="O1479" i="3"/>
  <c r="G1479" i="3"/>
  <c r="R1478" i="3"/>
  <c r="Q1478" i="3"/>
  <c r="P1478" i="3"/>
  <c r="O1478" i="3"/>
  <c r="G1478" i="3"/>
  <c r="R1477" i="3"/>
  <c r="Q1477" i="3"/>
  <c r="P1477" i="3"/>
  <c r="O1477" i="3"/>
  <c r="G1477" i="3"/>
  <c r="R1476" i="3"/>
  <c r="Q1476" i="3"/>
  <c r="P1476" i="3"/>
  <c r="O1476" i="3"/>
  <c r="G1476" i="3"/>
  <c r="R1475" i="3"/>
  <c r="Q1475" i="3"/>
  <c r="P1475" i="3"/>
  <c r="O1475" i="3"/>
  <c r="G1475" i="3"/>
  <c r="R1474" i="3"/>
  <c r="Q1474" i="3"/>
  <c r="P1474" i="3"/>
  <c r="O1474" i="3"/>
  <c r="G1474" i="3"/>
  <c r="R1473" i="3"/>
  <c r="Q1473" i="3"/>
  <c r="P1473" i="3"/>
  <c r="O1473" i="3"/>
  <c r="G1473" i="3"/>
  <c r="R1472" i="3"/>
  <c r="Q1472" i="3"/>
  <c r="P1472" i="3"/>
  <c r="O1472" i="3"/>
  <c r="G1472" i="3"/>
  <c r="R1471" i="3"/>
  <c r="Q1471" i="3"/>
  <c r="P1471" i="3"/>
  <c r="O1471" i="3"/>
  <c r="G1471" i="3"/>
  <c r="R1470" i="3"/>
  <c r="Q1470" i="3"/>
  <c r="P1470" i="3"/>
  <c r="O1470" i="3"/>
  <c r="G1470" i="3"/>
  <c r="R1469" i="3"/>
  <c r="Q1469" i="3"/>
  <c r="P1469" i="3"/>
  <c r="O1469" i="3"/>
  <c r="G1469" i="3"/>
  <c r="R1468" i="3"/>
  <c r="Q1468" i="3"/>
  <c r="P1468" i="3"/>
  <c r="O1468" i="3"/>
  <c r="G1468" i="3"/>
  <c r="R1467" i="3"/>
  <c r="Q1467" i="3"/>
  <c r="P1467" i="3"/>
  <c r="O1467" i="3"/>
  <c r="G1467" i="3"/>
  <c r="R1466" i="3"/>
  <c r="Q1466" i="3"/>
  <c r="P1466" i="3"/>
  <c r="O1466" i="3"/>
  <c r="G1466" i="3"/>
  <c r="R1465" i="3"/>
  <c r="Q1465" i="3"/>
  <c r="P1465" i="3"/>
  <c r="O1465" i="3"/>
  <c r="G1465" i="3"/>
  <c r="R1464" i="3"/>
  <c r="Q1464" i="3"/>
  <c r="P1464" i="3"/>
  <c r="O1464" i="3"/>
  <c r="G1464" i="3"/>
  <c r="R1463" i="3"/>
  <c r="Q1463" i="3"/>
  <c r="P1463" i="3"/>
  <c r="O1463" i="3"/>
  <c r="G1463" i="3"/>
  <c r="R1462" i="3"/>
  <c r="Q1462" i="3"/>
  <c r="P1462" i="3"/>
  <c r="O1462" i="3"/>
  <c r="G1462" i="3"/>
  <c r="R1461" i="3"/>
  <c r="Q1461" i="3"/>
  <c r="P1461" i="3"/>
  <c r="O1461" i="3"/>
  <c r="G1461" i="3"/>
  <c r="R1460" i="3"/>
  <c r="Q1460" i="3"/>
  <c r="P1460" i="3"/>
  <c r="O1460" i="3"/>
  <c r="G1460" i="3"/>
  <c r="R1459" i="3"/>
  <c r="Q1459" i="3"/>
  <c r="P1459" i="3"/>
  <c r="O1459" i="3"/>
  <c r="G1459" i="3"/>
  <c r="R1458" i="3"/>
  <c r="Q1458" i="3"/>
  <c r="P1458" i="3"/>
  <c r="O1458" i="3"/>
  <c r="G1458" i="3"/>
  <c r="R1457" i="3"/>
  <c r="Q1457" i="3"/>
  <c r="P1457" i="3"/>
  <c r="O1457" i="3"/>
  <c r="G1457" i="3"/>
  <c r="R1456" i="3"/>
  <c r="Q1456" i="3"/>
  <c r="P1456" i="3"/>
  <c r="O1456" i="3"/>
  <c r="G1456" i="3"/>
  <c r="R1455" i="3"/>
  <c r="Q1455" i="3"/>
  <c r="P1455" i="3"/>
  <c r="O1455" i="3"/>
  <c r="G1455" i="3"/>
  <c r="R1454" i="3"/>
  <c r="Q1454" i="3"/>
  <c r="P1454" i="3"/>
  <c r="O1454" i="3"/>
  <c r="G1454" i="3"/>
  <c r="R1453" i="3"/>
  <c r="Q1453" i="3"/>
  <c r="P1453" i="3"/>
  <c r="O1453" i="3"/>
  <c r="G1453" i="3"/>
  <c r="R1452" i="3"/>
  <c r="Q1452" i="3"/>
  <c r="P1452" i="3"/>
  <c r="O1452" i="3"/>
  <c r="G1452" i="3"/>
  <c r="R1451" i="3"/>
  <c r="Q1451" i="3"/>
  <c r="P1451" i="3"/>
  <c r="O1451" i="3"/>
  <c r="G1451" i="3"/>
  <c r="R1450" i="3"/>
  <c r="Q1450" i="3"/>
  <c r="P1450" i="3"/>
  <c r="O1450" i="3"/>
  <c r="G1450" i="3"/>
  <c r="R1449" i="3"/>
  <c r="Q1449" i="3"/>
  <c r="P1449" i="3"/>
  <c r="O1449" i="3"/>
  <c r="G1449" i="3"/>
  <c r="R1448" i="3"/>
  <c r="Q1448" i="3"/>
  <c r="P1448" i="3"/>
  <c r="O1448" i="3"/>
  <c r="G1448" i="3"/>
  <c r="R1447" i="3"/>
  <c r="Q1447" i="3"/>
  <c r="P1447" i="3"/>
  <c r="O1447" i="3"/>
  <c r="G1447" i="3"/>
  <c r="R1446" i="3"/>
  <c r="Q1446" i="3"/>
  <c r="P1446" i="3"/>
  <c r="O1446" i="3"/>
  <c r="G1446" i="3"/>
  <c r="R1445" i="3"/>
  <c r="Q1445" i="3"/>
  <c r="P1445" i="3"/>
  <c r="O1445" i="3"/>
  <c r="G1445" i="3"/>
  <c r="R1444" i="3"/>
  <c r="Q1444" i="3"/>
  <c r="P1444" i="3"/>
  <c r="O1444" i="3"/>
  <c r="G1444" i="3"/>
  <c r="R1443" i="3"/>
  <c r="Q1443" i="3"/>
  <c r="P1443" i="3"/>
  <c r="O1443" i="3"/>
  <c r="G1443" i="3"/>
  <c r="R1442" i="3"/>
  <c r="Q1442" i="3"/>
  <c r="P1442" i="3"/>
  <c r="O1442" i="3"/>
  <c r="G1442" i="3"/>
  <c r="R1441" i="3"/>
  <c r="Q1441" i="3"/>
  <c r="P1441" i="3"/>
  <c r="O1441" i="3"/>
  <c r="G1441" i="3"/>
  <c r="R1440" i="3"/>
  <c r="Q1440" i="3"/>
  <c r="P1440" i="3"/>
  <c r="O1440" i="3"/>
  <c r="G1440" i="3"/>
  <c r="R1439" i="3"/>
  <c r="Q1439" i="3"/>
  <c r="P1439" i="3"/>
  <c r="O1439" i="3"/>
  <c r="G1439" i="3"/>
  <c r="R1438" i="3"/>
  <c r="Q1438" i="3"/>
  <c r="P1438" i="3"/>
  <c r="O1438" i="3"/>
  <c r="G1438" i="3"/>
  <c r="R1437" i="3"/>
  <c r="Q1437" i="3"/>
  <c r="P1437" i="3"/>
  <c r="O1437" i="3"/>
  <c r="G1437" i="3"/>
  <c r="R1436" i="3"/>
  <c r="Q1436" i="3"/>
  <c r="P1436" i="3"/>
  <c r="O1436" i="3"/>
  <c r="G1436" i="3"/>
  <c r="R1435" i="3"/>
  <c r="Q1435" i="3"/>
  <c r="P1435" i="3"/>
  <c r="O1435" i="3"/>
  <c r="G1435" i="3"/>
  <c r="R1434" i="3"/>
  <c r="Q1434" i="3"/>
  <c r="P1434" i="3"/>
  <c r="O1434" i="3"/>
  <c r="G1434" i="3"/>
  <c r="R1433" i="3"/>
  <c r="Q1433" i="3"/>
  <c r="P1433" i="3"/>
  <c r="O1433" i="3"/>
  <c r="G1433" i="3"/>
  <c r="R1432" i="3"/>
  <c r="Q1432" i="3"/>
  <c r="P1432" i="3"/>
  <c r="O1432" i="3"/>
  <c r="G1432" i="3"/>
  <c r="R1431" i="3"/>
  <c r="Q1431" i="3"/>
  <c r="P1431" i="3"/>
  <c r="O1431" i="3"/>
  <c r="G1431" i="3"/>
  <c r="R1430" i="3"/>
  <c r="Q1430" i="3"/>
  <c r="P1430" i="3"/>
  <c r="O1430" i="3"/>
  <c r="G1430" i="3"/>
  <c r="R1429" i="3"/>
  <c r="Q1429" i="3"/>
  <c r="P1429" i="3"/>
  <c r="O1429" i="3"/>
  <c r="G1429" i="3"/>
  <c r="R1428" i="3"/>
  <c r="Q1428" i="3"/>
  <c r="P1428" i="3"/>
  <c r="O1428" i="3"/>
  <c r="G1428" i="3"/>
  <c r="R1427" i="3"/>
  <c r="Q1427" i="3"/>
  <c r="P1427" i="3"/>
  <c r="O1427" i="3"/>
  <c r="G1427" i="3"/>
  <c r="R1426" i="3"/>
  <c r="Q1426" i="3"/>
  <c r="P1426" i="3"/>
  <c r="O1426" i="3"/>
  <c r="G1426" i="3"/>
  <c r="R1425" i="3"/>
  <c r="Q1425" i="3"/>
  <c r="P1425" i="3"/>
  <c r="O1425" i="3"/>
  <c r="G1425" i="3"/>
  <c r="R1424" i="3"/>
  <c r="Q1424" i="3"/>
  <c r="P1424" i="3"/>
  <c r="O1424" i="3"/>
  <c r="G1424" i="3"/>
  <c r="R1423" i="3"/>
  <c r="Q1423" i="3"/>
  <c r="P1423" i="3"/>
  <c r="O1423" i="3"/>
  <c r="G1423" i="3"/>
  <c r="R1422" i="3"/>
  <c r="Q1422" i="3"/>
  <c r="P1422" i="3"/>
  <c r="O1422" i="3"/>
  <c r="G1422" i="3"/>
  <c r="R1421" i="3"/>
  <c r="Q1421" i="3"/>
  <c r="P1421" i="3"/>
  <c r="O1421" i="3"/>
  <c r="G1421" i="3"/>
  <c r="R1420" i="3"/>
  <c r="Q1420" i="3"/>
  <c r="P1420" i="3"/>
  <c r="O1420" i="3"/>
  <c r="G1420" i="3"/>
  <c r="R1419" i="3"/>
  <c r="Q1419" i="3"/>
  <c r="P1419" i="3"/>
  <c r="O1419" i="3"/>
  <c r="G1419" i="3"/>
  <c r="R1418" i="3"/>
  <c r="Q1418" i="3"/>
  <c r="P1418" i="3"/>
  <c r="O1418" i="3"/>
  <c r="G1418" i="3"/>
  <c r="R1417" i="3"/>
  <c r="Q1417" i="3"/>
  <c r="P1417" i="3"/>
  <c r="O1417" i="3"/>
  <c r="G1417" i="3"/>
  <c r="R1416" i="3"/>
  <c r="Q1416" i="3"/>
  <c r="P1416" i="3"/>
  <c r="O1416" i="3"/>
  <c r="G1416" i="3"/>
  <c r="R1415" i="3"/>
  <c r="Q1415" i="3"/>
  <c r="P1415" i="3"/>
  <c r="O1415" i="3"/>
  <c r="G1415" i="3"/>
  <c r="R1414" i="3"/>
  <c r="Q1414" i="3"/>
  <c r="P1414" i="3"/>
  <c r="O1414" i="3"/>
  <c r="G1414" i="3"/>
  <c r="R1413" i="3"/>
  <c r="Q1413" i="3"/>
  <c r="P1413" i="3"/>
  <c r="O1413" i="3"/>
  <c r="G1413" i="3"/>
  <c r="R1412" i="3"/>
  <c r="Q1412" i="3"/>
  <c r="P1412" i="3"/>
  <c r="O1412" i="3"/>
  <c r="G1412" i="3"/>
  <c r="R1411" i="3"/>
  <c r="Q1411" i="3"/>
  <c r="P1411" i="3"/>
  <c r="O1411" i="3"/>
  <c r="G1411" i="3"/>
  <c r="R1410" i="3"/>
  <c r="Q1410" i="3"/>
  <c r="P1410" i="3"/>
  <c r="O1410" i="3"/>
  <c r="G1410" i="3"/>
  <c r="R1409" i="3"/>
  <c r="Q1409" i="3"/>
  <c r="P1409" i="3"/>
  <c r="O1409" i="3"/>
  <c r="G1409" i="3"/>
  <c r="R1408" i="3"/>
  <c r="Q1408" i="3"/>
  <c r="P1408" i="3"/>
  <c r="O1408" i="3"/>
  <c r="G1408" i="3"/>
  <c r="R1407" i="3"/>
  <c r="Q1407" i="3"/>
  <c r="P1407" i="3"/>
  <c r="O1407" i="3"/>
  <c r="G1407" i="3"/>
  <c r="R1406" i="3"/>
  <c r="Q1406" i="3"/>
  <c r="P1406" i="3"/>
  <c r="O1406" i="3"/>
  <c r="G1406" i="3"/>
  <c r="R1405" i="3"/>
  <c r="Q1405" i="3"/>
  <c r="P1405" i="3"/>
  <c r="O1405" i="3"/>
  <c r="G1405" i="3"/>
  <c r="R1404" i="3"/>
  <c r="Q1404" i="3"/>
  <c r="P1404" i="3"/>
  <c r="O1404" i="3"/>
  <c r="G1404" i="3"/>
  <c r="R1403" i="3"/>
  <c r="Q1403" i="3"/>
  <c r="P1403" i="3"/>
  <c r="O1403" i="3"/>
  <c r="G1403" i="3"/>
  <c r="R1402" i="3"/>
  <c r="Q1402" i="3"/>
  <c r="P1402" i="3"/>
  <c r="O1402" i="3"/>
  <c r="G1402" i="3"/>
  <c r="R1401" i="3"/>
  <c r="Q1401" i="3"/>
  <c r="P1401" i="3"/>
  <c r="O1401" i="3"/>
  <c r="G1401" i="3"/>
  <c r="R1400" i="3"/>
  <c r="Q1400" i="3"/>
  <c r="P1400" i="3"/>
  <c r="O1400" i="3"/>
  <c r="G1400" i="3"/>
  <c r="R1399" i="3"/>
  <c r="Q1399" i="3"/>
  <c r="P1399" i="3"/>
  <c r="O1399" i="3"/>
  <c r="G1399" i="3"/>
  <c r="R1398" i="3"/>
  <c r="Q1398" i="3"/>
  <c r="P1398" i="3"/>
  <c r="O1398" i="3"/>
  <c r="G1398" i="3"/>
  <c r="R1397" i="3"/>
  <c r="Q1397" i="3"/>
  <c r="P1397" i="3"/>
  <c r="O1397" i="3"/>
  <c r="G1397" i="3"/>
  <c r="R1396" i="3"/>
  <c r="Q1396" i="3"/>
  <c r="P1396" i="3"/>
  <c r="O1396" i="3"/>
  <c r="G1396" i="3"/>
  <c r="R1395" i="3"/>
  <c r="Q1395" i="3"/>
  <c r="P1395" i="3"/>
  <c r="O1395" i="3"/>
  <c r="G1395" i="3"/>
  <c r="R1394" i="3"/>
  <c r="Q1394" i="3"/>
  <c r="P1394" i="3"/>
  <c r="O1394" i="3"/>
  <c r="G1394" i="3"/>
  <c r="R1393" i="3"/>
  <c r="Q1393" i="3"/>
  <c r="P1393" i="3"/>
  <c r="O1393" i="3"/>
  <c r="G1393" i="3"/>
  <c r="R1392" i="3"/>
  <c r="Q1392" i="3"/>
  <c r="P1392" i="3"/>
  <c r="O1392" i="3"/>
  <c r="G1392" i="3"/>
  <c r="R1391" i="3"/>
  <c r="Q1391" i="3"/>
  <c r="P1391" i="3"/>
  <c r="O1391" i="3"/>
  <c r="G1391" i="3"/>
  <c r="R1390" i="3"/>
  <c r="Q1390" i="3"/>
  <c r="P1390" i="3"/>
  <c r="O1390" i="3"/>
  <c r="G1390" i="3"/>
  <c r="R1389" i="3"/>
  <c r="Q1389" i="3"/>
  <c r="P1389" i="3"/>
  <c r="O1389" i="3"/>
  <c r="G1389" i="3"/>
  <c r="R1388" i="3"/>
  <c r="Q1388" i="3"/>
  <c r="P1388" i="3"/>
  <c r="O1388" i="3"/>
  <c r="G1388" i="3"/>
  <c r="R1387" i="3"/>
  <c r="Q1387" i="3"/>
  <c r="P1387" i="3"/>
  <c r="O1387" i="3"/>
  <c r="G1387" i="3"/>
  <c r="R1386" i="3"/>
  <c r="Q1386" i="3"/>
  <c r="P1386" i="3"/>
  <c r="O1386" i="3"/>
  <c r="G1386" i="3"/>
  <c r="R1385" i="3"/>
  <c r="Q1385" i="3"/>
  <c r="P1385" i="3"/>
  <c r="O1385" i="3"/>
  <c r="G1385" i="3"/>
  <c r="R1384" i="3"/>
  <c r="Q1384" i="3"/>
  <c r="P1384" i="3"/>
  <c r="O1384" i="3"/>
  <c r="G1384" i="3"/>
  <c r="R1383" i="3"/>
  <c r="Q1383" i="3"/>
  <c r="P1383" i="3"/>
  <c r="O1383" i="3"/>
  <c r="G1383" i="3"/>
  <c r="R1382" i="3"/>
  <c r="Q1382" i="3"/>
  <c r="P1382" i="3"/>
  <c r="O1382" i="3"/>
  <c r="G1382" i="3"/>
  <c r="R1381" i="3"/>
  <c r="Q1381" i="3"/>
  <c r="P1381" i="3"/>
  <c r="O1381" i="3"/>
  <c r="G1381" i="3"/>
  <c r="R1380" i="3"/>
  <c r="Q1380" i="3"/>
  <c r="P1380" i="3"/>
  <c r="O1380" i="3"/>
  <c r="G1380" i="3"/>
  <c r="R1379" i="3"/>
  <c r="Q1379" i="3"/>
  <c r="P1379" i="3"/>
  <c r="O1379" i="3"/>
  <c r="G1379" i="3"/>
  <c r="R1378" i="3"/>
  <c r="Q1378" i="3"/>
  <c r="P1378" i="3"/>
  <c r="O1378" i="3"/>
  <c r="G1378" i="3"/>
  <c r="R1377" i="3"/>
  <c r="Q1377" i="3"/>
  <c r="P1377" i="3"/>
  <c r="O1377" i="3"/>
  <c r="G1377" i="3"/>
  <c r="R1376" i="3"/>
  <c r="Q1376" i="3"/>
  <c r="P1376" i="3"/>
  <c r="O1376" i="3"/>
  <c r="G1376" i="3"/>
  <c r="R1375" i="3"/>
  <c r="Q1375" i="3"/>
  <c r="P1375" i="3"/>
  <c r="O1375" i="3"/>
  <c r="G1375" i="3"/>
  <c r="R1374" i="3"/>
  <c r="Q1374" i="3"/>
  <c r="P1374" i="3"/>
  <c r="O1374" i="3"/>
  <c r="G1374" i="3"/>
  <c r="R1373" i="3"/>
  <c r="Q1373" i="3"/>
  <c r="P1373" i="3"/>
  <c r="O1373" i="3"/>
  <c r="G1373" i="3"/>
  <c r="R1372" i="3"/>
  <c r="Q1372" i="3"/>
  <c r="P1372" i="3"/>
  <c r="O1372" i="3"/>
  <c r="G1372" i="3"/>
  <c r="R1371" i="3"/>
  <c r="Q1371" i="3"/>
  <c r="P1371" i="3"/>
  <c r="O1371" i="3"/>
  <c r="G1371" i="3"/>
  <c r="R1370" i="3"/>
  <c r="Q1370" i="3"/>
  <c r="P1370" i="3"/>
  <c r="O1370" i="3"/>
  <c r="G1370" i="3"/>
  <c r="R1369" i="3"/>
  <c r="Q1369" i="3"/>
  <c r="P1369" i="3"/>
  <c r="O1369" i="3"/>
  <c r="G1369" i="3"/>
  <c r="R1368" i="3"/>
  <c r="Q1368" i="3"/>
  <c r="P1368" i="3"/>
  <c r="O1368" i="3"/>
  <c r="G1368" i="3"/>
  <c r="R1367" i="3"/>
  <c r="Q1367" i="3"/>
  <c r="P1367" i="3"/>
  <c r="O1367" i="3"/>
  <c r="G1367" i="3"/>
  <c r="R1366" i="3"/>
  <c r="Q1366" i="3"/>
  <c r="P1366" i="3"/>
  <c r="O1366" i="3"/>
  <c r="G1366" i="3"/>
  <c r="R1365" i="3"/>
  <c r="Q1365" i="3"/>
  <c r="P1365" i="3"/>
  <c r="O1365" i="3"/>
  <c r="G1365" i="3"/>
  <c r="R1364" i="3"/>
  <c r="Q1364" i="3"/>
  <c r="P1364" i="3"/>
  <c r="O1364" i="3"/>
  <c r="G1364" i="3"/>
  <c r="R1363" i="3"/>
  <c r="Q1363" i="3"/>
  <c r="P1363" i="3"/>
  <c r="O1363" i="3"/>
  <c r="G1363" i="3"/>
  <c r="R1362" i="3"/>
  <c r="Q1362" i="3"/>
  <c r="P1362" i="3"/>
  <c r="O1362" i="3"/>
  <c r="G1362" i="3"/>
  <c r="R1361" i="3"/>
  <c r="Q1361" i="3"/>
  <c r="P1361" i="3"/>
  <c r="O1361" i="3"/>
  <c r="G1361" i="3"/>
  <c r="R1360" i="3"/>
  <c r="Q1360" i="3"/>
  <c r="P1360" i="3"/>
  <c r="O1360" i="3"/>
  <c r="G1360" i="3"/>
  <c r="R1359" i="3"/>
  <c r="Q1359" i="3"/>
  <c r="P1359" i="3"/>
  <c r="O1359" i="3"/>
  <c r="G1359" i="3"/>
  <c r="R1358" i="3"/>
  <c r="Q1358" i="3"/>
  <c r="P1358" i="3"/>
  <c r="O1358" i="3"/>
  <c r="G1358" i="3"/>
  <c r="R1357" i="3"/>
  <c r="Q1357" i="3"/>
  <c r="P1357" i="3"/>
  <c r="O1357" i="3"/>
  <c r="G1357" i="3"/>
  <c r="R1356" i="3"/>
  <c r="Q1356" i="3"/>
  <c r="P1356" i="3"/>
  <c r="O1356" i="3"/>
  <c r="G1356" i="3"/>
  <c r="R1355" i="3"/>
  <c r="Q1355" i="3"/>
  <c r="P1355" i="3"/>
  <c r="O1355" i="3"/>
  <c r="G1355" i="3"/>
  <c r="R1354" i="3"/>
  <c r="Q1354" i="3"/>
  <c r="P1354" i="3"/>
  <c r="O1354" i="3"/>
  <c r="G1354" i="3"/>
  <c r="R1353" i="3"/>
  <c r="Q1353" i="3"/>
  <c r="P1353" i="3"/>
  <c r="O1353" i="3"/>
  <c r="G1353" i="3"/>
  <c r="R1352" i="3"/>
  <c r="Q1352" i="3"/>
  <c r="P1352" i="3"/>
  <c r="O1352" i="3"/>
  <c r="G1352" i="3"/>
  <c r="R1351" i="3"/>
  <c r="Q1351" i="3"/>
  <c r="P1351" i="3"/>
  <c r="O1351" i="3"/>
  <c r="G1351" i="3"/>
  <c r="R1350" i="3"/>
  <c r="Q1350" i="3"/>
  <c r="P1350" i="3"/>
  <c r="O1350" i="3"/>
  <c r="G1350" i="3"/>
  <c r="R1349" i="3"/>
  <c r="Q1349" i="3"/>
  <c r="P1349" i="3"/>
  <c r="O1349" i="3"/>
  <c r="G1349" i="3"/>
  <c r="R1348" i="3"/>
  <c r="Q1348" i="3"/>
  <c r="P1348" i="3"/>
  <c r="O1348" i="3"/>
  <c r="G1348" i="3"/>
  <c r="R1347" i="3"/>
  <c r="Q1347" i="3"/>
  <c r="P1347" i="3"/>
  <c r="O1347" i="3"/>
  <c r="G1347" i="3"/>
  <c r="R1346" i="3"/>
  <c r="Q1346" i="3"/>
  <c r="P1346" i="3"/>
  <c r="O1346" i="3"/>
  <c r="G1346" i="3"/>
  <c r="R1345" i="3"/>
  <c r="Q1345" i="3"/>
  <c r="P1345" i="3"/>
  <c r="O1345" i="3"/>
  <c r="G1345" i="3"/>
  <c r="R1344" i="3"/>
  <c r="Q1344" i="3"/>
  <c r="P1344" i="3"/>
  <c r="O1344" i="3"/>
  <c r="G1344" i="3"/>
  <c r="R1343" i="3"/>
  <c r="Q1343" i="3"/>
  <c r="P1343" i="3"/>
  <c r="O1343" i="3"/>
  <c r="G1343" i="3"/>
  <c r="R1342" i="3"/>
  <c r="Q1342" i="3"/>
  <c r="P1342" i="3"/>
  <c r="O1342" i="3"/>
  <c r="G1342" i="3"/>
  <c r="R1341" i="3"/>
  <c r="Q1341" i="3"/>
  <c r="P1341" i="3"/>
  <c r="O1341" i="3"/>
  <c r="G1341" i="3"/>
  <c r="R1340" i="3"/>
  <c r="Q1340" i="3"/>
  <c r="P1340" i="3"/>
  <c r="O1340" i="3"/>
  <c r="G1340" i="3"/>
  <c r="R1339" i="3"/>
  <c r="Q1339" i="3"/>
  <c r="P1339" i="3"/>
  <c r="O1339" i="3"/>
  <c r="G1339" i="3"/>
  <c r="R1338" i="3"/>
  <c r="Q1338" i="3"/>
  <c r="P1338" i="3"/>
  <c r="O1338" i="3"/>
  <c r="G1338" i="3"/>
  <c r="R1337" i="3"/>
  <c r="Q1337" i="3"/>
  <c r="P1337" i="3"/>
  <c r="O1337" i="3"/>
  <c r="G1337" i="3"/>
  <c r="R1336" i="3"/>
  <c r="Q1336" i="3"/>
  <c r="P1336" i="3"/>
  <c r="O1336" i="3"/>
  <c r="G1336" i="3"/>
  <c r="R1335" i="3"/>
  <c r="Q1335" i="3"/>
  <c r="P1335" i="3"/>
  <c r="O1335" i="3"/>
  <c r="G1335" i="3"/>
  <c r="R1334" i="3"/>
  <c r="Q1334" i="3"/>
  <c r="P1334" i="3"/>
  <c r="O1334" i="3"/>
  <c r="G1334" i="3"/>
  <c r="R1333" i="3"/>
  <c r="Q1333" i="3"/>
  <c r="P1333" i="3"/>
  <c r="O1333" i="3"/>
  <c r="G1333" i="3"/>
  <c r="R1332" i="3"/>
  <c r="Q1332" i="3"/>
  <c r="P1332" i="3"/>
  <c r="O1332" i="3"/>
  <c r="G1332" i="3"/>
  <c r="R1331" i="3"/>
  <c r="Q1331" i="3"/>
  <c r="P1331" i="3"/>
  <c r="O1331" i="3"/>
  <c r="G1331" i="3"/>
  <c r="R1330" i="3"/>
  <c r="Q1330" i="3"/>
  <c r="P1330" i="3"/>
  <c r="O1330" i="3"/>
  <c r="G1330" i="3"/>
  <c r="R1329" i="3"/>
  <c r="Q1329" i="3"/>
  <c r="P1329" i="3"/>
  <c r="O1329" i="3"/>
  <c r="G1329" i="3"/>
  <c r="R1328" i="3"/>
  <c r="Q1328" i="3"/>
  <c r="P1328" i="3"/>
  <c r="O1328" i="3"/>
  <c r="G1328" i="3"/>
  <c r="R1327" i="3"/>
  <c r="Q1327" i="3"/>
  <c r="P1327" i="3"/>
  <c r="O1327" i="3"/>
  <c r="G1327" i="3"/>
  <c r="R1326" i="3"/>
  <c r="Q1326" i="3"/>
  <c r="P1326" i="3"/>
  <c r="O1326" i="3"/>
  <c r="G1326" i="3"/>
  <c r="R1325" i="3"/>
  <c r="Q1325" i="3"/>
  <c r="P1325" i="3"/>
  <c r="O1325" i="3"/>
  <c r="G1325" i="3"/>
  <c r="R1324" i="3"/>
  <c r="Q1324" i="3"/>
  <c r="P1324" i="3"/>
  <c r="O1324" i="3"/>
  <c r="G1324" i="3"/>
  <c r="R1323" i="3"/>
  <c r="Q1323" i="3"/>
  <c r="P1323" i="3"/>
  <c r="O1323" i="3"/>
  <c r="G1323" i="3"/>
  <c r="R1322" i="3"/>
  <c r="Q1322" i="3"/>
  <c r="P1322" i="3"/>
  <c r="O1322" i="3"/>
  <c r="G1322" i="3"/>
  <c r="R1321" i="3"/>
  <c r="Q1321" i="3"/>
  <c r="P1321" i="3"/>
  <c r="O1321" i="3"/>
  <c r="G1321" i="3"/>
  <c r="R1320" i="3"/>
  <c r="Q1320" i="3"/>
  <c r="P1320" i="3"/>
  <c r="O1320" i="3"/>
  <c r="G1320" i="3"/>
  <c r="R1319" i="3"/>
  <c r="Q1319" i="3"/>
  <c r="P1319" i="3"/>
  <c r="O1319" i="3"/>
  <c r="G1319" i="3"/>
  <c r="R1318" i="3"/>
  <c r="Q1318" i="3"/>
  <c r="P1318" i="3"/>
  <c r="O1318" i="3"/>
  <c r="G1318" i="3"/>
  <c r="R1317" i="3"/>
  <c r="Q1317" i="3"/>
  <c r="P1317" i="3"/>
  <c r="O1317" i="3"/>
  <c r="G1317" i="3"/>
  <c r="R1316" i="3"/>
  <c r="Q1316" i="3"/>
  <c r="P1316" i="3"/>
  <c r="O1316" i="3"/>
  <c r="G1316" i="3"/>
  <c r="R1315" i="3"/>
  <c r="Q1315" i="3"/>
  <c r="P1315" i="3"/>
  <c r="O1315" i="3"/>
  <c r="G1315" i="3"/>
  <c r="R1314" i="3"/>
  <c r="Q1314" i="3"/>
  <c r="P1314" i="3"/>
  <c r="O1314" i="3"/>
  <c r="G1314" i="3"/>
  <c r="R1313" i="3"/>
  <c r="Q1313" i="3"/>
  <c r="P1313" i="3"/>
  <c r="O1313" i="3"/>
  <c r="G1313" i="3"/>
  <c r="R1312" i="3"/>
  <c r="Q1312" i="3"/>
  <c r="P1312" i="3"/>
  <c r="O1312" i="3"/>
  <c r="G1312" i="3"/>
  <c r="R1311" i="3"/>
  <c r="Q1311" i="3"/>
  <c r="P1311" i="3"/>
  <c r="O1311" i="3"/>
  <c r="G1311" i="3"/>
  <c r="R1310" i="3"/>
  <c r="Q1310" i="3"/>
  <c r="P1310" i="3"/>
  <c r="O1310" i="3"/>
  <c r="G1310" i="3"/>
  <c r="R1309" i="3"/>
  <c r="Q1309" i="3"/>
  <c r="P1309" i="3"/>
  <c r="O1309" i="3"/>
  <c r="G1309" i="3"/>
  <c r="R1308" i="3"/>
  <c r="Q1308" i="3"/>
  <c r="P1308" i="3"/>
  <c r="O1308" i="3"/>
  <c r="G1308" i="3"/>
  <c r="R1307" i="3"/>
  <c r="Q1307" i="3"/>
  <c r="P1307" i="3"/>
  <c r="O1307" i="3"/>
  <c r="G1307" i="3"/>
  <c r="R1306" i="3"/>
  <c r="Q1306" i="3"/>
  <c r="P1306" i="3"/>
  <c r="O1306" i="3"/>
  <c r="G1306" i="3"/>
  <c r="R1305" i="3"/>
  <c r="Q1305" i="3"/>
  <c r="P1305" i="3"/>
  <c r="O1305" i="3"/>
  <c r="G1305" i="3"/>
  <c r="R1304" i="3"/>
  <c r="Q1304" i="3"/>
  <c r="P1304" i="3"/>
  <c r="O1304" i="3"/>
  <c r="G1304" i="3"/>
  <c r="R1303" i="3"/>
  <c r="Q1303" i="3"/>
  <c r="P1303" i="3"/>
  <c r="O1303" i="3"/>
  <c r="G1303" i="3"/>
  <c r="R1302" i="3"/>
  <c r="Q1302" i="3"/>
  <c r="P1302" i="3"/>
  <c r="O1302" i="3"/>
  <c r="G1302" i="3"/>
  <c r="R1301" i="3"/>
  <c r="Q1301" i="3"/>
  <c r="P1301" i="3"/>
  <c r="O1301" i="3"/>
  <c r="G1301" i="3"/>
  <c r="R1300" i="3"/>
  <c r="Q1300" i="3"/>
  <c r="P1300" i="3"/>
  <c r="O1300" i="3"/>
  <c r="G1300" i="3"/>
  <c r="R1299" i="3"/>
  <c r="Q1299" i="3"/>
  <c r="P1299" i="3"/>
  <c r="O1299" i="3"/>
  <c r="G1299" i="3"/>
  <c r="R1298" i="3"/>
  <c r="Q1298" i="3"/>
  <c r="P1298" i="3"/>
  <c r="O1298" i="3"/>
  <c r="G1298" i="3"/>
  <c r="R1297" i="3"/>
  <c r="Q1297" i="3"/>
  <c r="P1297" i="3"/>
  <c r="O1297" i="3"/>
  <c r="G1297" i="3"/>
  <c r="R1296" i="3"/>
  <c r="Q1296" i="3"/>
  <c r="P1296" i="3"/>
  <c r="O1296" i="3"/>
  <c r="G1296" i="3"/>
  <c r="R1295" i="3"/>
  <c r="Q1295" i="3"/>
  <c r="P1295" i="3"/>
  <c r="O1295" i="3"/>
  <c r="G1295" i="3"/>
  <c r="R1294" i="3"/>
  <c r="Q1294" i="3"/>
  <c r="P1294" i="3"/>
  <c r="O1294" i="3"/>
  <c r="G1294" i="3"/>
  <c r="R1293" i="3"/>
  <c r="Q1293" i="3"/>
  <c r="P1293" i="3"/>
  <c r="O1293" i="3"/>
  <c r="G1293" i="3"/>
  <c r="R1292" i="3"/>
  <c r="Q1292" i="3"/>
  <c r="P1292" i="3"/>
  <c r="O1292" i="3"/>
  <c r="G1292" i="3"/>
  <c r="R1291" i="3"/>
  <c r="Q1291" i="3"/>
  <c r="P1291" i="3"/>
  <c r="O1291" i="3"/>
  <c r="G1291" i="3"/>
  <c r="R1290" i="3"/>
  <c r="Q1290" i="3"/>
  <c r="P1290" i="3"/>
  <c r="O1290" i="3"/>
  <c r="G1290" i="3"/>
  <c r="R1289" i="3"/>
  <c r="Q1289" i="3"/>
  <c r="P1289" i="3"/>
  <c r="O1289" i="3"/>
  <c r="G1289" i="3"/>
  <c r="R1288" i="3"/>
  <c r="Q1288" i="3"/>
  <c r="P1288" i="3"/>
  <c r="O1288" i="3"/>
  <c r="G1288" i="3"/>
  <c r="R1287" i="3"/>
  <c r="Q1287" i="3"/>
  <c r="P1287" i="3"/>
  <c r="O1287" i="3"/>
  <c r="G1287" i="3"/>
  <c r="R1286" i="3"/>
  <c r="Q1286" i="3"/>
  <c r="P1286" i="3"/>
  <c r="O1286" i="3"/>
  <c r="G1286" i="3"/>
  <c r="R1285" i="3"/>
  <c r="Q1285" i="3"/>
  <c r="P1285" i="3"/>
  <c r="O1285" i="3"/>
  <c r="G1285" i="3"/>
  <c r="R1284" i="3"/>
  <c r="Q1284" i="3"/>
  <c r="P1284" i="3"/>
  <c r="O1284" i="3"/>
  <c r="G1284" i="3"/>
  <c r="R1283" i="3"/>
  <c r="Q1283" i="3"/>
  <c r="P1283" i="3"/>
  <c r="O1283" i="3"/>
  <c r="G1283" i="3"/>
  <c r="R1282" i="3"/>
  <c r="Q1282" i="3"/>
  <c r="P1282" i="3"/>
  <c r="O1282" i="3"/>
  <c r="G1282" i="3"/>
  <c r="R1281" i="3"/>
  <c r="Q1281" i="3"/>
  <c r="P1281" i="3"/>
  <c r="O1281" i="3"/>
  <c r="G1281" i="3"/>
  <c r="R1280" i="3"/>
  <c r="Q1280" i="3"/>
  <c r="P1280" i="3"/>
  <c r="O1280" i="3"/>
  <c r="G1280" i="3"/>
  <c r="R1279" i="3"/>
  <c r="Q1279" i="3"/>
  <c r="P1279" i="3"/>
  <c r="O1279" i="3"/>
  <c r="G1279" i="3"/>
  <c r="R1278" i="3"/>
  <c r="Q1278" i="3"/>
  <c r="P1278" i="3"/>
  <c r="O1278" i="3"/>
  <c r="G1278" i="3"/>
  <c r="R1277" i="3"/>
  <c r="Q1277" i="3"/>
  <c r="P1277" i="3"/>
  <c r="O1277" i="3"/>
  <c r="G1277" i="3"/>
  <c r="R1276" i="3"/>
  <c r="Q1276" i="3"/>
  <c r="P1276" i="3"/>
  <c r="O1276" i="3"/>
  <c r="G1276" i="3"/>
  <c r="R1275" i="3"/>
  <c r="Q1275" i="3"/>
  <c r="P1275" i="3"/>
  <c r="O1275" i="3"/>
  <c r="G1275" i="3"/>
  <c r="R1274" i="3"/>
  <c r="Q1274" i="3"/>
  <c r="P1274" i="3"/>
  <c r="O1274" i="3"/>
  <c r="G1274" i="3"/>
  <c r="R1273" i="3"/>
  <c r="Q1273" i="3"/>
  <c r="P1273" i="3"/>
  <c r="O1273" i="3"/>
  <c r="G1273" i="3"/>
  <c r="R1272" i="3"/>
  <c r="Q1272" i="3"/>
  <c r="P1272" i="3"/>
  <c r="O1272" i="3"/>
  <c r="G1272" i="3"/>
  <c r="R1271" i="3"/>
  <c r="Q1271" i="3"/>
  <c r="P1271" i="3"/>
  <c r="O1271" i="3"/>
  <c r="G1271" i="3"/>
  <c r="R1270" i="3"/>
  <c r="Q1270" i="3"/>
  <c r="P1270" i="3"/>
  <c r="O1270" i="3"/>
  <c r="G1270" i="3"/>
  <c r="R1269" i="3"/>
  <c r="Q1269" i="3"/>
  <c r="P1269" i="3"/>
  <c r="O1269" i="3"/>
  <c r="G1269" i="3"/>
  <c r="R1268" i="3"/>
  <c r="Q1268" i="3"/>
  <c r="P1268" i="3"/>
  <c r="O1268" i="3"/>
  <c r="G1268" i="3"/>
  <c r="R1267" i="3"/>
  <c r="Q1267" i="3"/>
  <c r="P1267" i="3"/>
  <c r="O1267" i="3"/>
  <c r="G1267" i="3"/>
  <c r="R1266" i="3"/>
  <c r="Q1266" i="3"/>
  <c r="P1266" i="3"/>
  <c r="O1266" i="3"/>
  <c r="G1266" i="3"/>
  <c r="R1265" i="3"/>
  <c r="Q1265" i="3"/>
  <c r="P1265" i="3"/>
  <c r="O1265" i="3"/>
  <c r="G1265" i="3"/>
  <c r="R1264" i="3"/>
  <c r="Q1264" i="3"/>
  <c r="P1264" i="3"/>
  <c r="O1264" i="3"/>
  <c r="G1264" i="3"/>
  <c r="R1263" i="3"/>
  <c r="Q1263" i="3"/>
  <c r="P1263" i="3"/>
  <c r="O1263" i="3"/>
  <c r="G1263" i="3"/>
  <c r="R1262" i="3"/>
  <c r="Q1262" i="3"/>
  <c r="P1262" i="3"/>
  <c r="O1262" i="3"/>
  <c r="G1262" i="3"/>
  <c r="R1261" i="3"/>
  <c r="Q1261" i="3"/>
  <c r="P1261" i="3"/>
  <c r="O1261" i="3"/>
  <c r="G1261" i="3"/>
  <c r="R1260" i="3"/>
  <c r="Q1260" i="3"/>
  <c r="P1260" i="3"/>
  <c r="O1260" i="3"/>
  <c r="G1260" i="3"/>
  <c r="R1259" i="3"/>
  <c r="Q1259" i="3"/>
  <c r="P1259" i="3"/>
  <c r="O1259" i="3"/>
  <c r="G1259" i="3"/>
  <c r="R1258" i="3"/>
  <c r="Q1258" i="3"/>
  <c r="P1258" i="3"/>
  <c r="O1258" i="3"/>
  <c r="G1258" i="3"/>
  <c r="R1257" i="3"/>
  <c r="Q1257" i="3"/>
  <c r="P1257" i="3"/>
  <c r="O1257" i="3"/>
  <c r="G1257" i="3"/>
  <c r="R1256" i="3"/>
  <c r="Q1256" i="3"/>
  <c r="P1256" i="3"/>
  <c r="O1256" i="3"/>
  <c r="G1256" i="3"/>
  <c r="R1255" i="3"/>
  <c r="Q1255" i="3"/>
  <c r="P1255" i="3"/>
  <c r="O1255" i="3"/>
  <c r="G1255" i="3"/>
  <c r="R1254" i="3"/>
  <c r="Q1254" i="3"/>
  <c r="P1254" i="3"/>
  <c r="O1254" i="3"/>
  <c r="G1254" i="3"/>
  <c r="R1253" i="3"/>
  <c r="Q1253" i="3"/>
  <c r="P1253" i="3"/>
  <c r="O1253" i="3"/>
  <c r="G1253" i="3"/>
  <c r="R1252" i="3"/>
  <c r="Q1252" i="3"/>
  <c r="P1252" i="3"/>
  <c r="O1252" i="3"/>
  <c r="G1252" i="3"/>
  <c r="R1251" i="3"/>
  <c r="Q1251" i="3"/>
  <c r="P1251" i="3"/>
  <c r="O1251" i="3"/>
  <c r="G1251" i="3"/>
  <c r="R1250" i="3"/>
  <c r="Q1250" i="3"/>
  <c r="P1250" i="3"/>
  <c r="O1250" i="3"/>
  <c r="G1250" i="3"/>
  <c r="R1249" i="3"/>
  <c r="Q1249" i="3"/>
  <c r="P1249" i="3"/>
  <c r="O1249" i="3"/>
  <c r="G1249" i="3"/>
  <c r="R1248" i="3"/>
  <c r="Q1248" i="3"/>
  <c r="P1248" i="3"/>
  <c r="O1248" i="3"/>
  <c r="G1248" i="3"/>
  <c r="R1247" i="3"/>
  <c r="Q1247" i="3"/>
  <c r="P1247" i="3"/>
  <c r="O1247" i="3"/>
  <c r="G1247" i="3"/>
  <c r="R1246" i="3"/>
  <c r="Q1246" i="3"/>
  <c r="P1246" i="3"/>
  <c r="O1246" i="3"/>
  <c r="G1246" i="3"/>
  <c r="R1245" i="3"/>
  <c r="Q1245" i="3"/>
  <c r="P1245" i="3"/>
  <c r="O1245" i="3"/>
  <c r="G1245" i="3"/>
  <c r="R1244" i="3"/>
  <c r="Q1244" i="3"/>
  <c r="P1244" i="3"/>
  <c r="O1244" i="3"/>
  <c r="G1244" i="3"/>
  <c r="R1243" i="3"/>
  <c r="Q1243" i="3"/>
  <c r="P1243" i="3"/>
  <c r="O1243" i="3"/>
  <c r="G1243" i="3"/>
  <c r="R1242" i="3"/>
  <c r="Q1242" i="3"/>
  <c r="P1242" i="3"/>
  <c r="O1242" i="3"/>
  <c r="G1242" i="3"/>
  <c r="R1241" i="3"/>
  <c r="Q1241" i="3"/>
  <c r="P1241" i="3"/>
  <c r="O1241" i="3"/>
  <c r="G1241" i="3"/>
  <c r="R1240" i="3"/>
  <c r="Q1240" i="3"/>
  <c r="P1240" i="3"/>
  <c r="O1240" i="3"/>
  <c r="G1240" i="3"/>
  <c r="R1239" i="3"/>
  <c r="Q1239" i="3"/>
  <c r="P1239" i="3"/>
  <c r="O1239" i="3"/>
  <c r="G1239" i="3"/>
  <c r="R1238" i="3"/>
  <c r="Q1238" i="3"/>
  <c r="P1238" i="3"/>
  <c r="O1238" i="3"/>
  <c r="G1238" i="3"/>
  <c r="R1237" i="3"/>
  <c r="Q1237" i="3"/>
  <c r="P1237" i="3"/>
  <c r="O1237" i="3"/>
  <c r="G1237" i="3"/>
  <c r="R1236" i="3"/>
  <c r="Q1236" i="3"/>
  <c r="P1236" i="3"/>
  <c r="O1236" i="3"/>
  <c r="G1236" i="3"/>
  <c r="R1235" i="3"/>
  <c r="Q1235" i="3"/>
  <c r="P1235" i="3"/>
  <c r="O1235" i="3"/>
  <c r="G1235" i="3"/>
  <c r="R1234" i="3"/>
  <c r="Q1234" i="3"/>
  <c r="P1234" i="3"/>
  <c r="O1234" i="3"/>
  <c r="G1234" i="3"/>
  <c r="R1233" i="3"/>
  <c r="Q1233" i="3"/>
  <c r="P1233" i="3"/>
  <c r="O1233" i="3"/>
  <c r="G1233" i="3"/>
  <c r="R1232" i="3"/>
  <c r="Q1232" i="3"/>
  <c r="P1232" i="3"/>
  <c r="O1232" i="3"/>
  <c r="G1232" i="3"/>
  <c r="R1231" i="3"/>
  <c r="Q1231" i="3"/>
  <c r="P1231" i="3"/>
  <c r="O1231" i="3"/>
  <c r="G1231" i="3"/>
  <c r="R1230" i="3"/>
  <c r="Q1230" i="3"/>
  <c r="P1230" i="3"/>
  <c r="O1230" i="3"/>
  <c r="G1230" i="3"/>
  <c r="R1229" i="3"/>
  <c r="Q1229" i="3"/>
  <c r="P1229" i="3"/>
  <c r="O1229" i="3"/>
  <c r="G1229" i="3"/>
  <c r="R1228" i="3"/>
  <c r="Q1228" i="3"/>
  <c r="P1228" i="3"/>
  <c r="O1228" i="3"/>
  <c r="G1228" i="3"/>
  <c r="R1227" i="3"/>
  <c r="Q1227" i="3"/>
  <c r="P1227" i="3"/>
  <c r="O1227" i="3"/>
  <c r="G1227" i="3"/>
  <c r="R1226" i="3"/>
  <c r="Q1226" i="3"/>
  <c r="P1226" i="3"/>
  <c r="O1226" i="3"/>
  <c r="G1226" i="3"/>
  <c r="R1225" i="3"/>
  <c r="Q1225" i="3"/>
  <c r="P1225" i="3"/>
  <c r="O1225" i="3"/>
  <c r="G1225" i="3"/>
  <c r="R1224" i="3"/>
  <c r="Q1224" i="3"/>
  <c r="P1224" i="3"/>
  <c r="O1224" i="3"/>
  <c r="G1224" i="3"/>
  <c r="R1223" i="3"/>
  <c r="Q1223" i="3"/>
  <c r="P1223" i="3"/>
  <c r="O1223" i="3"/>
  <c r="G1223" i="3"/>
  <c r="R1222" i="3"/>
  <c r="Q1222" i="3"/>
  <c r="P1222" i="3"/>
  <c r="O1222" i="3"/>
  <c r="G1222" i="3"/>
  <c r="R1221" i="3"/>
  <c r="Q1221" i="3"/>
  <c r="P1221" i="3"/>
  <c r="O1221" i="3"/>
  <c r="G1221" i="3"/>
  <c r="R1220" i="3"/>
  <c r="Q1220" i="3"/>
  <c r="P1220" i="3"/>
  <c r="O1220" i="3"/>
  <c r="G1220" i="3"/>
  <c r="R1219" i="3"/>
  <c r="Q1219" i="3"/>
  <c r="P1219" i="3"/>
  <c r="O1219" i="3"/>
  <c r="G1219" i="3"/>
  <c r="R1218" i="3"/>
  <c r="Q1218" i="3"/>
  <c r="P1218" i="3"/>
  <c r="O1218" i="3"/>
  <c r="G1218" i="3"/>
  <c r="R1217" i="3"/>
  <c r="Q1217" i="3"/>
  <c r="P1217" i="3"/>
  <c r="O1217" i="3"/>
  <c r="G1217" i="3"/>
  <c r="R1216" i="3"/>
  <c r="Q1216" i="3"/>
  <c r="P1216" i="3"/>
  <c r="O1216" i="3"/>
  <c r="G1216" i="3"/>
  <c r="R1215" i="3"/>
  <c r="Q1215" i="3"/>
  <c r="P1215" i="3"/>
  <c r="O1215" i="3"/>
  <c r="G1215" i="3"/>
  <c r="R1214" i="3"/>
  <c r="Q1214" i="3"/>
  <c r="P1214" i="3"/>
  <c r="O1214" i="3"/>
  <c r="G1214" i="3"/>
  <c r="R1213" i="3"/>
  <c r="Q1213" i="3"/>
  <c r="P1213" i="3"/>
  <c r="O1213" i="3"/>
  <c r="G1213" i="3"/>
  <c r="R1212" i="3"/>
  <c r="Q1212" i="3"/>
  <c r="P1212" i="3"/>
  <c r="O1212" i="3"/>
  <c r="G1212" i="3"/>
  <c r="R1211" i="3"/>
  <c r="Q1211" i="3"/>
  <c r="P1211" i="3"/>
  <c r="O1211" i="3"/>
  <c r="G1211" i="3"/>
  <c r="R1210" i="3"/>
  <c r="Q1210" i="3"/>
  <c r="P1210" i="3"/>
  <c r="O1210" i="3"/>
  <c r="G1210" i="3"/>
  <c r="R1209" i="3"/>
  <c r="Q1209" i="3"/>
  <c r="P1209" i="3"/>
  <c r="O1209" i="3"/>
  <c r="G1209" i="3"/>
  <c r="R1208" i="3"/>
  <c r="Q1208" i="3"/>
  <c r="P1208" i="3"/>
  <c r="O1208" i="3"/>
  <c r="G1208" i="3"/>
  <c r="R1207" i="3"/>
  <c r="Q1207" i="3"/>
  <c r="P1207" i="3"/>
  <c r="O1207" i="3"/>
  <c r="G1207" i="3"/>
  <c r="R1206" i="3"/>
  <c r="Q1206" i="3"/>
  <c r="P1206" i="3"/>
  <c r="O1206" i="3"/>
  <c r="G1206" i="3"/>
  <c r="R1205" i="3"/>
  <c r="Q1205" i="3"/>
  <c r="P1205" i="3"/>
  <c r="O1205" i="3"/>
  <c r="G1205" i="3"/>
  <c r="R1204" i="3"/>
  <c r="Q1204" i="3"/>
  <c r="P1204" i="3"/>
  <c r="O1204" i="3"/>
  <c r="G1204" i="3"/>
  <c r="R1203" i="3"/>
  <c r="Q1203" i="3"/>
  <c r="P1203" i="3"/>
  <c r="O1203" i="3"/>
  <c r="G1203" i="3"/>
  <c r="R1202" i="3"/>
  <c r="Q1202" i="3"/>
  <c r="P1202" i="3"/>
  <c r="O1202" i="3"/>
  <c r="G1202" i="3"/>
  <c r="R1201" i="3"/>
  <c r="Q1201" i="3"/>
  <c r="P1201" i="3"/>
  <c r="O1201" i="3"/>
  <c r="G1201" i="3"/>
  <c r="R1200" i="3"/>
  <c r="Q1200" i="3"/>
  <c r="P1200" i="3"/>
  <c r="O1200" i="3"/>
  <c r="G1200" i="3"/>
  <c r="R1199" i="3"/>
  <c r="Q1199" i="3"/>
  <c r="P1199" i="3"/>
  <c r="O1199" i="3"/>
  <c r="G1199" i="3"/>
  <c r="R1198" i="3"/>
  <c r="Q1198" i="3"/>
  <c r="P1198" i="3"/>
  <c r="O1198" i="3"/>
  <c r="G1198" i="3"/>
  <c r="R1197" i="3"/>
  <c r="Q1197" i="3"/>
  <c r="P1197" i="3"/>
  <c r="O1197" i="3"/>
  <c r="G1197" i="3"/>
  <c r="R1196" i="3"/>
  <c r="Q1196" i="3"/>
  <c r="P1196" i="3"/>
  <c r="O1196" i="3"/>
  <c r="G1196" i="3"/>
  <c r="R1195" i="3"/>
  <c r="Q1195" i="3"/>
  <c r="P1195" i="3"/>
  <c r="O1195" i="3"/>
  <c r="G1195" i="3"/>
  <c r="R1194" i="3"/>
  <c r="Q1194" i="3"/>
  <c r="P1194" i="3"/>
  <c r="O1194" i="3"/>
  <c r="G1194" i="3"/>
  <c r="R1193" i="3"/>
  <c r="Q1193" i="3"/>
  <c r="P1193" i="3"/>
  <c r="O1193" i="3"/>
  <c r="G1193" i="3"/>
  <c r="R1192" i="3"/>
  <c r="Q1192" i="3"/>
  <c r="P1192" i="3"/>
  <c r="O1192" i="3"/>
  <c r="G1192" i="3"/>
  <c r="R1191" i="3"/>
  <c r="Q1191" i="3"/>
  <c r="P1191" i="3"/>
  <c r="O1191" i="3"/>
  <c r="G1191" i="3"/>
  <c r="R1190" i="3"/>
  <c r="Q1190" i="3"/>
  <c r="P1190" i="3"/>
  <c r="O1190" i="3"/>
  <c r="G1190" i="3"/>
  <c r="R1189" i="3"/>
  <c r="Q1189" i="3"/>
  <c r="P1189" i="3"/>
  <c r="O1189" i="3"/>
  <c r="G1189" i="3"/>
  <c r="R1188" i="3"/>
  <c r="Q1188" i="3"/>
  <c r="P1188" i="3"/>
  <c r="O1188" i="3"/>
  <c r="G1188" i="3"/>
  <c r="R1187" i="3"/>
  <c r="Q1187" i="3"/>
  <c r="P1187" i="3"/>
  <c r="O1187" i="3"/>
  <c r="G1187" i="3"/>
  <c r="R1186" i="3"/>
  <c r="Q1186" i="3"/>
  <c r="P1186" i="3"/>
  <c r="O1186" i="3"/>
  <c r="G1186" i="3"/>
  <c r="R1185" i="3"/>
  <c r="Q1185" i="3"/>
  <c r="P1185" i="3"/>
  <c r="O1185" i="3"/>
  <c r="G1185" i="3"/>
  <c r="R1184" i="3"/>
  <c r="Q1184" i="3"/>
  <c r="P1184" i="3"/>
  <c r="O1184" i="3"/>
  <c r="G1184" i="3"/>
  <c r="R1183" i="3"/>
  <c r="Q1183" i="3"/>
  <c r="P1183" i="3"/>
  <c r="O1183" i="3"/>
  <c r="G1183" i="3"/>
  <c r="R1182" i="3"/>
  <c r="Q1182" i="3"/>
  <c r="P1182" i="3"/>
  <c r="O1182" i="3"/>
  <c r="G1182" i="3"/>
  <c r="R1181" i="3"/>
  <c r="Q1181" i="3"/>
  <c r="P1181" i="3"/>
  <c r="O1181" i="3"/>
  <c r="G1181" i="3"/>
  <c r="R1180" i="3"/>
  <c r="Q1180" i="3"/>
  <c r="P1180" i="3"/>
  <c r="O1180" i="3"/>
  <c r="G1180" i="3"/>
  <c r="R1179" i="3"/>
  <c r="Q1179" i="3"/>
  <c r="P1179" i="3"/>
  <c r="O1179" i="3"/>
  <c r="G1179" i="3"/>
  <c r="R1178" i="3"/>
  <c r="Q1178" i="3"/>
  <c r="P1178" i="3"/>
  <c r="O1178" i="3"/>
  <c r="G1178" i="3"/>
  <c r="R1177" i="3"/>
  <c r="Q1177" i="3"/>
  <c r="P1177" i="3"/>
  <c r="O1177" i="3"/>
  <c r="G1177" i="3"/>
  <c r="R1176" i="3"/>
  <c r="Q1176" i="3"/>
  <c r="P1176" i="3"/>
  <c r="O1176" i="3"/>
  <c r="G1176" i="3"/>
  <c r="R1175" i="3"/>
  <c r="Q1175" i="3"/>
  <c r="P1175" i="3"/>
  <c r="O1175" i="3"/>
  <c r="G1175" i="3"/>
  <c r="R1174" i="3"/>
  <c r="Q1174" i="3"/>
  <c r="P1174" i="3"/>
  <c r="O1174" i="3"/>
  <c r="G1174" i="3"/>
  <c r="R1173" i="3"/>
  <c r="Q1173" i="3"/>
  <c r="P1173" i="3"/>
  <c r="O1173" i="3"/>
  <c r="G1173" i="3"/>
  <c r="R1172" i="3"/>
  <c r="Q1172" i="3"/>
  <c r="P1172" i="3"/>
  <c r="O1172" i="3"/>
  <c r="G1172" i="3"/>
  <c r="R1171" i="3"/>
  <c r="Q1171" i="3"/>
  <c r="P1171" i="3"/>
  <c r="O1171" i="3"/>
  <c r="G1171" i="3"/>
  <c r="R1170" i="3"/>
  <c r="Q1170" i="3"/>
  <c r="P1170" i="3"/>
  <c r="O1170" i="3"/>
  <c r="G1170" i="3"/>
  <c r="R1169" i="3"/>
  <c r="Q1169" i="3"/>
  <c r="P1169" i="3"/>
  <c r="O1169" i="3"/>
  <c r="G1169" i="3"/>
  <c r="R1168" i="3"/>
  <c r="Q1168" i="3"/>
  <c r="P1168" i="3"/>
  <c r="O1168" i="3"/>
  <c r="G1168" i="3"/>
  <c r="R1167" i="3"/>
  <c r="Q1167" i="3"/>
  <c r="P1167" i="3"/>
  <c r="O1167" i="3"/>
  <c r="G1167" i="3"/>
  <c r="R1166" i="3"/>
  <c r="Q1166" i="3"/>
  <c r="P1166" i="3"/>
  <c r="O1166" i="3"/>
  <c r="G1166" i="3"/>
  <c r="R1165" i="3"/>
  <c r="Q1165" i="3"/>
  <c r="P1165" i="3"/>
  <c r="O1165" i="3"/>
  <c r="G1165" i="3"/>
  <c r="R1164" i="3"/>
  <c r="Q1164" i="3"/>
  <c r="P1164" i="3"/>
  <c r="O1164" i="3"/>
  <c r="G1164" i="3"/>
  <c r="R1163" i="3"/>
  <c r="Q1163" i="3"/>
  <c r="P1163" i="3"/>
  <c r="O1163" i="3"/>
  <c r="G1163" i="3"/>
  <c r="R1162" i="3"/>
  <c r="Q1162" i="3"/>
  <c r="P1162" i="3"/>
  <c r="O1162" i="3"/>
  <c r="G1162" i="3"/>
  <c r="R1161" i="3"/>
  <c r="Q1161" i="3"/>
  <c r="P1161" i="3"/>
  <c r="O1161" i="3"/>
  <c r="G1161" i="3"/>
  <c r="R1160" i="3"/>
  <c r="Q1160" i="3"/>
  <c r="P1160" i="3"/>
  <c r="O1160" i="3"/>
  <c r="G1160" i="3"/>
  <c r="R1159" i="3"/>
  <c r="Q1159" i="3"/>
  <c r="P1159" i="3"/>
  <c r="O1159" i="3"/>
  <c r="G1159" i="3"/>
  <c r="R1158" i="3"/>
  <c r="Q1158" i="3"/>
  <c r="P1158" i="3"/>
  <c r="O1158" i="3"/>
  <c r="G1158" i="3"/>
  <c r="R1157" i="3"/>
  <c r="Q1157" i="3"/>
  <c r="P1157" i="3"/>
  <c r="O1157" i="3"/>
  <c r="G1157" i="3"/>
  <c r="R1156" i="3"/>
  <c r="Q1156" i="3"/>
  <c r="P1156" i="3"/>
  <c r="O1156" i="3"/>
  <c r="G1156" i="3"/>
  <c r="R1155" i="3"/>
  <c r="Q1155" i="3"/>
  <c r="P1155" i="3"/>
  <c r="O1155" i="3"/>
  <c r="G1155" i="3"/>
  <c r="R1154" i="3"/>
  <c r="Q1154" i="3"/>
  <c r="P1154" i="3"/>
  <c r="O1154" i="3"/>
  <c r="G1154" i="3"/>
  <c r="R1153" i="3"/>
  <c r="Q1153" i="3"/>
  <c r="P1153" i="3"/>
  <c r="O1153" i="3"/>
  <c r="G1153" i="3"/>
  <c r="R1152" i="3"/>
  <c r="Q1152" i="3"/>
  <c r="P1152" i="3"/>
  <c r="O1152" i="3"/>
  <c r="G1152" i="3"/>
  <c r="R1151" i="3"/>
  <c r="Q1151" i="3"/>
  <c r="P1151" i="3"/>
  <c r="O1151" i="3"/>
  <c r="G1151" i="3"/>
  <c r="R1150" i="3"/>
  <c r="Q1150" i="3"/>
  <c r="P1150" i="3"/>
  <c r="O1150" i="3"/>
  <c r="G1150" i="3"/>
  <c r="R1149" i="3"/>
  <c r="Q1149" i="3"/>
  <c r="P1149" i="3"/>
  <c r="O1149" i="3"/>
  <c r="G1149" i="3"/>
  <c r="R1148" i="3"/>
  <c r="Q1148" i="3"/>
  <c r="P1148" i="3"/>
  <c r="O1148" i="3"/>
  <c r="G1148" i="3"/>
  <c r="R1147" i="3"/>
  <c r="Q1147" i="3"/>
  <c r="P1147" i="3"/>
  <c r="O1147" i="3"/>
  <c r="G1147" i="3"/>
  <c r="R1146" i="3"/>
  <c r="Q1146" i="3"/>
  <c r="P1146" i="3"/>
  <c r="O1146" i="3"/>
  <c r="G1146" i="3"/>
  <c r="R1145" i="3"/>
  <c r="Q1145" i="3"/>
  <c r="P1145" i="3"/>
  <c r="O1145" i="3"/>
  <c r="G1145" i="3"/>
  <c r="R1144" i="3"/>
  <c r="Q1144" i="3"/>
  <c r="P1144" i="3"/>
  <c r="O1144" i="3"/>
  <c r="G1144" i="3"/>
  <c r="R1143" i="3"/>
  <c r="Q1143" i="3"/>
  <c r="P1143" i="3"/>
  <c r="O1143" i="3"/>
  <c r="G1143" i="3"/>
  <c r="R1142" i="3"/>
  <c r="Q1142" i="3"/>
  <c r="P1142" i="3"/>
  <c r="O1142" i="3"/>
  <c r="G1142" i="3"/>
  <c r="R1141" i="3"/>
  <c r="Q1141" i="3"/>
  <c r="P1141" i="3"/>
  <c r="O1141" i="3"/>
  <c r="G1141" i="3"/>
  <c r="R1140" i="3"/>
  <c r="Q1140" i="3"/>
  <c r="P1140" i="3"/>
  <c r="O1140" i="3"/>
  <c r="G1140" i="3"/>
  <c r="R1139" i="3"/>
  <c r="Q1139" i="3"/>
  <c r="P1139" i="3"/>
  <c r="O1139" i="3"/>
  <c r="G1139" i="3"/>
  <c r="R1138" i="3"/>
  <c r="Q1138" i="3"/>
  <c r="P1138" i="3"/>
  <c r="O1138" i="3"/>
  <c r="G1138" i="3"/>
  <c r="R1137" i="3"/>
  <c r="Q1137" i="3"/>
  <c r="P1137" i="3"/>
  <c r="O1137" i="3"/>
  <c r="G1137" i="3"/>
  <c r="R1136" i="3"/>
  <c r="Q1136" i="3"/>
  <c r="P1136" i="3"/>
  <c r="O1136" i="3"/>
  <c r="G1136" i="3"/>
  <c r="R1135" i="3"/>
  <c r="Q1135" i="3"/>
  <c r="P1135" i="3"/>
  <c r="O1135" i="3"/>
  <c r="G1135" i="3"/>
  <c r="R1134" i="3"/>
  <c r="Q1134" i="3"/>
  <c r="P1134" i="3"/>
  <c r="O1134" i="3"/>
  <c r="G1134" i="3"/>
  <c r="R1133" i="3"/>
  <c r="Q1133" i="3"/>
  <c r="P1133" i="3"/>
  <c r="O1133" i="3"/>
  <c r="G1133" i="3"/>
  <c r="R1132" i="3"/>
  <c r="Q1132" i="3"/>
  <c r="P1132" i="3"/>
  <c r="O1132" i="3"/>
  <c r="G1132" i="3"/>
  <c r="R1131" i="3"/>
  <c r="Q1131" i="3"/>
  <c r="P1131" i="3"/>
  <c r="O1131" i="3"/>
  <c r="G1131" i="3"/>
  <c r="R1130" i="3"/>
  <c r="Q1130" i="3"/>
  <c r="P1130" i="3"/>
  <c r="O1130" i="3"/>
  <c r="G1130" i="3"/>
  <c r="R1129" i="3"/>
  <c r="Q1129" i="3"/>
  <c r="P1129" i="3"/>
  <c r="O1129" i="3"/>
  <c r="G1129" i="3"/>
  <c r="R1128" i="3"/>
  <c r="Q1128" i="3"/>
  <c r="P1128" i="3"/>
  <c r="O1128" i="3"/>
  <c r="G1128" i="3"/>
  <c r="R1127" i="3"/>
  <c r="Q1127" i="3"/>
  <c r="P1127" i="3"/>
  <c r="O1127" i="3"/>
  <c r="G1127" i="3"/>
  <c r="R1126" i="3"/>
  <c r="Q1126" i="3"/>
  <c r="P1126" i="3"/>
  <c r="O1126" i="3"/>
  <c r="G1126" i="3"/>
  <c r="R1125" i="3"/>
  <c r="Q1125" i="3"/>
  <c r="P1125" i="3"/>
  <c r="O1125" i="3"/>
  <c r="G1125" i="3"/>
  <c r="R1124" i="3"/>
  <c r="Q1124" i="3"/>
  <c r="P1124" i="3"/>
  <c r="O1124" i="3"/>
  <c r="G1124" i="3"/>
  <c r="R1123" i="3"/>
  <c r="Q1123" i="3"/>
  <c r="P1123" i="3"/>
  <c r="O1123" i="3"/>
  <c r="G1123" i="3"/>
  <c r="R1122" i="3"/>
  <c r="Q1122" i="3"/>
  <c r="P1122" i="3"/>
  <c r="O1122" i="3"/>
  <c r="G1122" i="3"/>
  <c r="R1121" i="3"/>
  <c r="Q1121" i="3"/>
  <c r="P1121" i="3"/>
  <c r="O1121" i="3"/>
  <c r="G1121" i="3"/>
  <c r="R1120" i="3"/>
  <c r="Q1120" i="3"/>
  <c r="P1120" i="3"/>
  <c r="O1120" i="3"/>
  <c r="G1120" i="3"/>
  <c r="R1119" i="3"/>
  <c r="Q1119" i="3"/>
  <c r="P1119" i="3"/>
  <c r="O1119" i="3"/>
  <c r="G1119" i="3"/>
  <c r="R1118" i="3"/>
  <c r="Q1118" i="3"/>
  <c r="P1118" i="3"/>
  <c r="O1118" i="3"/>
  <c r="G1118" i="3"/>
  <c r="R1117" i="3"/>
  <c r="Q1117" i="3"/>
  <c r="P1117" i="3"/>
  <c r="O1117" i="3"/>
  <c r="G1117" i="3"/>
  <c r="R1116" i="3"/>
  <c r="Q1116" i="3"/>
  <c r="P1116" i="3"/>
  <c r="O1116" i="3"/>
  <c r="G1116" i="3"/>
  <c r="R1115" i="3"/>
  <c r="Q1115" i="3"/>
  <c r="P1115" i="3"/>
  <c r="O1115" i="3"/>
  <c r="G1115" i="3"/>
  <c r="R1114" i="3"/>
  <c r="Q1114" i="3"/>
  <c r="P1114" i="3"/>
  <c r="O1114" i="3"/>
  <c r="G1114" i="3"/>
  <c r="R1113" i="3"/>
  <c r="Q1113" i="3"/>
  <c r="P1113" i="3"/>
  <c r="O1113" i="3"/>
  <c r="G1113" i="3"/>
  <c r="R1112" i="3"/>
  <c r="Q1112" i="3"/>
  <c r="P1112" i="3"/>
  <c r="O1112" i="3"/>
  <c r="G1112" i="3"/>
  <c r="R1111" i="3"/>
  <c r="Q1111" i="3"/>
  <c r="P1111" i="3"/>
  <c r="O1111" i="3"/>
  <c r="G1111" i="3"/>
  <c r="R1110" i="3"/>
  <c r="Q1110" i="3"/>
  <c r="P1110" i="3"/>
  <c r="O1110" i="3"/>
  <c r="G1110" i="3"/>
  <c r="R1109" i="3"/>
  <c r="Q1109" i="3"/>
  <c r="P1109" i="3"/>
  <c r="O1109" i="3"/>
  <c r="G1109" i="3"/>
  <c r="R1108" i="3"/>
  <c r="Q1108" i="3"/>
  <c r="P1108" i="3"/>
  <c r="O1108" i="3"/>
  <c r="G1108" i="3"/>
  <c r="R1107" i="3"/>
  <c r="Q1107" i="3"/>
  <c r="P1107" i="3"/>
  <c r="O1107" i="3"/>
  <c r="G1107" i="3"/>
  <c r="R1106" i="3"/>
  <c r="Q1106" i="3"/>
  <c r="P1106" i="3"/>
  <c r="O1106" i="3"/>
  <c r="G1106" i="3"/>
  <c r="R1105" i="3"/>
  <c r="Q1105" i="3"/>
  <c r="P1105" i="3"/>
  <c r="O1105" i="3"/>
  <c r="G1105" i="3"/>
  <c r="R1104" i="3"/>
  <c r="Q1104" i="3"/>
  <c r="P1104" i="3"/>
  <c r="O1104" i="3"/>
  <c r="G1104" i="3"/>
  <c r="R1103" i="3"/>
  <c r="Q1103" i="3"/>
  <c r="P1103" i="3"/>
  <c r="O1103" i="3"/>
  <c r="G1103" i="3"/>
  <c r="R1102" i="3"/>
  <c r="Q1102" i="3"/>
  <c r="P1102" i="3"/>
  <c r="O1102" i="3"/>
  <c r="G1102" i="3"/>
  <c r="R1101" i="3"/>
  <c r="Q1101" i="3"/>
  <c r="P1101" i="3"/>
  <c r="O1101" i="3"/>
  <c r="G1101" i="3"/>
  <c r="R1100" i="3"/>
  <c r="Q1100" i="3"/>
  <c r="P1100" i="3"/>
  <c r="O1100" i="3"/>
  <c r="G1100" i="3"/>
  <c r="R1099" i="3"/>
  <c r="Q1099" i="3"/>
  <c r="P1099" i="3"/>
  <c r="O1099" i="3"/>
  <c r="G1099" i="3"/>
  <c r="R1098" i="3"/>
  <c r="Q1098" i="3"/>
  <c r="P1098" i="3"/>
  <c r="O1098" i="3"/>
  <c r="G1098" i="3"/>
  <c r="R1097" i="3"/>
  <c r="Q1097" i="3"/>
  <c r="P1097" i="3"/>
  <c r="O1097" i="3"/>
  <c r="G1097" i="3"/>
  <c r="R1096" i="3"/>
  <c r="Q1096" i="3"/>
  <c r="P1096" i="3"/>
  <c r="O1096" i="3"/>
  <c r="G1096" i="3"/>
  <c r="R1095" i="3"/>
  <c r="Q1095" i="3"/>
  <c r="P1095" i="3"/>
  <c r="O1095" i="3"/>
  <c r="G1095" i="3"/>
  <c r="R1094" i="3"/>
  <c r="Q1094" i="3"/>
  <c r="P1094" i="3"/>
  <c r="O1094" i="3"/>
  <c r="G1094" i="3"/>
  <c r="R1093" i="3"/>
  <c r="Q1093" i="3"/>
  <c r="P1093" i="3"/>
  <c r="O1093" i="3"/>
  <c r="G1093" i="3"/>
  <c r="R1092" i="3"/>
  <c r="Q1092" i="3"/>
  <c r="P1092" i="3"/>
  <c r="O1092" i="3"/>
  <c r="G1092" i="3"/>
  <c r="R1091" i="3"/>
  <c r="Q1091" i="3"/>
  <c r="P1091" i="3"/>
  <c r="O1091" i="3"/>
  <c r="G1091" i="3"/>
  <c r="R1090" i="3"/>
  <c r="Q1090" i="3"/>
  <c r="P1090" i="3"/>
  <c r="O1090" i="3"/>
  <c r="G1090" i="3"/>
  <c r="R1089" i="3"/>
  <c r="Q1089" i="3"/>
  <c r="P1089" i="3"/>
  <c r="O1089" i="3"/>
  <c r="G1089" i="3"/>
  <c r="R1088" i="3"/>
  <c r="Q1088" i="3"/>
  <c r="P1088" i="3"/>
  <c r="O1088" i="3"/>
  <c r="G1088" i="3"/>
  <c r="R1087" i="3"/>
  <c r="Q1087" i="3"/>
  <c r="P1087" i="3"/>
  <c r="O1087" i="3"/>
  <c r="G1087" i="3"/>
  <c r="R1086" i="3"/>
  <c r="Q1086" i="3"/>
  <c r="P1086" i="3"/>
  <c r="O1086" i="3"/>
  <c r="G1086" i="3"/>
  <c r="R1085" i="3"/>
  <c r="Q1085" i="3"/>
  <c r="P1085" i="3"/>
  <c r="O1085" i="3"/>
  <c r="G1085" i="3"/>
  <c r="R1084" i="3"/>
  <c r="Q1084" i="3"/>
  <c r="P1084" i="3"/>
  <c r="O1084" i="3"/>
  <c r="G1084" i="3"/>
  <c r="R1083" i="3"/>
  <c r="Q1083" i="3"/>
  <c r="P1083" i="3"/>
  <c r="O1083" i="3"/>
  <c r="G1083" i="3"/>
  <c r="R1082" i="3"/>
  <c r="Q1082" i="3"/>
  <c r="P1082" i="3"/>
  <c r="O1082" i="3"/>
  <c r="G1082" i="3"/>
  <c r="R1081" i="3"/>
  <c r="Q1081" i="3"/>
  <c r="P1081" i="3"/>
  <c r="O1081" i="3"/>
  <c r="G1081" i="3"/>
  <c r="R1080" i="3"/>
  <c r="Q1080" i="3"/>
  <c r="P1080" i="3"/>
  <c r="O1080" i="3"/>
  <c r="G1080" i="3"/>
  <c r="R1079" i="3"/>
  <c r="Q1079" i="3"/>
  <c r="P1079" i="3"/>
  <c r="O1079" i="3"/>
  <c r="G1079" i="3"/>
  <c r="R1078" i="3"/>
  <c r="Q1078" i="3"/>
  <c r="P1078" i="3"/>
  <c r="O1078" i="3"/>
  <c r="G1078" i="3"/>
  <c r="R1077" i="3"/>
  <c r="Q1077" i="3"/>
  <c r="P1077" i="3"/>
  <c r="O1077" i="3"/>
  <c r="G1077" i="3"/>
  <c r="R1076" i="3"/>
  <c r="Q1076" i="3"/>
  <c r="P1076" i="3"/>
  <c r="O1076" i="3"/>
  <c r="G1076" i="3"/>
  <c r="R1075" i="3"/>
  <c r="Q1075" i="3"/>
  <c r="P1075" i="3"/>
  <c r="O1075" i="3"/>
  <c r="G1075" i="3"/>
  <c r="R1074" i="3"/>
  <c r="Q1074" i="3"/>
  <c r="P1074" i="3"/>
  <c r="O1074" i="3"/>
  <c r="G1074" i="3"/>
  <c r="R1073" i="3"/>
  <c r="Q1073" i="3"/>
  <c r="P1073" i="3"/>
  <c r="O1073" i="3"/>
  <c r="G1073" i="3"/>
  <c r="R1072" i="3"/>
  <c r="Q1072" i="3"/>
  <c r="P1072" i="3"/>
  <c r="O1072" i="3"/>
  <c r="G1072" i="3"/>
  <c r="R1071" i="3"/>
  <c r="Q1071" i="3"/>
  <c r="P1071" i="3"/>
  <c r="O1071" i="3"/>
  <c r="G1071" i="3"/>
  <c r="R1070" i="3"/>
  <c r="Q1070" i="3"/>
  <c r="P1070" i="3"/>
  <c r="O1070" i="3"/>
  <c r="G1070" i="3"/>
  <c r="R1069" i="3"/>
  <c r="Q1069" i="3"/>
  <c r="P1069" i="3"/>
  <c r="O1069" i="3"/>
  <c r="G1069" i="3"/>
  <c r="R1068" i="3"/>
  <c r="Q1068" i="3"/>
  <c r="P1068" i="3"/>
  <c r="O1068" i="3"/>
  <c r="G1068" i="3"/>
  <c r="R1067" i="3"/>
  <c r="Q1067" i="3"/>
  <c r="P1067" i="3"/>
  <c r="O1067" i="3"/>
  <c r="G1067" i="3"/>
  <c r="R1066" i="3"/>
  <c r="Q1066" i="3"/>
  <c r="P1066" i="3"/>
  <c r="O1066" i="3"/>
  <c r="G1066" i="3"/>
  <c r="R1065" i="3"/>
  <c r="Q1065" i="3"/>
  <c r="P1065" i="3"/>
  <c r="O1065" i="3"/>
  <c r="G1065" i="3"/>
  <c r="R1064" i="3"/>
  <c r="Q1064" i="3"/>
  <c r="P1064" i="3"/>
  <c r="O1064" i="3"/>
  <c r="G1064" i="3"/>
  <c r="R1063" i="3"/>
  <c r="Q1063" i="3"/>
  <c r="P1063" i="3"/>
  <c r="O1063" i="3"/>
  <c r="G1063" i="3"/>
  <c r="R1062" i="3"/>
  <c r="Q1062" i="3"/>
  <c r="P1062" i="3"/>
  <c r="O1062" i="3"/>
  <c r="G1062" i="3"/>
  <c r="R1061" i="3"/>
  <c r="Q1061" i="3"/>
  <c r="P1061" i="3"/>
  <c r="O1061" i="3"/>
  <c r="G1061" i="3"/>
  <c r="R1060" i="3"/>
  <c r="Q1060" i="3"/>
  <c r="P1060" i="3"/>
  <c r="O1060" i="3"/>
  <c r="G1060" i="3"/>
  <c r="R1059" i="3"/>
  <c r="Q1059" i="3"/>
  <c r="P1059" i="3"/>
  <c r="O1059" i="3"/>
  <c r="G1059" i="3"/>
  <c r="R1058" i="3"/>
  <c r="Q1058" i="3"/>
  <c r="P1058" i="3"/>
  <c r="O1058" i="3"/>
  <c r="G1058" i="3"/>
  <c r="R1057" i="3"/>
  <c r="Q1057" i="3"/>
  <c r="P1057" i="3"/>
  <c r="O1057" i="3"/>
  <c r="G1057" i="3"/>
  <c r="R1056" i="3"/>
  <c r="Q1056" i="3"/>
  <c r="P1056" i="3"/>
  <c r="O1056" i="3"/>
  <c r="G1056" i="3"/>
  <c r="R1055" i="3"/>
  <c r="Q1055" i="3"/>
  <c r="P1055" i="3"/>
  <c r="O1055" i="3"/>
  <c r="G1055" i="3"/>
  <c r="R1054" i="3"/>
  <c r="Q1054" i="3"/>
  <c r="P1054" i="3"/>
  <c r="O1054" i="3"/>
  <c r="G1054" i="3"/>
  <c r="R1053" i="3"/>
  <c r="Q1053" i="3"/>
  <c r="P1053" i="3"/>
  <c r="O1053" i="3"/>
  <c r="G1053" i="3"/>
  <c r="R1052" i="3"/>
  <c r="Q1052" i="3"/>
  <c r="P1052" i="3"/>
  <c r="O1052" i="3"/>
  <c r="G1052" i="3"/>
  <c r="R1051" i="3"/>
  <c r="Q1051" i="3"/>
  <c r="P1051" i="3"/>
  <c r="O1051" i="3"/>
  <c r="G1051" i="3"/>
  <c r="R1050" i="3"/>
  <c r="Q1050" i="3"/>
  <c r="P1050" i="3"/>
  <c r="O1050" i="3"/>
  <c r="G1050" i="3"/>
  <c r="R1049" i="3"/>
  <c r="Q1049" i="3"/>
  <c r="P1049" i="3"/>
  <c r="O1049" i="3"/>
  <c r="G1049" i="3"/>
  <c r="R1048" i="3"/>
  <c r="Q1048" i="3"/>
  <c r="P1048" i="3"/>
  <c r="O1048" i="3"/>
  <c r="G1048" i="3"/>
  <c r="R1047" i="3"/>
  <c r="Q1047" i="3"/>
  <c r="P1047" i="3"/>
  <c r="O1047" i="3"/>
  <c r="G1047" i="3"/>
  <c r="R1046" i="3"/>
  <c r="Q1046" i="3"/>
  <c r="P1046" i="3"/>
  <c r="O1046" i="3"/>
  <c r="G1046" i="3"/>
  <c r="R1045" i="3"/>
  <c r="Q1045" i="3"/>
  <c r="P1045" i="3"/>
  <c r="O1045" i="3"/>
  <c r="G1045" i="3"/>
  <c r="R1044" i="3"/>
  <c r="Q1044" i="3"/>
  <c r="P1044" i="3"/>
  <c r="O1044" i="3"/>
  <c r="G1044" i="3"/>
  <c r="R1043" i="3"/>
  <c r="Q1043" i="3"/>
  <c r="P1043" i="3"/>
  <c r="O1043" i="3"/>
  <c r="G1043" i="3"/>
  <c r="R1042" i="3"/>
  <c r="Q1042" i="3"/>
  <c r="P1042" i="3"/>
  <c r="O1042" i="3"/>
  <c r="G1042" i="3"/>
  <c r="R1041" i="3"/>
  <c r="Q1041" i="3"/>
  <c r="P1041" i="3"/>
  <c r="O1041" i="3"/>
  <c r="G1041" i="3"/>
  <c r="R1040" i="3"/>
  <c r="Q1040" i="3"/>
  <c r="P1040" i="3"/>
  <c r="O1040" i="3"/>
  <c r="G1040" i="3"/>
  <c r="R1039" i="3"/>
  <c r="Q1039" i="3"/>
  <c r="P1039" i="3"/>
  <c r="O1039" i="3"/>
  <c r="G1039" i="3"/>
  <c r="R1038" i="3"/>
  <c r="Q1038" i="3"/>
  <c r="P1038" i="3"/>
  <c r="O1038" i="3"/>
  <c r="G1038" i="3"/>
  <c r="R1037" i="3"/>
  <c r="Q1037" i="3"/>
  <c r="P1037" i="3"/>
  <c r="O1037" i="3"/>
  <c r="G1037" i="3"/>
  <c r="R1036" i="3"/>
  <c r="Q1036" i="3"/>
  <c r="P1036" i="3"/>
  <c r="O1036" i="3"/>
  <c r="G1036" i="3"/>
  <c r="R1035" i="3"/>
  <c r="Q1035" i="3"/>
  <c r="P1035" i="3"/>
  <c r="O1035" i="3"/>
  <c r="G1035" i="3"/>
  <c r="R1034" i="3"/>
  <c r="Q1034" i="3"/>
  <c r="P1034" i="3"/>
  <c r="O1034" i="3"/>
  <c r="G1034" i="3"/>
  <c r="R1033" i="3"/>
  <c r="Q1033" i="3"/>
  <c r="P1033" i="3"/>
  <c r="O1033" i="3"/>
  <c r="G1033" i="3"/>
  <c r="R1032" i="3"/>
  <c r="Q1032" i="3"/>
  <c r="P1032" i="3"/>
  <c r="O1032" i="3"/>
  <c r="G1032" i="3"/>
  <c r="R1031" i="3"/>
  <c r="Q1031" i="3"/>
  <c r="P1031" i="3"/>
  <c r="O1031" i="3"/>
  <c r="G1031" i="3"/>
  <c r="R1030" i="3"/>
  <c r="Q1030" i="3"/>
  <c r="P1030" i="3"/>
  <c r="O1030" i="3"/>
  <c r="G1030" i="3"/>
  <c r="R1029" i="3"/>
  <c r="Q1029" i="3"/>
  <c r="P1029" i="3"/>
  <c r="O1029" i="3"/>
  <c r="G1029" i="3"/>
  <c r="R1028" i="3"/>
  <c r="Q1028" i="3"/>
  <c r="P1028" i="3"/>
  <c r="O1028" i="3"/>
  <c r="G1028" i="3"/>
  <c r="R1027" i="3"/>
  <c r="Q1027" i="3"/>
  <c r="P1027" i="3"/>
  <c r="O1027" i="3"/>
  <c r="G1027" i="3"/>
  <c r="R1026" i="3"/>
  <c r="Q1026" i="3"/>
  <c r="P1026" i="3"/>
  <c r="O1026" i="3"/>
  <c r="G1026" i="3"/>
  <c r="R1025" i="3"/>
  <c r="Q1025" i="3"/>
  <c r="P1025" i="3"/>
  <c r="O1025" i="3"/>
  <c r="G1025" i="3"/>
  <c r="R1024" i="3"/>
  <c r="Q1024" i="3"/>
  <c r="P1024" i="3"/>
  <c r="O1024" i="3"/>
  <c r="G1024" i="3"/>
  <c r="R1023" i="3"/>
  <c r="Q1023" i="3"/>
  <c r="P1023" i="3"/>
  <c r="O1023" i="3"/>
  <c r="G1023" i="3"/>
  <c r="R1022" i="3"/>
  <c r="Q1022" i="3"/>
  <c r="P1022" i="3"/>
  <c r="O1022" i="3"/>
  <c r="G1022" i="3"/>
  <c r="R1021" i="3"/>
  <c r="Q1021" i="3"/>
  <c r="P1021" i="3"/>
  <c r="O1021" i="3"/>
  <c r="G1021" i="3"/>
  <c r="R1020" i="3"/>
  <c r="Q1020" i="3"/>
  <c r="P1020" i="3"/>
  <c r="O1020" i="3"/>
  <c r="G1020" i="3"/>
  <c r="R1019" i="3"/>
  <c r="Q1019" i="3"/>
  <c r="P1019" i="3"/>
  <c r="O1019" i="3"/>
  <c r="G1019" i="3"/>
  <c r="R1018" i="3"/>
  <c r="Q1018" i="3"/>
  <c r="P1018" i="3"/>
  <c r="O1018" i="3"/>
  <c r="G1018" i="3"/>
  <c r="R1017" i="3"/>
  <c r="Q1017" i="3"/>
  <c r="P1017" i="3"/>
  <c r="O1017" i="3"/>
  <c r="G1017" i="3"/>
  <c r="R1016" i="3"/>
  <c r="Q1016" i="3"/>
  <c r="P1016" i="3"/>
  <c r="O1016" i="3"/>
  <c r="G1016" i="3"/>
  <c r="R1015" i="3"/>
  <c r="Q1015" i="3"/>
  <c r="P1015" i="3"/>
  <c r="O1015" i="3"/>
  <c r="G1015" i="3"/>
  <c r="R1014" i="3"/>
  <c r="Q1014" i="3"/>
  <c r="P1014" i="3"/>
  <c r="O1014" i="3"/>
  <c r="G1014" i="3"/>
  <c r="R1013" i="3"/>
  <c r="Q1013" i="3"/>
  <c r="P1013" i="3"/>
  <c r="O1013" i="3"/>
  <c r="G1013" i="3"/>
  <c r="R1012" i="3"/>
  <c r="Q1012" i="3"/>
  <c r="P1012" i="3"/>
  <c r="O1012" i="3"/>
  <c r="G1012" i="3"/>
  <c r="R1011" i="3"/>
  <c r="Q1011" i="3"/>
  <c r="P1011" i="3"/>
  <c r="O1011" i="3"/>
  <c r="G1011" i="3"/>
  <c r="R1010" i="3"/>
  <c r="Q1010" i="3"/>
  <c r="P1010" i="3"/>
  <c r="O1010" i="3"/>
  <c r="G1010" i="3"/>
  <c r="R1009" i="3"/>
  <c r="Q1009" i="3"/>
  <c r="P1009" i="3"/>
  <c r="O1009" i="3"/>
  <c r="G1009" i="3"/>
  <c r="R1008" i="3"/>
  <c r="Q1008" i="3"/>
  <c r="P1008" i="3"/>
  <c r="O1008" i="3"/>
  <c r="G1008" i="3"/>
  <c r="R1007" i="3"/>
  <c r="Q1007" i="3"/>
  <c r="P1007" i="3"/>
  <c r="O1007" i="3"/>
  <c r="G1007" i="3"/>
  <c r="R1006" i="3"/>
  <c r="Q1006" i="3"/>
  <c r="P1006" i="3"/>
  <c r="O1006" i="3"/>
  <c r="G1006" i="3"/>
  <c r="R1005" i="3"/>
  <c r="Q1005" i="3"/>
  <c r="P1005" i="3"/>
  <c r="O1005" i="3"/>
  <c r="G1005" i="3"/>
  <c r="R1004" i="3"/>
  <c r="Q1004" i="3"/>
  <c r="P1004" i="3"/>
  <c r="O1004" i="3"/>
  <c r="G1004" i="3"/>
  <c r="R1003" i="3"/>
  <c r="Q1003" i="3"/>
  <c r="P1003" i="3"/>
  <c r="O1003" i="3"/>
  <c r="G1003" i="3"/>
  <c r="R1002" i="3"/>
  <c r="Q1002" i="3"/>
  <c r="P1002" i="3"/>
  <c r="O1002" i="3"/>
  <c r="G1002" i="3"/>
  <c r="R1001" i="3"/>
  <c r="Q1001" i="3"/>
  <c r="P1001" i="3"/>
  <c r="O1001" i="3"/>
  <c r="G1001" i="3"/>
  <c r="R1000" i="3"/>
  <c r="Q1000" i="3"/>
  <c r="P1000" i="3"/>
  <c r="O1000" i="3"/>
  <c r="G1000" i="3"/>
  <c r="R999" i="3"/>
  <c r="Q999" i="3"/>
  <c r="P999" i="3"/>
  <c r="O999" i="3"/>
  <c r="G999" i="3"/>
  <c r="R998" i="3"/>
  <c r="Q998" i="3"/>
  <c r="P998" i="3"/>
  <c r="O998" i="3"/>
  <c r="G998" i="3"/>
  <c r="R997" i="3"/>
  <c r="Q997" i="3"/>
  <c r="P997" i="3"/>
  <c r="O997" i="3"/>
  <c r="G997" i="3"/>
  <c r="R996" i="3"/>
  <c r="Q996" i="3"/>
  <c r="P996" i="3"/>
  <c r="O996" i="3"/>
  <c r="G996" i="3"/>
  <c r="R995" i="3"/>
  <c r="Q995" i="3"/>
  <c r="P995" i="3"/>
  <c r="O995" i="3"/>
  <c r="G995" i="3"/>
  <c r="R994" i="3"/>
  <c r="Q994" i="3"/>
  <c r="P994" i="3"/>
  <c r="O994" i="3"/>
  <c r="G994" i="3"/>
  <c r="R993" i="3"/>
  <c r="Q993" i="3"/>
  <c r="P993" i="3"/>
  <c r="O993" i="3"/>
  <c r="G993" i="3"/>
  <c r="R992" i="3"/>
  <c r="Q992" i="3"/>
  <c r="P992" i="3"/>
  <c r="O992" i="3"/>
  <c r="G992" i="3"/>
  <c r="R991" i="3"/>
  <c r="Q991" i="3"/>
  <c r="P991" i="3"/>
  <c r="O991" i="3"/>
  <c r="G991" i="3"/>
  <c r="R990" i="3"/>
  <c r="Q990" i="3"/>
  <c r="P990" i="3"/>
  <c r="O990" i="3"/>
  <c r="G990" i="3"/>
  <c r="R989" i="3"/>
  <c r="Q989" i="3"/>
  <c r="P989" i="3"/>
  <c r="O989" i="3"/>
  <c r="G989" i="3"/>
  <c r="R988" i="3"/>
  <c r="Q988" i="3"/>
  <c r="P988" i="3"/>
  <c r="O988" i="3"/>
  <c r="G988" i="3"/>
  <c r="R987" i="3"/>
  <c r="Q987" i="3"/>
  <c r="P987" i="3"/>
  <c r="O987" i="3"/>
  <c r="G987" i="3"/>
  <c r="R986" i="3"/>
  <c r="Q986" i="3"/>
  <c r="P986" i="3"/>
  <c r="O986" i="3"/>
  <c r="G986" i="3"/>
  <c r="R985" i="3"/>
  <c r="Q985" i="3"/>
  <c r="P985" i="3"/>
  <c r="O985" i="3"/>
  <c r="G985" i="3"/>
  <c r="R984" i="3"/>
  <c r="Q984" i="3"/>
  <c r="P984" i="3"/>
  <c r="O984" i="3"/>
  <c r="G984" i="3"/>
  <c r="R983" i="3"/>
  <c r="Q983" i="3"/>
  <c r="P983" i="3"/>
  <c r="O983" i="3"/>
  <c r="G983" i="3"/>
  <c r="R982" i="3"/>
  <c r="Q982" i="3"/>
  <c r="P982" i="3"/>
  <c r="O982" i="3"/>
  <c r="G982" i="3"/>
  <c r="R981" i="3"/>
  <c r="Q981" i="3"/>
  <c r="P981" i="3"/>
  <c r="O981" i="3"/>
  <c r="G981" i="3"/>
  <c r="R980" i="3"/>
  <c r="Q980" i="3"/>
  <c r="P980" i="3"/>
  <c r="O980" i="3"/>
  <c r="G980" i="3"/>
  <c r="R979" i="3"/>
  <c r="Q979" i="3"/>
  <c r="P979" i="3"/>
  <c r="O979" i="3"/>
  <c r="G979" i="3"/>
  <c r="R978" i="3"/>
  <c r="Q978" i="3"/>
  <c r="P978" i="3"/>
  <c r="O978" i="3"/>
  <c r="G978" i="3"/>
  <c r="R977" i="3"/>
  <c r="Q977" i="3"/>
  <c r="P977" i="3"/>
  <c r="O977" i="3"/>
  <c r="G977" i="3"/>
  <c r="R976" i="3"/>
  <c r="Q976" i="3"/>
  <c r="P976" i="3"/>
  <c r="O976" i="3"/>
  <c r="G976" i="3"/>
  <c r="R975" i="3"/>
  <c r="Q975" i="3"/>
  <c r="P975" i="3"/>
  <c r="O975" i="3"/>
  <c r="G975" i="3"/>
  <c r="R974" i="3"/>
  <c r="Q974" i="3"/>
  <c r="P974" i="3"/>
  <c r="O974" i="3"/>
  <c r="G974" i="3"/>
  <c r="R973" i="3"/>
  <c r="Q973" i="3"/>
  <c r="P973" i="3"/>
  <c r="O973" i="3"/>
  <c r="G973" i="3"/>
  <c r="R972" i="3"/>
  <c r="Q972" i="3"/>
  <c r="P972" i="3"/>
  <c r="O972" i="3"/>
  <c r="G972" i="3"/>
  <c r="R971" i="3"/>
  <c r="Q971" i="3"/>
  <c r="P971" i="3"/>
  <c r="O971" i="3"/>
  <c r="G971" i="3"/>
  <c r="R970" i="3"/>
  <c r="Q970" i="3"/>
  <c r="P970" i="3"/>
  <c r="O970" i="3"/>
  <c r="G970" i="3"/>
  <c r="R969" i="3"/>
  <c r="Q969" i="3"/>
  <c r="P969" i="3"/>
  <c r="O969" i="3"/>
  <c r="G969" i="3"/>
  <c r="R968" i="3"/>
  <c r="Q968" i="3"/>
  <c r="P968" i="3"/>
  <c r="O968" i="3"/>
  <c r="G968" i="3"/>
  <c r="R967" i="3"/>
  <c r="Q967" i="3"/>
  <c r="P967" i="3"/>
  <c r="O967" i="3"/>
  <c r="G967" i="3"/>
  <c r="R966" i="3"/>
  <c r="Q966" i="3"/>
  <c r="P966" i="3"/>
  <c r="O966" i="3"/>
  <c r="G966" i="3"/>
  <c r="R965" i="3"/>
  <c r="Q965" i="3"/>
  <c r="P965" i="3"/>
  <c r="O965" i="3"/>
  <c r="G965" i="3"/>
  <c r="R964" i="3"/>
  <c r="Q964" i="3"/>
  <c r="P964" i="3"/>
  <c r="O964" i="3"/>
  <c r="G964" i="3"/>
  <c r="R963" i="3"/>
  <c r="Q963" i="3"/>
  <c r="P963" i="3"/>
  <c r="O963" i="3"/>
  <c r="G963" i="3"/>
  <c r="R962" i="3"/>
  <c r="Q962" i="3"/>
  <c r="P962" i="3"/>
  <c r="O962" i="3"/>
  <c r="G962" i="3"/>
  <c r="R961" i="3"/>
  <c r="Q961" i="3"/>
  <c r="P961" i="3"/>
  <c r="O961" i="3"/>
  <c r="G961" i="3"/>
  <c r="R960" i="3"/>
  <c r="Q960" i="3"/>
  <c r="P960" i="3"/>
  <c r="O960" i="3"/>
  <c r="G960" i="3"/>
  <c r="R959" i="3"/>
  <c r="Q959" i="3"/>
  <c r="P959" i="3"/>
  <c r="O959" i="3"/>
  <c r="G959" i="3"/>
  <c r="R958" i="3"/>
  <c r="Q958" i="3"/>
  <c r="P958" i="3"/>
  <c r="O958" i="3"/>
  <c r="G958" i="3"/>
  <c r="R957" i="3"/>
  <c r="Q957" i="3"/>
  <c r="P957" i="3"/>
  <c r="O957" i="3"/>
  <c r="G957" i="3"/>
  <c r="R956" i="3"/>
  <c r="Q956" i="3"/>
  <c r="P956" i="3"/>
  <c r="O956" i="3"/>
  <c r="G956" i="3"/>
  <c r="R955" i="3"/>
  <c r="Q955" i="3"/>
  <c r="P955" i="3"/>
  <c r="O955" i="3"/>
  <c r="G955" i="3"/>
  <c r="R954" i="3"/>
  <c r="Q954" i="3"/>
  <c r="P954" i="3"/>
  <c r="O954" i="3"/>
  <c r="G954" i="3"/>
  <c r="R953" i="3"/>
  <c r="Q953" i="3"/>
  <c r="P953" i="3"/>
  <c r="O953" i="3"/>
  <c r="G953" i="3"/>
  <c r="R952" i="3"/>
  <c r="Q952" i="3"/>
  <c r="P952" i="3"/>
  <c r="O952" i="3"/>
  <c r="G952" i="3"/>
  <c r="R951" i="3"/>
  <c r="Q951" i="3"/>
  <c r="P951" i="3"/>
  <c r="O951" i="3"/>
  <c r="G951" i="3"/>
  <c r="R950" i="3"/>
  <c r="Q950" i="3"/>
  <c r="P950" i="3"/>
  <c r="O950" i="3"/>
  <c r="G950" i="3"/>
  <c r="R949" i="3"/>
  <c r="Q949" i="3"/>
  <c r="P949" i="3"/>
  <c r="O949" i="3"/>
  <c r="G949" i="3"/>
  <c r="R948" i="3"/>
  <c r="Q948" i="3"/>
  <c r="P948" i="3"/>
  <c r="O948" i="3"/>
  <c r="G948" i="3"/>
  <c r="R947" i="3"/>
  <c r="Q947" i="3"/>
  <c r="P947" i="3"/>
  <c r="O947" i="3"/>
  <c r="G947" i="3"/>
  <c r="R946" i="3"/>
  <c r="Q946" i="3"/>
  <c r="P946" i="3"/>
  <c r="O946" i="3"/>
  <c r="G946" i="3"/>
  <c r="R945" i="3"/>
  <c r="Q945" i="3"/>
  <c r="P945" i="3"/>
  <c r="O945" i="3"/>
  <c r="G945" i="3"/>
  <c r="R944" i="3"/>
  <c r="Q944" i="3"/>
  <c r="P944" i="3"/>
  <c r="O944" i="3"/>
  <c r="G944" i="3"/>
  <c r="R943" i="3"/>
  <c r="Q943" i="3"/>
  <c r="P943" i="3"/>
  <c r="O943" i="3"/>
  <c r="G943" i="3"/>
  <c r="R942" i="3"/>
  <c r="Q942" i="3"/>
  <c r="P942" i="3"/>
  <c r="O942" i="3"/>
  <c r="G942" i="3"/>
  <c r="R941" i="3"/>
  <c r="Q941" i="3"/>
  <c r="P941" i="3"/>
  <c r="O941" i="3"/>
  <c r="G941" i="3"/>
  <c r="R940" i="3"/>
  <c r="Q940" i="3"/>
  <c r="P940" i="3"/>
  <c r="O940" i="3"/>
  <c r="G940" i="3"/>
  <c r="R939" i="3"/>
  <c r="Q939" i="3"/>
  <c r="P939" i="3"/>
  <c r="O939" i="3"/>
  <c r="G939" i="3"/>
  <c r="R938" i="3"/>
  <c r="Q938" i="3"/>
  <c r="P938" i="3"/>
  <c r="O938" i="3"/>
  <c r="G938" i="3"/>
  <c r="R937" i="3"/>
  <c r="Q937" i="3"/>
  <c r="P937" i="3"/>
  <c r="O937" i="3"/>
  <c r="G937" i="3"/>
  <c r="R936" i="3"/>
  <c r="Q936" i="3"/>
  <c r="P936" i="3"/>
  <c r="O936" i="3"/>
  <c r="G936" i="3"/>
  <c r="R935" i="3"/>
  <c r="Q935" i="3"/>
  <c r="P935" i="3"/>
  <c r="O935" i="3"/>
  <c r="G935" i="3"/>
  <c r="R934" i="3"/>
  <c r="Q934" i="3"/>
  <c r="P934" i="3"/>
  <c r="O934" i="3"/>
  <c r="G934" i="3"/>
  <c r="R933" i="3"/>
  <c r="Q933" i="3"/>
  <c r="P933" i="3"/>
  <c r="O933" i="3"/>
  <c r="G933" i="3"/>
  <c r="R932" i="3"/>
  <c r="Q932" i="3"/>
  <c r="P932" i="3"/>
  <c r="O932" i="3"/>
  <c r="G932" i="3"/>
  <c r="R931" i="3"/>
  <c r="Q931" i="3"/>
  <c r="P931" i="3"/>
  <c r="O931" i="3"/>
  <c r="G931" i="3"/>
  <c r="R930" i="3"/>
  <c r="Q930" i="3"/>
  <c r="P930" i="3"/>
  <c r="O930" i="3"/>
  <c r="G930" i="3"/>
  <c r="R929" i="3"/>
  <c r="Q929" i="3"/>
  <c r="P929" i="3"/>
  <c r="O929" i="3"/>
  <c r="G929" i="3"/>
  <c r="R928" i="3"/>
  <c r="Q928" i="3"/>
  <c r="P928" i="3"/>
  <c r="O928" i="3"/>
  <c r="G928" i="3"/>
  <c r="R927" i="3"/>
  <c r="Q927" i="3"/>
  <c r="P927" i="3"/>
  <c r="O927" i="3"/>
  <c r="G927" i="3"/>
  <c r="R926" i="3"/>
  <c r="Q926" i="3"/>
  <c r="P926" i="3"/>
  <c r="O926" i="3"/>
  <c r="G926" i="3"/>
  <c r="R925" i="3"/>
  <c r="Q925" i="3"/>
  <c r="P925" i="3"/>
  <c r="O925" i="3"/>
  <c r="G925" i="3"/>
  <c r="R924" i="3"/>
  <c r="Q924" i="3"/>
  <c r="P924" i="3"/>
  <c r="O924" i="3"/>
  <c r="G924" i="3"/>
  <c r="R923" i="3"/>
  <c r="Q923" i="3"/>
  <c r="P923" i="3"/>
  <c r="O923" i="3"/>
  <c r="G923" i="3"/>
  <c r="R922" i="3"/>
  <c r="Q922" i="3"/>
  <c r="P922" i="3"/>
  <c r="O922" i="3"/>
  <c r="G922" i="3"/>
  <c r="R921" i="3"/>
  <c r="Q921" i="3"/>
  <c r="P921" i="3"/>
  <c r="O921" i="3"/>
  <c r="G921" i="3"/>
  <c r="R920" i="3"/>
  <c r="Q920" i="3"/>
  <c r="P920" i="3"/>
  <c r="O920" i="3"/>
  <c r="G920" i="3"/>
  <c r="R919" i="3"/>
  <c r="Q919" i="3"/>
  <c r="P919" i="3"/>
  <c r="O919" i="3"/>
  <c r="G919" i="3"/>
  <c r="R918" i="3"/>
  <c r="Q918" i="3"/>
  <c r="P918" i="3"/>
  <c r="O918" i="3"/>
  <c r="G918" i="3"/>
  <c r="R917" i="3"/>
  <c r="Q917" i="3"/>
  <c r="P917" i="3"/>
  <c r="O917" i="3"/>
  <c r="G917" i="3"/>
  <c r="R916" i="3"/>
  <c r="Q916" i="3"/>
  <c r="P916" i="3"/>
  <c r="O916" i="3"/>
  <c r="G916" i="3"/>
  <c r="R915" i="3"/>
  <c r="Q915" i="3"/>
  <c r="P915" i="3"/>
  <c r="O915" i="3"/>
  <c r="G915" i="3"/>
  <c r="R914" i="3"/>
  <c r="Q914" i="3"/>
  <c r="P914" i="3"/>
  <c r="O914" i="3"/>
  <c r="G914" i="3"/>
  <c r="R913" i="3"/>
  <c r="Q913" i="3"/>
  <c r="P913" i="3"/>
  <c r="O913" i="3"/>
  <c r="G913" i="3"/>
  <c r="R912" i="3"/>
  <c r="Q912" i="3"/>
  <c r="P912" i="3"/>
  <c r="O912" i="3"/>
  <c r="G912" i="3"/>
  <c r="R911" i="3"/>
  <c r="Q911" i="3"/>
  <c r="P911" i="3"/>
  <c r="O911" i="3"/>
  <c r="G911" i="3"/>
  <c r="R910" i="3"/>
  <c r="Q910" i="3"/>
  <c r="P910" i="3"/>
  <c r="O910" i="3"/>
  <c r="G910" i="3"/>
  <c r="R909" i="3"/>
  <c r="Q909" i="3"/>
  <c r="P909" i="3"/>
  <c r="O909" i="3"/>
  <c r="G909" i="3"/>
  <c r="R908" i="3"/>
  <c r="Q908" i="3"/>
  <c r="P908" i="3"/>
  <c r="O908" i="3"/>
  <c r="G908" i="3"/>
  <c r="R907" i="3"/>
  <c r="Q907" i="3"/>
  <c r="P907" i="3"/>
  <c r="O907" i="3"/>
  <c r="G907" i="3"/>
  <c r="R906" i="3"/>
  <c r="Q906" i="3"/>
  <c r="P906" i="3"/>
  <c r="O906" i="3"/>
  <c r="G906" i="3"/>
  <c r="R905" i="3"/>
  <c r="Q905" i="3"/>
  <c r="P905" i="3"/>
  <c r="O905" i="3"/>
  <c r="G905" i="3"/>
  <c r="R904" i="3"/>
  <c r="Q904" i="3"/>
  <c r="P904" i="3"/>
  <c r="O904" i="3"/>
  <c r="G904" i="3"/>
  <c r="R903" i="3"/>
  <c r="Q903" i="3"/>
  <c r="P903" i="3"/>
  <c r="O903" i="3"/>
  <c r="G903" i="3"/>
  <c r="R902" i="3"/>
  <c r="Q902" i="3"/>
  <c r="P902" i="3"/>
  <c r="O902" i="3"/>
  <c r="G902" i="3"/>
  <c r="R901" i="3"/>
  <c r="Q901" i="3"/>
  <c r="P901" i="3"/>
  <c r="O901" i="3"/>
  <c r="G901" i="3"/>
  <c r="R900" i="3"/>
  <c r="Q900" i="3"/>
  <c r="P900" i="3"/>
  <c r="O900" i="3"/>
  <c r="G900" i="3"/>
  <c r="R899" i="3"/>
  <c r="Q899" i="3"/>
  <c r="P899" i="3"/>
  <c r="O899" i="3"/>
  <c r="G899" i="3"/>
  <c r="R898" i="3"/>
  <c r="Q898" i="3"/>
  <c r="P898" i="3"/>
  <c r="O898" i="3"/>
  <c r="G898" i="3"/>
  <c r="R897" i="3"/>
  <c r="Q897" i="3"/>
  <c r="P897" i="3"/>
  <c r="O897" i="3"/>
  <c r="G897" i="3"/>
  <c r="R896" i="3"/>
  <c r="Q896" i="3"/>
  <c r="P896" i="3"/>
  <c r="O896" i="3"/>
  <c r="G896" i="3"/>
  <c r="R895" i="3"/>
  <c r="Q895" i="3"/>
  <c r="P895" i="3"/>
  <c r="O895" i="3"/>
  <c r="G895" i="3"/>
  <c r="R894" i="3"/>
  <c r="Q894" i="3"/>
  <c r="P894" i="3"/>
  <c r="O894" i="3"/>
  <c r="G894" i="3"/>
  <c r="R893" i="3"/>
  <c r="Q893" i="3"/>
  <c r="P893" i="3"/>
  <c r="O893" i="3"/>
  <c r="G893" i="3"/>
  <c r="R892" i="3"/>
  <c r="Q892" i="3"/>
  <c r="P892" i="3"/>
  <c r="O892" i="3"/>
  <c r="G892" i="3"/>
  <c r="R891" i="3"/>
  <c r="Q891" i="3"/>
  <c r="P891" i="3"/>
  <c r="O891" i="3"/>
  <c r="G891" i="3"/>
  <c r="R890" i="3"/>
  <c r="Q890" i="3"/>
  <c r="P890" i="3"/>
  <c r="O890" i="3"/>
  <c r="G890" i="3"/>
  <c r="R889" i="3"/>
  <c r="Q889" i="3"/>
  <c r="P889" i="3"/>
  <c r="O889" i="3"/>
  <c r="G889" i="3"/>
  <c r="R888" i="3"/>
  <c r="Q888" i="3"/>
  <c r="P888" i="3"/>
  <c r="O888" i="3"/>
  <c r="G888" i="3"/>
  <c r="R887" i="3"/>
  <c r="Q887" i="3"/>
  <c r="P887" i="3"/>
  <c r="O887" i="3"/>
  <c r="G887" i="3"/>
  <c r="R886" i="3"/>
  <c r="Q886" i="3"/>
  <c r="P886" i="3"/>
  <c r="O886" i="3"/>
  <c r="G886" i="3"/>
  <c r="R885" i="3"/>
  <c r="Q885" i="3"/>
  <c r="P885" i="3"/>
  <c r="O885" i="3"/>
  <c r="G885" i="3"/>
  <c r="R884" i="3"/>
  <c r="Q884" i="3"/>
  <c r="P884" i="3"/>
  <c r="O884" i="3"/>
  <c r="G884" i="3"/>
  <c r="R883" i="3"/>
  <c r="Q883" i="3"/>
  <c r="P883" i="3"/>
  <c r="O883" i="3"/>
  <c r="G883" i="3"/>
  <c r="R882" i="3"/>
  <c r="Q882" i="3"/>
  <c r="P882" i="3"/>
  <c r="O882" i="3"/>
  <c r="G882" i="3"/>
  <c r="R881" i="3"/>
  <c r="Q881" i="3"/>
  <c r="P881" i="3"/>
  <c r="O881" i="3"/>
  <c r="G881" i="3"/>
  <c r="R880" i="3"/>
  <c r="Q880" i="3"/>
  <c r="P880" i="3"/>
  <c r="O880" i="3"/>
  <c r="G880" i="3"/>
  <c r="R879" i="3"/>
  <c r="Q879" i="3"/>
  <c r="P879" i="3"/>
  <c r="O879" i="3"/>
  <c r="G879" i="3"/>
  <c r="R878" i="3"/>
  <c r="Q878" i="3"/>
  <c r="P878" i="3"/>
  <c r="O878" i="3"/>
  <c r="G878" i="3"/>
  <c r="R877" i="3"/>
  <c r="Q877" i="3"/>
  <c r="P877" i="3"/>
  <c r="O877" i="3"/>
  <c r="G877" i="3"/>
  <c r="R876" i="3"/>
  <c r="Q876" i="3"/>
  <c r="P876" i="3"/>
  <c r="O876" i="3"/>
  <c r="G876" i="3"/>
  <c r="R875" i="3"/>
  <c r="Q875" i="3"/>
  <c r="P875" i="3"/>
  <c r="O875" i="3"/>
  <c r="G875" i="3"/>
  <c r="R874" i="3"/>
  <c r="Q874" i="3"/>
  <c r="P874" i="3"/>
  <c r="O874" i="3"/>
  <c r="G874" i="3"/>
  <c r="R873" i="3"/>
  <c r="Q873" i="3"/>
  <c r="P873" i="3"/>
  <c r="O873" i="3"/>
  <c r="G873" i="3"/>
  <c r="R872" i="3"/>
  <c r="Q872" i="3"/>
  <c r="P872" i="3"/>
  <c r="O872" i="3"/>
  <c r="G872" i="3"/>
  <c r="R871" i="3"/>
  <c r="Q871" i="3"/>
  <c r="P871" i="3"/>
  <c r="O871" i="3"/>
  <c r="G871" i="3"/>
  <c r="R870" i="3"/>
  <c r="Q870" i="3"/>
  <c r="P870" i="3"/>
  <c r="O870" i="3"/>
  <c r="G870" i="3"/>
  <c r="R869" i="3"/>
  <c r="Q869" i="3"/>
  <c r="P869" i="3"/>
  <c r="O869" i="3"/>
  <c r="G869" i="3"/>
  <c r="R868" i="3"/>
  <c r="Q868" i="3"/>
  <c r="P868" i="3"/>
  <c r="O868" i="3"/>
  <c r="G868" i="3"/>
  <c r="R867" i="3"/>
  <c r="Q867" i="3"/>
  <c r="P867" i="3"/>
  <c r="O867" i="3"/>
  <c r="G867" i="3"/>
  <c r="R866" i="3"/>
  <c r="Q866" i="3"/>
  <c r="P866" i="3"/>
  <c r="O866" i="3"/>
  <c r="G866" i="3"/>
  <c r="R865" i="3"/>
  <c r="Q865" i="3"/>
  <c r="P865" i="3"/>
  <c r="O865" i="3"/>
  <c r="G865" i="3"/>
  <c r="R864" i="3"/>
  <c r="Q864" i="3"/>
  <c r="P864" i="3"/>
  <c r="O864" i="3"/>
  <c r="G864" i="3"/>
  <c r="R863" i="3"/>
  <c r="Q863" i="3"/>
  <c r="P863" i="3"/>
  <c r="O863" i="3"/>
  <c r="G863" i="3"/>
  <c r="R862" i="3"/>
  <c r="Q862" i="3"/>
  <c r="P862" i="3"/>
  <c r="O862" i="3"/>
  <c r="G862" i="3"/>
  <c r="R861" i="3"/>
  <c r="Q861" i="3"/>
  <c r="P861" i="3"/>
  <c r="O861" i="3"/>
  <c r="G861" i="3"/>
  <c r="R860" i="3"/>
  <c r="Q860" i="3"/>
  <c r="P860" i="3"/>
  <c r="O860" i="3"/>
  <c r="G860" i="3"/>
  <c r="R859" i="3"/>
  <c r="Q859" i="3"/>
  <c r="P859" i="3"/>
  <c r="O859" i="3"/>
  <c r="G859" i="3"/>
  <c r="R858" i="3"/>
  <c r="Q858" i="3"/>
  <c r="P858" i="3"/>
  <c r="O858" i="3"/>
  <c r="G858" i="3"/>
  <c r="R857" i="3"/>
  <c r="Q857" i="3"/>
  <c r="P857" i="3"/>
  <c r="O857" i="3"/>
  <c r="G857" i="3"/>
  <c r="R856" i="3"/>
  <c r="Q856" i="3"/>
  <c r="P856" i="3"/>
  <c r="O856" i="3"/>
  <c r="G856" i="3"/>
  <c r="R855" i="3"/>
  <c r="Q855" i="3"/>
  <c r="P855" i="3"/>
  <c r="O855" i="3"/>
  <c r="G855" i="3"/>
  <c r="R854" i="3"/>
  <c r="Q854" i="3"/>
  <c r="P854" i="3"/>
  <c r="O854" i="3"/>
  <c r="G854" i="3"/>
  <c r="R853" i="3"/>
  <c r="Q853" i="3"/>
  <c r="P853" i="3"/>
  <c r="O853" i="3"/>
  <c r="G853" i="3"/>
  <c r="R852" i="3"/>
  <c r="Q852" i="3"/>
  <c r="P852" i="3"/>
  <c r="O852" i="3"/>
  <c r="G852" i="3"/>
  <c r="R851" i="3"/>
  <c r="Q851" i="3"/>
  <c r="P851" i="3"/>
  <c r="O851" i="3"/>
  <c r="G851" i="3"/>
  <c r="R850" i="3"/>
  <c r="Q850" i="3"/>
  <c r="P850" i="3"/>
  <c r="O850" i="3"/>
  <c r="G850" i="3"/>
  <c r="R849" i="3"/>
  <c r="Q849" i="3"/>
  <c r="P849" i="3"/>
  <c r="O849" i="3"/>
  <c r="G849" i="3"/>
  <c r="R848" i="3"/>
  <c r="Q848" i="3"/>
  <c r="P848" i="3"/>
  <c r="O848" i="3"/>
  <c r="G848" i="3"/>
  <c r="R847" i="3"/>
  <c r="Q847" i="3"/>
  <c r="P847" i="3"/>
  <c r="O847" i="3"/>
  <c r="G847" i="3"/>
  <c r="R846" i="3"/>
  <c r="Q846" i="3"/>
  <c r="P846" i="3"/>
  <c r="O846" i="3"/>
  <c r="G846" i="3"/>
  <c r="R845" i="3"/>
  <c r="Q845" i="3"/>
  <c r="P845" i="3"/>
  <c r="O845" i="3"/>
  <c r="G845" i="3"/>
  <c r="R844" i="3"/>
  <c r="Q844" i="3"/>
  <c r="P844" i="3"/>
  <c r="O844" i="3"/>
  <c r="G844" i="3"/>
  <c r="R843" i="3"/>
  <c r="Q843" i="3"/>
  <c r="P843" i="3"/>
  <c r="O843" i="3"/>
  <c r="G843" i="3"/>
  <c r="R842" i="3"/>
  <c r="Q842" i="3"/>
  <c r="P842" i="3"/>
  <c r="O842" i="3"/>
  <c r="G842" i="3"/>
  <c r="R841" i="3"/>
  <c r="Q841" i="3"/>
  <c r="P841" i="3"/>
  <c r="O841" i="3"/>
  <c r="G841" i="3"/>
  <c r="R840" i="3"/>
  <c r="Q840" i="3"/>
  <c r="P840" i="3"/>
  <c r="O840" i="3"/>
  <c r="G840" i="3"/>
  <c r="R839" i="3"/>
  <c r="Q839" i="3"/>
  <c r="P839" i="3"/>
  <c r="O839" i="3"/>
  <c r="G839" i="3"/>
  <c r="R838" i="3"/>
  <c r="Q838" i="3"/>
  <c r="P838" i="3"/>
  <c r="O838" i="3"/>
  <c r="G838" i="3"/>
  <c r="R837" i="3"/>
  <c r="Q837" i="3"/>
  <c r="P837" i="3"/>
  <c r="O837" i="3"/>
  <c r="G837" i="3"/>
  <c r="R836" i="3"/>
  <c r="Q836" i="3"/>
  <c r="P836" i="3"/>
  <c r="O836" i="3"/>
  <c r="G836" i="3"/>
  <c r="R835" i="3"/>
  <c r="Q835" i="3"/>
  <c r="P835" i="3"/>
  <c r="O835" i="3"/>
  <c r="G835" i="3"/>
  <c r="R834" i="3"/>
  <c r="Q834" i="3"/>
  <c r="P834" i="3"/>
  <c r="O834" i="3"/>
  <c r="G834" i="3"/>
  <c r="R833" i="3"/>
  <c r="Q833" i="3"/>
  <c r="P833" i="3"/>
  <c r="O833" i="3"/>
  <c r="G833" i="3"/>
  <c r="R832" i="3"/>
  <c r="Q832" i="3"/>
  <c r="P832" i="3"/>
  <c r="O832" i="3"/>
  <c r="G832" i="3"/>
  <c r="R831" i="3"/>
  <c r="Q831" i="3"/>
  <c r="P831" i="3"/>
  <c r="O831" i="3"/>
  <c r="G831" i="3"/>
  <c r="R830" i="3"/>
  <c r="Q830" i="3"/>
  <c r="P830" i="3"/>
  <c r="O830" i="3"/>
  <c r="G830" i="3"/>
  <c r="R829" i="3"/>
  <c r="Q829" i="3"/>
  <c r="P829" i="3"/>
  <c r="O829" i="3"/>
  <c r="G829" i="3"/>
  <c r="R828" i="3"/>
  <c r="Q828" i="3"/>
  <c r="P828" i="3"/>
  <c r="O828" i="3"/>
  <c r="G828" i="3"/>
  <c r="R827" i="3"/>
  <c r="Q827" i="3"/>
  <c r="P827" i="3"/>
  <c r="O827" i="3"/>
  <c r="G827" i="3"/>
  <c r="R826" i="3"/>
  <c r="Q826" i="3"/>
  <c r="P826" i="3"/>
  <c r="O826" i="3"/>
  <c r="G826" i="3"/>
  <c r="R825" i="3"/>
  <c r="Q825" i="3"/>
  <c r="P825" i="3"/>
  <c r="O825" i="3"/>
  <c r="G825" i="3"/>
  <c r="R824" i="3"/>
  <c r="Q824" i="3"/>
  <c r="P824" i="3"/>
  <c r="O824" i="3"/>
  <c r="G824" i="3"/>
  <c r="R823" i="3"/>
  <c r="Q823" i="3"/>
  <c r="P823" i="3"/>
  <c r="O823" i="3"/>
  <c r="G823" i="3"/>
  <c r="R822" i="3"/>
  <c r="Q822" i="3"/>
  <c r="P822" i="3"/>
  <c r="O822" i="3"/>
  <c r="G822" i="3"/>
  <c r="R821" i="3"/>
  <c r="Q821" i="3"/>
  <c r="P821" i="3"/>
  <c r="O821" i="3"/>
  <c r="G821" i="3"/>
  <c r="R820" i="3"/>
  <c r="Q820" i="3"/>
  <c r="P820" i="3"/>
  <c r="O820" i="3"/>
  <c r="G820" i="3"/>
  <c r="R819" i="3"/>
  <c r="Q819" i="3"/>
  <c r="P819" i="3"/>
  <c r="O819" i="3"/>
  <c r="G819" i="3"/>
  <c r="R818" i="3"/>
  <c r="Q818" i="3"/>
  <c r="P818" i="3"/>
  <c r="O818" i="3"/>
  <c r="G818" i="3"/>
  <c r="R817" i="3"/>
  <c r="Q817" i="3"/>
  <c r="P817" i="3"/>
  <c r="O817" i="3"/>
  <c r="G817" i="3"/>
  <c r="R816" i="3"/>
  <c r="Q816" i="3"/>
  <c r="P816" i="3"/>
  <c r="O816" i="3"/>
  <c r="G816" i="3"/>
  <c r="R815" i="3"/>
  <c r="Q815" i="3"/>
  <c r="P815" i="3"/>
  <c r="O815" i="3"/>
  <c r="G815" i="3"/>
  <c r="R814" i="3"/>
  <c r="Q814" i="3"/>
  <c r="P814" i="3"/>
  <c r="O814" i="3"/>
  <c r="G814" i="3"/>
  <c r="R813" i="3"/>
  <c r="Q813" i="3"/>
  <c r="P813" i="3"/>
  <c r="O813" i="3"/>
  <c r="G813" i="3"/>
  <c r="R812" i="3"/>
  <c r="Q812" i="3"/>
  <c r="P812" i="3"/>
  <c r="O812" i="3"/>
  <c r="G812" i="3"/>
  <c r="R811" i="3"/>
  <c r="Q811" i="3"/>
  <c r="P811" i="3"/>
  <c r="O811" i="3"/>
  <c r="G811" i="3"/>
  <c r="R810" i="3"/>
  <c r="Q810" i="3"/>
  <c r="P810" i="3"/>
  <c r="O810" i="3"/>
  <c r="G810" i="3"/>
  <c r="R809" i="3"/>
  <c r="Q809" i="3"/>
  <c r="P809" i="3"/>
  <c r="O809" i="3"/>
  <c r="G809" i="3"/>
  <c r="R808" i="3"/>
  <c r="Q808" i="3"/>
  <c r="P808" i="3"/>
  <c r="O808" i="3"/>
  <c r="G808" i="3"/>
  <c r="R807" i="3"/>
  <c r="Q807" i="3"/>
  <c r="P807" i="3"/>
  <c r="O807" i="3"/>
  <c r="G807" i="3"/>
  <c r="R806" i="3"/>
  <c r="Q806" i="3"/>
  <c r="P806" i="3"/>
  <c r="O806" i="3"/>
  <c r="G806" i="3"/>
  <c r="R805" i="3"/>
  <c r="Q805" i="3"/>
  <c r="P805" i="3"/>
  <c r="O805" i="3"/>
  <c r="G805" i="3"/>
  <c r="R804" i="3"/>
  <c r="Q804" i="3"/>
  <c r="P804" i="3"/>
  <c r="O804" i="3"/>
  <c r="G804" i="3"/>
  <c r="R803" i="3"/>
  <c r="Q803" i="3"/>
  <c r="P803" i="3"/>
  <c r="O803" i="3"/>
  <c r="G803" i="3"/>
  <c r="R802" i="3"/>
  <c r="Q802" i="3"/>
  <c r="P802" i="3"/>
  <c r="O802" i="3"/>
  <c r="G802" i="3"/>
  <c r="R801" i="3"/>
  <c r="Q801" i="3"/>
  <c r="P801" i="3"/>
  <c r="O801" i="3"/>
  <c r="G801" i="3"/>
  <c r="R800" i="3"/>
  <c r="Q800" i="3"/>
  <c r="P800" i="3"/>
  <c r="O800" i="3"/>
  <c r="G800" i="3"/>
  <c r="R799" i="3"/>
  <c r="Q799" i="3"/>
  <c r="P799" i="3"/>
  <c r="O799" i="3"/>
  <c r="G799" i="3"/>
  <c r="R798" i="3"/>
  <c r="Q798" i="3"/>
  <c r="P798" i="3"/>
  <c r="O798" i="3"/>
  <c r="G798" i="3"/>
  <c r="R797" i="3"/>
  <c r="Q797" i="3"/>
  <c r="P797" i="3"/>
  <c r="O797" i="3"/>
  <c r="G797" i="3"/>
  <c r="R796" i="3"/>
  <c r="Q796" i="3"/>
  <c r="P796" i="3"/>
  <c r="O796" i="3"/>
  <c r="G796" i="3"/>
  <c r="R795" i="3"/>
  <c r="Q795" i="3"/>
  <c r="P795" i="3"/>
  <c r="O795" i="3"/>
  <c r="G795" i="3"/>
  <c r="R794" i="3"/>
  <c r="Q794" i="3"/>
  <c r="P794" i="3"/>
  <c r="O794" i="3"/>
  <c r="G794" i="3"/>
  <c r="R793" i="3"/>
  <c r="Q793" i="3"/>
  <c r="P793" i="3"/>
  <c r="O793" i="3"/>
  <c r="G793" i="3"/>
  <c r="R792" i="3"/>
  <c r="Q792" i="3"/>
  <c r="P792" i="3"/>
  <c r="O792" i="3"/>
  <c r="G792" i="3"/>
  <c r="R791" i="3"/>
  <c r="Q791" i="3"/>
  <c r="P791" i="3"/>
  <c r="O791" i="3"/>
  <c r="G791" i="3"/>
  <c r="R790" i="3"/>
  <c r="Q790" i="3"/>
  <c r="P790" i="3"/>
  <c r="O790" i="3"/>
  <c r="G790" i="3"/>
  <c r="R789" i="3"/>
  <c r="Q789" i="3"/>
  <c r="P789" i="3"/>
  <c r="O789" i="3"/>
  <c r="G789" i="3"/>
  <c r="R788" i="3"/>
  <c r="Q788" i="3"/>
  <c r="P788" i="3"/>
  <c r="O788" i="3"/>
  <c r="G788" i="3"/>
  <c r="R787" i="3"/>
  <c r="Q787" i="3"/>
  <c r="P787" i="3"/>
  <c r="O787" i="3"/>
  <c r="G787" i="3"/>
  <c r="R786" i="3"/>
  <c r="Q786" i="3"/>
  <c r="P786" i="3"/>
  <c r="O786" i="3"/>
  <c r="G786" i="3"/>
  <c r="R785" i="3"/>
  <c r="Q785" i="3"/>
  <c r="P785" i="3"/>
  <c r="O785" i="3"/>
  <c r="G785" i="3"/>
  <c r="R784" i="3"/>
  <c r="Q784" i="3"/>
  <c r="P784" i="3"/>
  <c r="O784" i="3"/>
  <c r="G784" i="3"/>
  <c r="R783" i="3"/>
  <c r="Q783" i="3"/>
  <c r="P783" i="3"/>
  <c r="O783" i="3"/>
  <c r="G783" i="3"/>
  <c r="R782" i="3"/>
  <c r="Q782" i="3"/>
  <c r="P782" i="3"/>
  <c r="O782" i="3"/>
  <c r="G782" i="3"/>
  <c r="R781" i="3"/>
  <c r="Q781" i="3"/>
  <c r="P781" i="3"/>
  <c r="O781" i="3"/>
  <c r="G781" i="3"/>
  <c r="R780" i="3"/>
  <c r="Q780" i="3"/>
  <c r="P780" i="3"/>
  <c r="O780" i="3"/>
  <c r="G780" i="3"/>
  <c r="R779" i="3"/>
  <c r="Q779" i="3"/>
  <c r="P779" i="3"/>
  <c r="O779" i="3"/>
  <c r="G779" i="3"/>
  <c r="R778" i="3"/>
  <c r="Q778" i="3"/>
  <c r="P778" i="3"/>
  <c r="O778" i="3"/>
  <c r="G778" i="3"/>
  <c r="R777" i="3"/>
  <c r="Q777" i="3"/>
  <c r="P777" i="3"/>
  <c r="O777" i="3"/>
  <c r="G777" i="3"/>
  <c r="R776" i="3"/>
  <c r="Q776" i="3"/>
  <c r="P776" i="3"/>
  <c r="O776" i="3"/>
  <c r="G776" i="3"/>
  <c r="R775" i="3"/>
  <c r="Q775" i="3"/>
  <c r="P775" i="3"/>
  <c r="O775" i="3"/>
  <c r="G775" i="3"/>
  <c r="R774" i="3"/>
  <c r="Q774" i="3"/>
  <c r="P774" i="3"/>
  <c r="O774" i="3"/>
  <c r="G774" i="3"/>
  <c r="R773" i="3"/>
  <c r="Q773" i="3"/>
  <c r="P773" i="3"/>
  <c r="O773" i="3"/>
  <c r="G773" i="3"/>
  <c r="R772" i="3"/>
  <c r="Q772" i="3"/>
  <c r="P772" i="3"/>
  <c r="O772" i="3"/>
  <c r="G772" i="3"/>
  <c r="R771" i="3"/>
  <c r="Q771" i="3"/>
  <c r="P771" i="3"/>
  <c r="O771" i="3"/>
  <c r="G771" i="3"/>
  <c r="R770" i="3"/>
  <c r="Q770" i="3"/>
  <c r="P770" i="3"/>
  <c r="O770" i="3"/>
  <c r="G770" i="3"/>
  <c r="R769" i="3"/>
  <c r="Q769" i="3"/>
  <c r="P769" i="3"/>
  <c r="O769" i="3"/>
  <c r="G769" i="3"/>
  <c r="R768" i="3"/>
  <c r="Q768" i="3"/>
  <c r="P768" i="3"/>
  <c r="O768" i="3"/>
  <c r="G768" i="3"/>
  <c r="R767" i="3"/>
  <c r="Q767" i="3"/>
  <c r="P767" i="3"/>
  <c r="O767" i="3"/>
  <c r="G767" i="3"/>
  <c r="R766" i="3"/>
  <c r="Q766" i="3"/>
  <c r="P766" i="3"/>
  <c r="O766" i="3"/>
  <c r="G766" i="3"/>
  <c r="R765" i="3"/>
  <c r="Q765" i="3"/>
  <c r="P765" i="3"/>
  <c r="O765" i="3"/>
  <c r="G765" i="3"/>
  <c r="R764" i="3"/>
  <c r="Q764" i="3"/>
  <c r="P764" i="3"/>
  <c r="O764" i="3"/>
  <c r="G764" i="3"/>
  <c r="R763" i="3"/>
  <c r="Q763" i="3"/>
  <c r="P763" i="3"/>
  <c r="O763" i="3"/>
  <c r="G763" i="3"/>
  <c r="R762" i="3"/>
  <c r="Q762" i="3"/>
  <c r="P762" i="3"/>
  <c r="O762" i="3"/>
  <c r="G762" i="3"/>
  <c r="R761" i="3"/>
  <c r="Q761" i="3"/>
  <c r="P761" i="3"/>
  <c r="O761" i="3"/>
  <c r="G761" i="3"/>
  <c r="R760" i="3"/>
  <c r="Q760" i="3"/>
  <c r="P760" i="3"/>
  <c r="O760" i="3"/>
  <c r="G760" i="3"/>
  <c r="R759" i="3"/>
  <c r="Q759" i="3"/>
  <c r="P759" i="3"/>
  <c r="O759" i="3"/>
  <c r="G759" i="3"/>
  <c r="R758" i="3"/>
  <c r="Q758" i="3"/>
  <c r="P758" i="3"/>
  <c r="O758" i="3"/>
  <c r="G758" i="3"/>
  <c r="R757" i="3"/>
  <c r="Q757" i="3"/>
  <c r="P757" i="3"/>
  <c r="O757" i="3"/>
  <c r="G757" i="3"/>
  <c r="R756" i="3"/>
  <c r="Q756" i="3"/>
  <c r="P756" i="3"/>
  <c r="O756" i="3"/>
  <c r="G756" i="3"/>
  <c r="R755" i="3"/>
  <c r="Q755" i="3"/>
  <c r="P755" i="3"/>
  <c r="O755" i="3"/>
  <c r="G755" i="3"/>
  <c r="R754" i="3"/>
  <c r="Q754" i="3"/>
  <c r="P754" i="3"/>
  <c r="O754" i="3"/>
  <c r="G754" i="3"/>
  <c r="R753" i="3"/>
  <c r="Q753" i="3"/>
  <c r="P753" i="3"/>
  <c r="O753" i="3"/>
  <c r="G753" i="3"/>
  <c r="R752" i="3"/>
  <c r="Q752" i="3"/>
  <c r="P752" i="3"/>
  <c r="O752" i="3"/>
  <c r="G752" i="3"/>
  <c r="R751" i="3"/>
  <c r="Q751" i="3"/>
  <c r="P751" i="3"/>
  <c r="O751" i="3"/>
  <c r="G751" i="3"/>
  <c r="R750" i="3"/>
  <c r="Q750" i="3"/>
  <c r="P750" i="3"/>
  <c r="O750" i="3"/>
  <c r="G750" i="3"/>
  <c r="R749" i="3"/>
  <c r="Q749" i="3"/>
  <c r="P749" i="3"/>
  <c r="O749" i="3"/>
  <c r="G749" i="3"/>
  <c r="R748" i="3"/>
  <c r="Q748" i="3"/>
  <c r="P748" i="3"/>
  <c r="O748" i="3"/>
  <c r="G748" i="3"/>
  <c r="R747" i="3"/>
  <c r="Q747" i="3"/>
  <c r="P747" i="3"/>
  <c r="O747" i="3"/>
  <c r="G747" i="3"/>
  <c r="R746" i="3"/>
  <c r="Q746" i="3"/>
  <c r="P746" i="3"/>
  <c r="O746" i="3"/>
  <c r="G746" i="3"/>
  <c r="R745" i="3"/>
  <c r="Q745" i="3"/>
  <c r="P745" i="3"/>
  <c r="O745" i="3"/>
  <c r="G745" i="3"/>
  <c r="R744" i="3"/>
  <c r="Q744" i="3"/>
  <c r="P744" i="3"/>
  <c r="O744" i="3"/>
  <c r="G744" i="3"/>
  <c r="R743" i="3"/>
  <c r="Q743" i="3"/>
  <c r="P743" i="3"/>
  <c r="O743" i="3"/>
  <c r="G743" i="3"/>
  <c r="R742" i="3"/>
  <c r="Q742" i="3"/>
  <c r="P742" i="3"/>
  <c r="O742" i="3"/>
  <c r="G742" i="3"/>
  <c r="R741" i="3"/>
  <c r="Q741" i="3"/>
  <c r="P741" i="3"/>
  <c r="O741" i="3"/>
  <c r="G741" i="3"/>
  <c r="R740" i="3"/>
  <c r="Q740" i="3"/>
  <c r="P740" i="3"/>
  <c r="O740" i="3"/>
  <c r="G740" i="3"/>
  <c r="R739" i="3"/>
  <c r="Q739" i="3"/>
  <c r="P739" i="3"/>
  <c r="O739" i="3"/>
  <c r="G739" i="3"/>
  <c r="R738" i="3"/>
  <c r="Q738" i="3"/>
  <c r="P738" i="3"/>
  <c r="O738" i="3"/>
  <c r="G738" i="3"/>
  <c r="R737" i="3"/>
  <c r="Q737" i="3"/>
  <c r="P737" i="3"/>
  <c r="O737" i="3"/>
  <c r="G737" i="3"/>
  <c r="R736" i="3"/>
  <c r="Q736" i="3"/>
  <c r="P736" i="3"/>
  <c r="O736" i="3"/>
  <c r="G736" i="3"/>
  <c r="R735" i="3"/>
  <c r="Q735" i="3"/>
  <c r="P735" i="3"/>
  <c r="O735" i="3"/>
  <c r="G735" i="3"/>
  <c r="R734" i="3"/>
  <c r="Q734" i="3"/>
  <c r="P734" i="3"/>
  <c r="O734" i="3"/>
  <c r="G734" i="3"/>
  <c r="R733" i="3"/>
  <c r="Q733" i="3"/>
  <c r="P733" i="3"/>
  <c r="O733" i="3"/>
  <c r="G733" i="3"/>
  <c r="R732" i="3"/>
  <c r="Q732" i="3"/>
  <c r="P732" i="3"/>
  <c r="O732" i="3"/>
  <c r="G732" i="3"/>
  <c r="R731" i="3"/>
  <c r="Q731" i="3"/>
  <c r="P731" i="3"/>
  <c r="O731" i="3"/>
  <c r="G731" i="3"/>
  <c r="R730" i="3"/>
  <c r="Q730" i="3"/>
  <c r="P730" i="3"/>
  <c r="O730" i="3"/>
  <c r="G730" i="3"/>
  <c r="R729" i="3"/>
  <c r="Q729" i="3"/>
  <c r="P729" i="3"/>
  <c r="O729" i="3"/>
  <c r="G729" i="3"/>
  <c r="R728" i="3"/>
  <c r="Q728" i="3"/>
  <c r="P728" i="3"/>
  <c r="O728" i="3"/>
  <c r="G728" i="3"/>
  <c r="R727" i="3"/>
  <c r="Q727" i="3"/>
  <c r="P727" i="3"/>
  <c r="O727" i="3"/>
  <c r="G727" i="3"/>
  <c r="R726" i="3"/>
  <c r="Q726" i="3"/>
  <c r="P726" i="3"/>
  <c r="O726" i="3"/>
  <c r="G726" i="3"/>
  <c r="R725" i="3"/>
  <c r="Q725" i="3"/>
  <c r="P725" i="3"/>
  <c r="O725" i="3"/>
  <c r="G725" i="3"/>
  <c r="R724" i="3"/>
  <c r="Q724" i="3"/>
  <c r="P724" i="3"/>
  <c r="O724" i="3"/>
  <c r="G724" i="3"/>
  <c r="R723" i="3"/>
  <c r="Q723" i="3"/>
  <c r="P723" i="3"/>
  <c r="O723" i="3"/>
  <c r="G723" i="3"/>
  <c r="R722" i="3"/>
  <c r="Q722" i="3"/>
  <c r="P722" i="3"/>
  <c r="O722" i="3"/>
  <c r="G722" i="3"/>
  <c r="R721" i="3"/>
  <c r="Q721" i="3"/>
  <c r="P721" i="3"/>
  <c r="O721" i="3"/>
  <c r="G721" i="3"/>
  <c r="R720" i="3"/>
  <c r="Q720" i="3"/>
  <c r="P720" i="3"/>
  <c r="O720" i="3"/>
  <c r="G720" i="3"/>
  <c r="R719" i="3"/>
  <c r="Q719" i="3"/>
  <c r="P719" i="3"/>
  <c r="O719" i="3"/>
  <c r="G719" i="3"/>
  <c r="R718" i="3"/>
  <c r="Q718" i="3"/>
  <c r="P718" i="3"/>
  <c r="O718" i="3"/>
  <c r="G718" i="3"/>
  <c r="R717" i="3"/>
  <c r="Q717" i="3"/>
  <c r="P717" i="3"/>
  <c r="O717" i="3"/>
  <c r="G717" i="3"/>
  <c r="R716" i="3"/>
  <c r="Q716" i="3"/>
  <c r="P716" i="3"/>
  <c r="O716" i="3"/>
  <c r="G716" i="3"/>
  <c r="R715" i="3"/>
  <c r="Q715" i="3"/>
  <c r="P715" i="3"/>
  <c r="O715" i="3"/>
  <c r="G715" i="3"/>
  <c r="R714" i="3"/>
  <c r="Q714" i="3"/>
  <c r="P714" i="3"/>
  <c r="O714" i="3"/>
  <c r="G714" i="3"/>
  <c r="R713" i="3"/>
  <c r="Q713" i="3"/>
  <c r="P713" i="3"/>
  <c r="O713" i="3"/>
  <c r="G713" i="3"/>
  <c r="R712" i="3"/>
  <c r="Q712" i="3"/>
  <c r="P712" i="3"/>
  <c r="O712" i="3"/>
  <c r="G712" i="3"/>
  <c r="R711" i="3"/>
  <c r="Q711" i="3"/>
  <c r="P711" i="3"/>
  <c r="O711" i="3"/>
  <c r="G711" i="3"/>
  <c r="R710" i="3"/>
  <c r="Q710" i="3"/>
  <c r="P710" i="3"/>
  <c r="O710" i="3"/>
  <c r="G710" i="3"/>
  <c r="R709" i="3"/>
  <c r="Q709" i="3"/>
  <c r="P709" i="3"/>
  <c r="O709" i="3"/>
  <c r="G709" i="3"/>
  <c r="R708" i="3"/>
  <c r="Q708" i="3"/>
  <c r="P708" i="3"/>
  <c r="O708" i="3"/>
  <c r="G708" i="3"/>
  <c r="R707" i="3"/>
  <c r="Q707" i="3"/>
  <c r="P707" i="3"/>
  <c r="O707" i="3"/>
  <c r="G707" i="3"/>
  <c r="R706" i="3"/>
  <c r="Q706" i="3"/>
  <c r="P706" i="3"/>
  <c r="O706" i="3"/>
  <c r="G706" i="3"/>
  <c r="R705" i="3"/>
  <c r="Q705" i="3"/>
  <c r="P705" i="3"/>
  <c r="O705" i="3"/>
  <c r="G705" i="3"/>
  <c r="R704" i="3"/>
  <c r="Q704" i="3"/>
  <c r="P704" i="3"/>
  <c r="O704" i="3"/>
  <c r="G704" i="3"/>
  <c r="R703" i="3"/>
  <c r="Q703" i="3"/>
  <c r="P703" i="3"/>
  <c r="O703" i="3"/>
  <c r="G703" i="3"/>
  <c r="R702" i="3"/>
  <c r="Q702" i="3"/>
  <c r="P702" i="3"/>
  <c r="O702" i="3"/>
  <c r="G702" i="3"/>
  <c r="R701" i="3"/>
  <c r="Q701" i="3"/>
  <c r="P701" i="3"/>
  <c r="O701" i="3"/>
  <c r="G701" i="3"/>
  <c r="R700" i="3"/>
  <c r="Q700" i="3"/>
  <c r="P700" i="3"/>
  <c r="O700" i="3"/>
  <c r="G700" i="3"/>
  <c r="R699" i="3"/>
  <c r="Q699" i="3"/>
  <c r="P699" i="3"/>
  <c r="O699" i="3"/>
  <c r="G699" i="3"/>
  <c r="R698" i="3"/>
  <c r="Q698" i="3"/>
  <c r="P698" i="3"/>
  <c r="O698" i="3"/>
  <c r="G698" i="3"/>
  <c r="R697" i="3"/>
  <c r="Q697" i="3"/>
  <c r="P697" i="3"/>
  <c r="O697" i="3"/>
  <c r="G697" i="3"/>
  <c r="R696" i="3"/>
  <c r="Q696" i="3"/>
  <c r="P696" i="3"/>
  <c r="O696" i="3"/>
  <c r="G696" i="3"/>
  <c r="R695" i="3"/>
  <c r="Q695" i="3"/>
  <c r="P695" i="3"/>
  <c r="O695" i="3"/>
  <c r="G695" i="3"/>
  <c r="R694" i="3"/>
  <c r="Q694" i="3"/>
  <c r="P694" i="3"/>
  <c r="O694" i="3"/>
  <c r="G694" i="3"/>
  <c r="R693" i="3"/>
  <c r="Q693" i="3"/>
  <c r="P693" i="3"/>
  <c r="O693" i="3"/>
  <c r="G693" i="3"/>
  <c r="R692" i="3"/>
  <c r="Q692" i="3"/>
  <c r="P692" i="3"/>
  <c r="O692" i="3"/>
  <c r="G692" i="3"/>
  <c r="R691" i="3"/>
  <c r="Q691" i="3"/>
  <c r="P691" i="3"/>
  <c r="O691" i="3"/>
  <c r="G691" i="3"/>
  <c r="R690" i="3"/>
  <c r="Q690" i="3"/>
  <c r="P690" i="3"/>
  <c r="O690" i="3"/>
  <c r="G690" i="3"/>
  <c r="R689" i="3"/>
  <c r="Q689" i="3"/>
  <c r="P689" i="3"/>
  <c r="O689" i="3"/>
  <c r="G689" i="3"/>
  <c r="R688" i="3"/>
  <c r="Q688" i="3"/>
  <c r="P688" i="3"/>
  <c r="O688" i="3"/>
  <c r="G688" i="3"/>
  <c r="R687" i="3"/>
  <c r="Q687" i="3"/>
  <c r="P687" i="3"/>
  <c r="O687" i="3"/>
  <c r="G687" i="3"/>
  <c r="R686" i="3"/>
  <c r="Q686" i="3"/>
  <c r="P686" i="3"/>
  <c r="O686" i="3"/>
  <c r="G686" i="3"/>
  <c r="R685" i="3"/>
  <c r="Q685" i="3"/>
  <c r="P685" i="3"/>
  <c r="O685" i="3"/>
  <c r="G685" i="3"/>
  <c r="R684" i="3"/>
  <c r="Q684" i="3"/>
  <c r="P684" i="3"/>
  <c r="O684" i="3"/>
  <c r="G684" i="3"/>
  <c r="R683" i="3"/>
  <c r="Q683" i="3"/>
  <c r="P683" i="3"/>
  <c r="O683" i="3"/>
  <c r="G683" i="3"/>
  <c r="R682" i="3"/>
  <c r="Q682" i="3"/>
  <c r="P682" i="3"/>
  <c r="O682" i="3"/>
  <c r="G682" i="3"/>
  <c r="R681" i="3"/>
  <c r="Q681" i="3"/>
  <c r="P681" i="3"/>
  <c r="O681" i="3"/>
  <c r="G681" i="3"/>
  <c r="R680" i="3"/>
  <c r="Q680" i="3"/>
  <c r="P680" i="3"/>
  <c r="O680" i="3"/>
  <c r="G680" i="3"/>
  <c r="R679" i="3"/>
  <c r="Q679" i="3"/>
  <c r="P679" i="3"/>
  <c r="O679" i="3"/>
  <c r="G679" i="3"/>
  <c r="R678" i="3"/>
  <c r="Q678" i="3"/>
  <c r="P678" i="3"/>
  <c r="O678" i="3"/>
  <c r="G678" i="3"/>
  <c r="R677" i="3"/>
  <c r="Q677" i="3"/>
  <c r="P677" i="3"/>
  <c r="O677" i="3"/>
  <c r="G677" i="3"/>
  <c r="R676" i="3"/>
  <c r="Q676" i="3"/>
  <c r="P676" i="3"/>
  <c r="O676" i="3"/>
  <c r="G676" i="3"/>
  <c r="R675" i="3"/>
  <c r="Q675" i="3"/>
  <c r="P675" i="3"/>
  <c r="O675" i="3"/>
  <c r="G675" i="3"/>
  <c r="R674" i="3"/>
  <c r="Q674" i="3"/>
  <c r="P674" i="3"/>
  <c r="O674" i="3"/>
  <c r="G674" i="3"/>
  <c r="R673" i="3"/>
  <c r="Q673" i="3"/>
  <c r="P673" i="3"/>
  <c r="O673" i="3"/>
  <c r="G673" i="3"/>
  <c r="R672" i="3"/>
  <c r="Q672" i="3"/>
  <c r="P672" i="3"/>
  <c r="O672" i="3"/>
  <c r="G672" i="3"/>
  <c r="R671" i="3"/>
  <c r="Q671" i="3"/>
  <c r="P671" i="3"/>
  <c r="O671" i="3"/>
  <c r="G671" i="3"/>
  <c r="R670" i="3"/>
  <c r="Q670" i="3"/>
  <c r="P670" i="3"/>
  <c r="O670" i="3"/>
  <c r="G670" i="3"/>
  <c r="R669" i="3"/>
  <c r="Q669" i="3"/>
  <c r="P669" i="3"/>
  <c r="O669" i="3"/>
  <c r="G669" i="3"/>
  <c r="R668" i="3"/>
  <c r="Q668" i="3"/>
  <c r="P668" i="3"/>
  <c r="O668" i="3"/>
  <c r="G668" i="3"/>
  <c r="R667" i="3"/>
  <c r="Q667" i="3"/>
  <c r="P667" i="3"/>
  <c r="O667" i="3"/>
  <c r="G667" i="3"/>
  <c r="R666" i="3"/>
  <c r="Q666" i="3"/>
  <c r="P666" i="3"/>
  <c r="O666" i="3"/>
  <c r="G666" i="3"/>
  <c r="R665" i="3"/>
  <c r="Q665" i="3"/>
  <c r="P665" i="3"/>
  <c r="O665" i="3"/>
  <c r="G665" i="3"/>
  <c r="R664" i="3"/>
  <c r="Q664" i="3"/>
  <c r="P664" i="3"/>
  <c r="O664" i="3"/>
  <c r="G664" i="3"/>
  <c r="R663" i="3"/>
  <c r="Q663" i="3"/>
  <c r="P663" i="3"/>
  <c r="O663" i="3"/>
  <c r="G663" i="3"/>
  <c r="R662" i="3"/>
  <c r="Q662" i="3"/>
  <c r="P662" i="3"/>
  <c r="O662" i="3"/>
  <c r="G662" i="3"/>
  <c r="R661" i="3"/>
  <c r="Q661" i="3"/>
  <c r="P661" i="3"/>
  <c r="O661" i="3"/>
  <c r="G661" i="3"/>
  <c r="R660" i="3"/>
  <c r="Q660" i="3"/>
  <c r="P660" i="3"/>
  <c r="O660" i="3"/>
  <c r="G660" i="3"/>
  <c r="R659" i="3"/>
  <c r="Q659" i="3"/>
  <c r="P659" i="3"/>
  <c r="O659" i="3"/>
  <c r="G659" i="3"/>
  <c r="R658" i="3"/>
  <c r="Q658" i="3"/>
  <c r="P658" i="3"/>
  <c r="O658" i="3"/>
  <c r="G658" i="3"/>
  <c r="R657" i="3"/>
  <c r="Q657" i="3"/>
  <c r="P657" i="3"/>
  <c r="O657" i="3"/>
  <c r="G657" i="3"/>
  <c r="R656" i="3"/>
  <c r="Q656" i="3"/>
  <c r="P656" i="3"/>
  <c r="O656" i="3"/>
  <c r="G656" i="3"/>
  <c r="R655" i="3"/>
  <c r="Q655" i="3"/>
  <c r="P655" i="3"/>
  <c r="O655" i="3"/>
  <c r="G655" i="3"/>
  <c r="R654" i="3"/>
  <c r="Q654" i="3"/>
  <c r="P654" i="3"/>
  <c r="O654" i="3"/>
  <c r="G654" i="3"/>
  <c r="R653" i="3"/>
  <c r="Q653" i="3"/>
  <c r="P653" i="3"/>
  <c r="O653" i="3"/>
  <c r="G653" i="3"/>
  <c r="R652" i="3"/>
  <c r="Q652" i="3"/>
  <c r="P652" i="3"/>
  <c r="O652" i="3"/>
  <c r="G652" i="3"/>
  <c r="R651" i="3"/>
  <c r="Q651" i="3"/>
  <c r="P651" i="3"/>
  <c r="O651" i="3"/>
  <c r="G651" i="3"/>
  <c r="R650" i="3"/>
  <c r="Q650" i="3"/>
  <c r="P650" i="3"/>
  <c r="O650" i="3"/>
  <c r="G650" i="3"/>
  <c r="R649" i="3"/>
  <c r="Q649" i="3"/>
  <c r="P649" i="3"/>
  <c r="O649" i="3"/>
  <c r="G649" i="3"/>
  <c r="R648" i="3"/>
  <c r="Q648" i="3"/>
  <c r="P648" i="3"/>
  <c r="O648" i="3"/>
  <c r="G648" i="3"/>
  <c r="R647" i="3"/>
  <c r="Q647" i="3"/>
  <c r="P647" i="3"/>
  <c r="O647" i="3"/>
  <c r="G647" i="3"/>
  <c r="R646" i="3"/>
  <c r="Q646" i="3"/>
  <c r="P646" i="3"/>
  <c r="O646" i="3"/>
  <c r="G646" i="3"/>
  <c r="R645" i="3"/>
  <c r="Q645" i="3"/>
  <c r="P645" i="3"/>
  <c r="O645" i="3"/>
  <c r="G645" i="3"/>
  <c r="R644" i="3"/>
  <c r="Q644" i="3"/>
  <c r="P644" i="3"/>
  <c r="O644" i="3"/>
  <c r="G644" i="3"/>
  <c r="R643" i="3"/>
  <c r="Q643" i="3"/>
  <c r="P643" i="3"/>
  <c r="O643" i="3"/>
  <c r="G643" i="3"/>
  <c r="R642" i="3"/>
  <c r="Q642" i="3"/>
  <c r="P642" i="3"/>
  <c r="O642" i="3"/>
  <c r="G642" i="3"/>
  <c r="R641" i="3"/>
  <c r="Q641" i="3"/>
  <c r="P641" i="3"/>
  <c r="O641" i="3"/>
  <c r="G641" i="3"/>
  <c r="R640" i="3"/>
  <c r="Q640" i="3"/>
  <c r="P640" i="3"/>
  <c r="O640" i="3"/>
  <c r="G640" i="3"/>
  <c r="R639" i="3"/>
  <c r="Q639" i="3"/>
  <c r="P639" i="3"/>
  <c r="O639" i="3"/>
  <c r="G639" i="3"/>
  <c r="R638" i="3"/>
  <c r="Q638" i="3"/>
  <c r="P638" i="3"/>
  <c r="O638" i="3"/>
  <c r="G638" i="3"/>
  <c r="R637" i="3"/>
  <c r="Q637" i="3"/>
  <c r="P637" i="3"/>
  <c r="O637" i="3"/>
  <c r="G637" i="3"/>
  <c r="R636" i="3"/>
  <c r="Q636" i="3"/>
  <c r="P636" i="3"/>
  <c r="O636" i="3"/>
  <c r="G636" i="3"/>
  <c r="R635" i="3"/>
  <c r="Q635" i="3"/>
  <c r="P635" i="3"/>
  <c r="O635" i="3"/>
  <c r="G635" i="3"/>
  <c r="R634" i="3"/>
  <c r="Q634" i="3"/>
  <c r="P634" i="3"/>
  <c r="O634" i="3"/>
  <c r="G634" i="3"/>
  <c r="R633" i="3"/>
  <c r="Q633" i="3"/>
  <c r="P633" i="3"/>
  <c r="O633" i="3"/>
  <c r="G633" i="3"/>
  <c r="R632" i="3"/>
  <c r="Q632" i="3"/>
  <c r="P632" i="3"/>
  <c r="O632" i="3"/>
  <c r="G632" i="3"/>
  <c r="R631" i="3"/>
  <c r="Q631" i="3"/>
  <c r="P631" i="3"/>
  <c r="O631" i="3"/>
  <c r="G631" i="3"/>
  <c r="R630" i="3"/>
  <c r="Q630" i="3"/>
  <c r="P630" i="3"/>
  <c r="O630" i="3"/>
  <c r="G630" i="3"/>
  <c r="R629" i="3"/>
  <c r="Q629" i="3"/>
  <c r="P629" i="3"/>
  <c r="O629" i="3"/>
  <c r="G629" i="3"/>
  <c r="R628" i="3"/>
  <c r="Q628" i="3"/>
  <c r="P628" i="3"/>
  <c r="O628" i="3"/>
  <c r="G628" i="3"/>
  <c r="R627" i="3"/>
  <c r="Q627" i="3"/>
  <c r="P627" i="3"/>
  <c r="O627" i="3"/>
  <c r="G627" i="3"/>
  <c r="R626" i="3"/>
  <c r="Q626" i="3"/>
  <c r="P626" i="3"/>
  <c r="O626" i="3"/>
  <c r="G626" i="3"/>
  <c r="R625" i="3"/>
  <c r="Q625" i="3"/>
  <c r="P625" i="3"/>
  <c r="O625" i="3"/>
  <c r="G625" i="3"/>
  <c r="R624" i="3"/>
  <c r="Q624" i="3"/>
  <c r="P624" i="3"/>
  <c r="O624" i="3"/>
  <c r="G624" i="3"/>
  <c r="R623" i="3"/>
  <c r="Q623" i="3"/>
  <c r="P623" i="3"/>
  <c r="O623" i="3"/>
  <c r="G623" i="3"/>
  <c r="R622" i="3"/>
  <c r="Q622" i="3"/>
  <c r="P622" i="3"/>
  <c r="O622" i="3"/>
  <c r="G622" i="3"/>
  <c r="R621" i="3"/>
  <c r="Q621" i="3"/>
  <c r="P621" i="3"/>
  <c r="O621" i="3"/>
  <c r="G621" i="3"/>
  <c r="R620" i="3"/>
  <c r="Q620" i="3"/>
  <c r="P620" i="3"/>
  <c r="O620" i="3"/>
  <c r="G620" i="3"/>
  <c r="R619" i="3"/>
  <c r="Q619" i="3"/>
  <c r="P619" i="3"/>
  <c r="O619" i="3"/>
  <c r="G619" i="3"/>
  <c r="R618" i="3"/>
  <c r="Q618" i="3"/>
  <c r="P618" i="3"/>
  <c r="O618" i="3"/>
  <c r="G618" i="3"/>
  <c r="R617" i="3"/>
  <c r="Q617" i="3"/>
  <c r="P617" i="3"/>
  <c r="O617" i="3"/>
  <c r="G617" i="3"/>
  <c r="R616" i="3"/>
  <c r="Q616" i="3"/>
  <c r="P616" i="3"/>
  <c r="O616" i="3"/>
  <c r="G616" i="3"/>
  <c r="R615" i="3"/>
  <c r="Q615" i="3"/>
  <c r="P615" i="3"/>
  <c r="O615" i="3"/>
  <c r="G615" i="3"/>
  <c r="R614" i="3"/>
  <c r="Q614" i="3"/>
  <c r="P614" i="3"/>
  <c r="O614" i="3"/>
  <c r="G614" i="3"/>
  <c r="R613" i="3"/>
  <c r="Q613" i="3"/>
  <c r="P613" i="3"/>
  <c r="O613" i="3"/>
  <c r="G613" i="3"/>
  <c r="R612" i="3"/>
  <c r="Q612" i="3"/>
  <c r="P612" i="3"/>
  <c r="O612" i="3"/>
  <c r="G612" i="3"/>
  <c r="R611" i="3"/>
  <c r="Q611" i="3"/>
  <c r="P611" i="3"/>
  <c r="O611" i="3"/>
  <c r="G611" i="3"/>
  <c r="R610" i="3"/>
  <c r="Q610" i="3"/>
  <c r="P610" i="3"/>
  <c r="O610" i="3"/>
  <c r="G610" i="3"/>
  <c r="R609" i="3"/>
  <c r="Q609" i="3"/>
  <c r="P609" i="3"/>
  <c r="O609" i="3"/>
  <c r="G609" i="3"/>
  <c r="R608" i="3"/>
  <c r="Q608" i="3"/>
  <c r="P608" i="3"/>
  <c r="O608" i="3"/>
  <c r="G608" i="3"/>
  <c r="R607" i="3"/>
  <c r="Q607" i="3"/>
  <c r="P607" i="3"/>
  <c r="O607" i="3"/>
  <c r="G607" i="3"/>
  <c r="R606" i="3"/>
  <c r="Q606" i="3"/>
  <c r="P606" i="3"/>
  <c r="O606" i="3"/>
  <c r="G606" i="3"/>
  <c r="R605" i="3"/>
  <c r="Q605" i="3"/>
  <c r="P605" i="3"/>
  <c r="O605" i="3"/>
  <c r="G605" i="3"/>
  <c r="R604" i="3"/>
  <c r="Q604" i="3"/>
  <c r="P604" i="3"/>
  <c r="O604" i="3"/>
  <c r="G604" i="3"/>
  <c r="R603" i="3"/>
  <c r="Q603" i="3"/>
  <c r="P603" i="3"/>
  <c r="O603" i="3"/>
  <c r="G603" i="3"/>
  <c r="R602" i="3"/>
  <c r="Q602" i="3"/>
  <c r="P602" i="3"/>
  <c r="O602" i="3"/>
  <c r="G602" i="3"/>
  <c r="R601" i="3"/>
  <c r="Q601" i="3"/>
  <c r="P601" i="3"/>
  <c r="O601" i="3"/>
  <c r="G601" i="3"/>
  <c r="R600" i="3"/>
  <c r="Q600" i="3"/>
  <c r="P600" i="3"/>
  <c r="O600" i="3"/>
  <c r="G600" i="3"/>
  <c r="R599" i="3"/>
  <c r="Q599" i="3"/>
  <c r="P599" i="3"/>
  <c r="O599" i="3"/>
  <c r="G599" i="3"/>
  <c r="R598" i="3"/>
  <c r="Q598" i="3"/>
  <c r="P598" i="3"/>
  <c r="O598" i="3"/>
  <c r="G598" i="3"/>
  <c r="R597" i="3"/>
  <c r="Q597" i="3"/>
  <c r="P597" i="3"/>
  <c r="O597" i="3"/>
  <c r="G597" i="3"/>
  <c r="R596" i="3"/>
  <c r="Q596" i="3"/>
  <c r="P596" i="3"/>
  <c r="O596" i="3"/>
  <c r="G596" i="3"/>
  <c r="R595" i="3"/>
  <c r="Q595" i="3"/>
  <c r="P595" i="3"/>
  <c r="O595" i="3"/>
  <c r="G595" i="3"/>
  <c r="R594" i="3"/>
  <c r="Q594" i="3"/>
  <c r="P594" i="3"/>
  <c r="O594" i="3"/>
  <c r="G594" i="3"/>
  <c r="R593" i="3"/>
  <c r="Q593" i="3"/>
  <c r="P593" i="3"/>
  <c r="O593" i="3"/>
  <c r="G593" i="3"/>
  <c r="R592" i="3"/>
  <c r="Q592" i="3"/>
  <c r="P592" i="3"/>
  <c r="O592" i="3"/>
  <c r="G592" i="3"/>
  <c r="R591" i="3"/>
  <c r="Q591" i="3"/>
  <c r="P591" i="3"/>
  <c r="O591" i="3"/>
  <c r="G591" i="3"/>
  <c r="R590" i="3"/>
  <c r="Q590" i="3"/>
  <c r="P590" i="3"/>
  <c r="O590" i="3"/>
  <c r="G590" i="3"/>
  <c r="R589" i="3"/>
  <c r="Q589" i="3"/>
  <c r="P589" i="3"/>
  <c r="O589" i="3"/>
  <c r="G589" i="3"/>
  <c r="R588" i="3"/>
  <c r="Q588" i="3"/>
  <c r="P588" i="3"/>
  <c r="O588" i="3"/>
  <c r="G588" i="3"/>
  <c r="R587" i="3"/>
  <c r="Q587" i="3"/>
  <c r="P587" i="3"/>
  <c r="O587" i="3"/>
  <c r="G587" i="3"/>
  <c r="R586" i="3"/>
  <c r="Q586" i="3"/>
  <c r="P586" i="3"/>
  <c r="O586" i="3"/>
  <c r="G586" i="3"/>
  <c r="R585" i="3"/>
  <c r="Q585" i="3"/>
  <c r="P585" i="3"/>
  <c r="O585" i="3"/>
  <c r="G585" i="3"/>
  <c r="R584" i="3"/>
  <c r="Q584" i="3"/>
  <c r="P584" i="3"/>
  <c r="O584" i="3"/>
  <c r="G584" i="3"/>
  <c r="R583" i="3"/>
  <c r="Q583" i="3"/>
  <c r="P583" i="3"/>
  <c r="O583" i="3"/>
  <c r="G583" i="3"/>
  <c r="R582" i="3"/>
  <c r="Q582" i="3"/>
  <c r="P582" i="3"/>
  <c r="O582" i="3"/>
  <c r="G582" i="3"/>
  <c r="R581" i="3"/>
  <c r="Q581" i="3"/>
  <c r="P581" i="3"/>
  <c r="O581" i="3"/>
  <c r="G581" i="3"/>
  <c r="R580" i="3"/>
  <c r="Q580" i="3"/>
  <c r="P580" i="3"/>
  <c r="O580" i="3"/>
  <c r="G580" i="3"/>
  <c r="R579" i="3"/>
  <c r="Q579" i="3"/>
  <c r="P579" i="3"/>
  <c r="O579" i="3"/>
  <c r="G579" i="3"/>
  <c r="R578" i="3"/>
  <c r="Q578" i="3"/>
  <c r="P578" i="3"/>
  <c r="O578" i="3"/>
  <c r="G578" i="3"/>
  <c r="R577" i="3"/>
  <c r="Q577" i="3"/>
  <c r="P577" i="3"/>
  <c r="O577" i="3"/>
  <c r="G577" i="3"/>
  <c r="R576" i="3"/>
  <c r="Q576" i="3"/>
  <c r="P576" i="3"/>
  <c r="O576" i="3"/>
  <c r="G576" i="3"/>
  <c r="R575" i="3"/>
  <c r="Q575" i="3"/>
  <c r="P575" i="3"/>
  <c r="O575" i="3"/>
  <c r="G575" i="3"/>
  <c r="R574" i="3"/>
  <c r="Q574" i="3"/>
  <c r="P574" i="3"/>
  <c r="O574" i="3"/>
  <c r="G574" i="3"/>
  <c r="R573" i="3"/>
  <c r="Q573" i="3"/>
  <c r="P573" i="3"/>
  <c r="O573" i="3"/>
  <c r="G573" i="3"/>
  <c r="R572" i="3"/>
  <c r="Q572" i="3"/>
  <c r="P572" i="3"/>
  <c r="O572" i="3"/>
  <c r="G572" i="3"/>
  <c r="R571" i="3"/>
  <c r="Q571" i="3"/>
  <c r="P571" i="3"/>
  <c r="O571" i="3"/>
  <c r="G571" i="3"/>
  <c r="R570" i="3"/>
  <c r="Q570" i="3"/>
  <c r="P570" i="3"/>
  <c r="O570" i="3"/>
  <c r="G570" i="3"/>
  <c r="R569" i="3"/>
  <c r="Q569" i="3"/>
  <c r="P569" i="3"/>
  <c r="O569" i="3"/>
  <c r="G569" i="3"/>
  <c r="R568" i="3"/>
  <c r="Q568" i="3"/>
  <c r="P568" i="3"/>
  <c r="O568" i="3"/>
  <c r="G568" i="3"/>
  <c r="R567" i="3"/>
  <c r="Q567" i="3"/>
  <c r="P567" i="3"/>
  <c r="O567" i="3"/>
  <c r="G567" i="3"/>
  <c r="R566" i="3"/>
  <c r="Q566" i="3"/>
  <c r="P566" i="3"/>
  <c r="O566" i="3"/>
  <c r="G566" i="3"/>
  <c r="R565" i="3"/>
  <c r="Q565" i="3"/>
  <c r="P565" i="3"/>
  <c r="O565" i="3"/>
  <c r="G565" i="3"/>
  <c r="R564" i="3"/>
  <c r="Q564" i="3"/>
  <c r="P564" i="3"/>
  <c r="O564" i="3"/>
  <c r="G564" i="3"/>
  <c r="R563" i="3"/>
  <c r="Q563" i="3"/>
  <c r="P563" i="3"/>
  <c r="O563" i="3"/>
  <c r="G563" i="3"/>
  <c r="R562" i="3"/>
  <c r="Q562" i="3"/>
  <c r="P562" i="3"/>
  <c r="O562" i="3"/>
  <c r="G562" i="3"/>
  <c r="R561" i="3"/>
  <c r="Q561" i="3"/>
  <c r="P561" i="3"/>
  <c r="O561" i="3"/>
  <c r="G561" i="3"/>
  <c r="R560" i="3"/>
  <c r="Q560" i="3"/>
  <c r="P560" i="3"/>
  <c r="O560" i="3"/>
  <c r="G560" i="3"/>
  <c r="R559" i="3"/>
  <c r="Q559" i="3"/>
  <c r="P559" i="3"/>
  <c r="O559" i="3"/>
  <c r="G559" i="3"/>
  <c r="R558" i="3"/>
  <c r="Q558" i="3"/>
  <c r="P558" i="3"/>
  <c r="O558" i="3"/>
  <c r="G558" i="3"/>
  <c r="R557" i="3"/>
  <c r="Q557" i="3"/>
  <c r="P557" i="3"/>
  <c r="O557" i="3"/>
  <c r="G557" i="3"/>
  <c r="R556" i="3"/>
  <c r="Q556" i="3"/>
  <c r="P556" i="3"/>
  <c r="O556" i="3"/>
  <c r="G556" i="3"/>
  <c r="R555" i="3"/>
  <c r="Q555" i="3"/>
  <c r="P555" i="3"/>
  <c r="O555" i="3"/>
  <c r="G555" i="3"/>
  <c r="R554" i="3"/>
  <c r="Q554" i="3"/>
  <c r="P554" i="3"/>
  <c r="O554" i="3"/>
  <c r="G554" i="3"/>
  <c r="R553" i="3"/>
  <c r="Q553" i="3"/>
  <c r="P553" i="3"/>
  <c r="O553" i="3"/>
  <c r="G553" i="3"/>
  <c r="R552" i="3"/>
  <c r="Q552" i="3"/>
  <c r="P552" i="3"/>
  <c r="O552" i="3"/>
  <c r="G552" i="3"/>
  <c r="R551" i="3"/>
  <c r="Q551" i="3"/>
  <c r="P551" i="3"/>
  <c r="O551" i="3"/>
  <c r="G551" i="3"/>
  <c r="R550" i="3"/>
  <c r="Q550" i="3"/>
  <c r="P550" i="3"/>
  <c r="O550" i="3"/>
  <c r="G550" i="3"/>
  <c r="R549" i="3"/>
  <c r="Q549" i="3"/>
  <c r="P549" i="3"/>
  <c r="O549" i="3"/>
  <c r="G549" i="3"/>
  <c r="R548" i="3"/>
  <c r="Q548" i="3"/>
  <c r="P548" i="3"/>
  <c r="O548" i="3"/>
  <c r="G548" i="3"/>
  <c r="R547" i="3"/>
  <c r="Q547" i="3"/>
  <c r="P547" i="3"/>
  <c r="O547" i="3"/>
  <c r="G547" i="3"/>
  <c r="R546" i="3"/>
  <c r="Q546" i="3"/>
  <c r="P546" i="3"/>
  <c r="O546" i="3"/>
  <c r="G546" i="3"/>
  <c r="R545" i="3"/>
  <c r="Q545" i="3"/>
  <c r="P545" i="3"/>
  <c r="O545" i="3"/>
  <c r="G545" i="3"/>
  <c r="R544" i="3"/>
  <c r="Q544" i="3"/>
  <c r="P544" i="3"/>
  <c r="O544" i="3"/>
  <c r="G544" i="3"/>
  <c r="R543" i="3"/>
  <c r="Q543" i="3"/>
  <c r="P543" i="3"/>
  <c r="O543" i="3"/>
  <c r="G543" i="3"/>
  <c r="R542" i="3"/>
  <c r="Q542" i="3"/>
  <c r="P542" i="3"/>
  <c r="O542" i="3"/>
  <c r="G542" i="3"/>
  <c r="R541" i="3"/>
  <c r="Q541" i="3"/>
  <c r="P541" i="3"/>
  <c r="O541" i="3"/>
  <c r="G541" i="3"/>
  <c r="R540" i="3"/>
  <c r="Q540" i="3"/>
  <c r="P540" i="3"/>
  <c r="O540" i="3"/>
  <c r="G540" i="3"/>
  <c r="R539" i="3"/>
  <c r="Q539" i="3"/>
  <c r="P539" i="3"/>
  <c r="O539" i="3"/>
  <c r="G539" i="3"/>
  <c r="R538" i="3"/>
  <c r="Q538" i="3"/>
  <c r="P538" i="3"/>
  <c r="O538" i="3"/>
  <c r="G538" i="3"/>
  <c r="R537" i="3"/>
  <c r="Q537" i="3"/>
  <c r="P537" i="3"/>
  <c r="O537" i="3"/>
  <c r="G537" i="3"/>
  <c r="R536" i="3"/>
  <c r="Q536" i="3"/>
  <c r="P536" i="3"/>
  <c r="O536" i="3"/>
  <c r="G536" i="3"/>
  <c r="R535" i="3"/>
  <c r="Q535" i="3"/>
  <c r="P535" i="3"/>
  <c r="O535" i="3"/>
  <c r="G535" i="3"/>
  <c r="R534" i="3"/>
  <c r="Q534" i="3"/>
  <c r="P534" i="3"/>
  <c r="O534" i="3"/>
  <c r="G534" i="3"/>
  <c r="R533" i="3"/>
  <c r="Q533" i="3"/>
  <c r="P533" i="3"/>
  <c r="O533" i="3"/>
  <c r="G533" i="3"/>
  <c r="R532" i="3"/>
  <c r="Q532" i="3"/>
  <c r="P532" i="3"/>
  <c r="O532" i="3"/>
  <c r="G532" i="3"/>
  <c r="R531" i="3"/>
  <c r="Q531" i="3"/>
  <c r="P531" i="3"/>
  <c r="O531" i="3"/>
  <c r="G531" i="3"/>
  <c r="R530" i="3"/>
  <c r="Q530" i="3"/>
  <c r="P530" i="3"/>
  <c r="O530" i="3"/>
  <c r="G530" i="3"/>
  <c r="R529" i="3"/>
  <c r="Q529" i="3"/>
  <c r="P529" i="3"/>
  <c r="O529" i="3"/>
  <c r="G529" i="3"/>
  <c r="R528" i="3"/>
  <c r="Q528" i="3"/>
  <c r="P528" i="3"/>
  <c r="O528" i="3"/>
  <c r="G528" i="3"/>
  <c r="R527" i="3"/>
  <c r="Q527" i="3"/>
  <c r="P527" i="3"/>
  <c r="O527" i="3"/>
  <c r="G527" i="3"/>
  <c r="R526" i="3"/>
  <c r="Q526" i="3"/>
  <c r="P526" i="3"/>
  <c r="O526" i="3"/>
  <c r="G526" i="3"/>
  <c r="R525" i="3"/>
  <c r="Q525" i="3"/>
  <c r="P525" i="3"/>
  <c r="O525" i="3"/>
  <c r="G525" i="3"/>
  <c r="R524" i="3"/>
  <c r="Q524" i="3"/>
  <c r="P524" i="3"/>
  <c r="O524" i="3"/>
  <c r="G524" i="3"/>
  <c r="R523" i="3"/>
  <c r="Q523" i="3"/>
  <c r="P523" i="3"/>
  <c r="O523" i="3"/>
  <c r="G523" i="3"/>
  <c r="R522" i="3"/>
  <c r="Q522" i="3"/>
  <c r="P522" i="3"/>
  <c r="O522" i="3"/>
  <c r="G522" i="3"/>
  <c r="R521" i="3"/>
  <c r="Q521" i="3"/>
  <c r="P521" i="3"/>
  <c r="O521" i="3"/>
  <c r="G521" i="3"/>
  <c r="R520" i="3"/>
  <c r="Q520" i="3"/>
  <c r="P520" i="3"/>
  <c r="O520" i="3"/>
  <c r="G520" i="3"/>
  <c r="R519" i="3"/>
  <c r="Q519" i="3"/>
  <c r="P519" i="3"/>
  <c r="O519" i="3"/>
  <c r="G519" i="3"/>
  <c r="R518" i="3"/>
  <c r="Q518" i="3"/>
  <c r="P518" i="3"/>
  <c r="O518" i="3"/>
  <c r="G518" i="3"/>
  <c r="R517" i="3"/>
  <c r="Q517" i="3"/>
  <c r="P517" i="3"/>
  <c r="O517" i="3"/>
  <c r="G517" i="3"/>
  <c r="R516" i="3"/>
  <c r="Q516" i="3"/>
  <c r="P516" i="3"/>
  <c r="O516" i="3"/>
  <c r="G516" i="3"/>
  <c r="R515" i="3"/>
  <c r="Q515" i="3"/>
  <c r="P515" i="3"/>
  <c r="O515" i="3"/>
  <c r="G515" i="3"/>
  <c r="R514" i="3"/>
  <c r="Q514" i="3"/>
  <c r="P514" i="3"/>
  <c r="O514" i="3"/>
  <c r="G514" i="3"/>
  <c r="R513" i="3"/>
  <c r="Q513" i="3"/>
  <c r="P513" i="3"/>
  <c r="O513" i="3"/>
  <c r="G513" i="3"/>
  <c r="R512" i="3"/>
  <c r="Q512" i="3"/>
  <c r="P512" i="3"/>
  <c r="O512" i="3"/>
  <c r="G512" i="3"/>
  <c r="R511" i="3"/>
  <c r="Q511" i="3"/>
  <c r="P511" i="3"/>
  <c r="O511" i="3"/>
  <c r="G511" i="3"/>
  <c r="R510" i="3"/>
  <c r="Q510" i="3"/>
  <c r="P510" i="3"/>
  <c r="O510" i="3"/>
  <c r="G510" i="3"/>
  <c r="R509" i="3"/>
  <c r="Q509" i="3"/>
  <c r="P509" i="3"/>
  <c r="O509" i="3"/>
  <c r="G509" i="3"/>
  <c r="R508" i="3"/>
  <c r="Q508" i="3"/>
  <c r="P508" i="3"/>
  <c r="O508" i="3"/>
  <c r="G508" i="3"/>
  <c r="R507" i="3"/>
  <c r="Q507" i="3"/>
  <c r="P507" i="3"/>
  <c r="O507" i="3"/>
  <c r="G507" i="3"/>
  <c r="R506" i="3"/>
  <c r="Q506" i="3"/>
  <c r="P506" i="3"/>
  <c r="O506" i="3"/>
  <c r="G506" i="3"/>
  <c r="R505" i="3"/>
  <c r="Q505" i="3"/>
  <c r="P505" i="3"/>
  <c r="O505" i="3"/>
  <c r="G505" i="3"/>
  <c r="R504" i="3"/>
  <c r="Q504" i="3"/>
  <c r="P504" i="3"/>
  <c r="O504" i="3"/>
  <c r="G504" i="3"/>
  <c r="R503" i="3"/>
  <c r="Q503" i="3"/>
  <c r="P503" i="3"/>
  <c r="O503" i="3"/>
  <c r="G503" i="3"/>
  <c r="R502" i="3"/>
  <c r="Q502" i="3"/>
  <c r="P502" i="3"/>
  <c r="O502" i="3"/>
  <c r="G502" i="3"/>
  <c r="R501" i="3"/>
  <c r="Q501" i="3"/>
  <c r="P501" i="3"/>
  <c r="O501" i="3"/>
  <c r="G501" i="3"/>
  <c r="R500" i="3"/>
  <c r="Q500" i="3"/>
  <c r="P500" i="3"/>
  <c r="O500" i="3"/>
  <c r="G500" i="3"/>
  <c r="R499" i="3"/>
  <c r="Q499" i="3"/>
  <c r="P499" i="3"/>
  <c r="O499" i="3"/>
  <c r="G499" i="3"/>
  <c r="R498" i="3"/>
  <c r="Q498" i="3"/>
  <c r="P498" i="3"/>
  <c r="O498" i="3"/>
  <c r="G498" i="3"/>
  <c r="R497" i="3"/>
  <c r="Q497" i="3"/>
  <c r="P497" i="3"/>
  <c r="O497" i="3"/>
  <c r="G497" i="3"/>
  <c r="R496" i="3"/>
  <c r="Q496" i="3"/>
  <c r="P496" i="3"/>
  <c r="O496" i="3"/>
  <c r="G496" i="3"/>
  <c r="R495" i="3"/>
  <c r="Q495" i="3"/>
  <c r="P495" i="3"/>
  <c r="O495" i="3"/>
  <c r="G495" i="3"/>
  <c r="R494" i="3"/>
  <c r="Q494" i="3"/>
  <c r="P494" i="3"/>
  <c r="O494" i="3"/>
  <c r="G494" i="3"/>
  <c r="R493" i="3"/>
  <c r="Q493" i="3"/>
  <c r="P493" i="3"/>
  <c r="O493" i="3"/>
  <c r="G493" i="3"/>
  <c r="R492" i="3"/>
  <c r="Q492" i="3"/>
  <c r="P492" i="3"/>
  <c r="O492" i="3"/>
  <c r="G492" i="3"/>
  <c r="R491" i="3"/>
  <c r="Q491" i="3"/>
  <c r="P491" i="3"/>
  <c r="O491" i="3"/>
  <c r="G491" i="3"/>
  <c r="R490" i="3"/>
  <c r="Q490" i="3"/>
  <c r="P490" i="3"/>
  <c r="O490" i="3"/>
  <c r="G490" i="3"/>
  <c r="R489" i="3"/>
  <c r="Q489" i="3"/>
  <c r="P489" i="3"/>
  <c r="O489" i="3"/>
  <c r="G489" i="3"/>
  <c r="R488" i="3"/>
  <c r="Q488" i="3"/>
  <c r="P488" i="3"/>
  <c r="O488" i="3"/>
  <c r="G488" i="3"/>
  <c r="R487" i="3"/>
  <c r="Q487" i="3"/>
  <c r="P487" i="3"/>
  <c r="O487" i="3"/>
  <c r="G487" i="3"/>
  <c r="R486" i="3"/>
  <c r="Q486" i="3"/>
  <c r="P486" i="3"/>
  <c r="O486" i="3"/>
  <c r="G486" i="3"/>
  <c r="R485" i="3"/>
  <c r="Q485" i="3"/>
  <c r="P485" i="3"/>
  <c r="O485" i="3"/>
  <c r="G485" i="3"/>
  <c r="R484" i="3"/>
  <c r="Q484" i="3"/>
  <c r="P484" i="3"/>
  <c r="O484" i="3"/>
  <c r="G484" i="3"/>
  <c r="R483" i="3"/>
  <c r="Q483" i="3"/>
  <c r="P483" i="3"/>
  <c r="O483" i="3"/>
  <c r="G483" i="3"/>
  <c r="R482" i="3"/>
  <c r="Q482" i="3"/>
  <c r="P482" i="3"/>
  <c r="O482" i="3"/>
  <c r="G482" i="3"/>
  <c r="R481" i="3"/>
  <c r="Q481" i="3"/>
  <c r="P481" i="3"/>
  <c r="O481" i="3"/>
  <c r="G481" i="3"/>
  <c r="R480" i="3"/>
  <c r="Q480" i="3"/>
  <c r="P480" i="3"/>
  <c r="O480" i="3"/>
  <c r="G480" i="3"/>
  <c r="R479" i="3"/>
  <c r="Q479" i="3"/>
  <c r="P479" i="3"/>
  <c r="O479" i="3"/>
  <c r="G479" i="3"/>
  <c r="R478" i="3"/>
  <c r="Q478" i="3"/>
  <c r="P478" i="3"/>
  <c r="O478" i="3"/>
  <c r="G478" i="3"/>
  <c r="R477" i="3"/>
  <c r="Q477" i="3"/>
  <c r="P477" i="3"/>
  <c r="O477" i="3"/>
  <c r="G477" i="3"/>
  <c r="R476" i="3"/>
  <c r="Q476" i="3"/>
  <c r="P476" i="3"/>
  <c r="O476" i="3"/>
  <c r="G476" i="3"/>
  <c r="R475" i="3"/>
  <c r="Q475" i="3"/>
  <c r="P475" i="3"/>
  <c r="O475" i="3"/>
  <c r="G475" i="3"/>
  <c r="R474" i="3"/>
  <c r="Q474" i="3"/>
  <c r="P474" i="3"/>
  <c r="O474" i="3"/>
  <c r="G474" i="3"/>
  <c r="R473" i="3"/>
  <c r="Q473" i="3"/>
  <c r="P473" i="3"/>
  <c r="O473" i="3"/>
  <c r="G473" i="3"/>
  <c r="R472" i="3"/>
  <c r="Q472" i="3"/>
  <c r="P472" i="3"/>
  <c r="O472" i="3"/>
  <c r="G472" i="3"/>
  <c r="R471" i="3"/>
  <c r="Q471" i="3"/>
  <c r="P471" i="3"/>
  <c r="O471" i="3"/>
  <c r="G471" i="3"/>
  <c r="R470" i="3"/>
  <c r="Q470" i="3"/>
  <c r="P470" i="3"/>
  <c r="O470" i="3"/>
  <c r="G470" i="3"/>
  <c r="R469" i="3"/>
  <c r="Q469" i="3"/>
  <c r="P469" i="3"/>
  <c r="O469" i="3"/>
  <c r="G469" i="3"/>
  <c r="R468" i="3"/>
  <c r="Q468" i="3"/>
  <c r="P468" i="3"/>
  <c r="O468" i="3"/>
  <c r="G468" i="3"/>
  <c r="R467" i="3"/>
  <c r="Q467" i="3"/>
  <c r="P467" i="3"/>
  <c r="O467" i="3"/>
  <c r="G467" i="3"/>
  <c r="R466" i="3"/>
  <c r="Q466" i="3"/>
  <c r="P466" i="3"/>
  <c r="O466" i="3"/>
  <c r="G466" i="3"/>
  <c r="R465" i="3"/>
  <c r="Q465" i="3"/>
  <c r="P465" i="3"/>
  <c r="O465" i="3"/>
  <c r="G465" i="3"/>
  <c r="R464" i="3"/>
  <c r="Q464" i="3"/>
  <c r="P464" i="3"/>
  <c r="O464" i="3"/>
  <c r="G464" i="3"/>
  <c r="R463" i="3"/>
  <c r="Q463" i="3"/>
  <c r="P463" i="3"/>
  <c r="O463" i="3"/>
  <c r="G463" i="3"/>
  <c r="R462" i="3"/>
  <c r="Q462" i="3"/>
  <c r="P462" i="3"/>
  <c r="O462" i="3"/>
  <c r="G462" i="3"/>
  <c r="R461" i="3"/>
  <c r="Q461" i="3"/>
  <c r="P461" i="3"/>
  <c r="O461" i="3"/>
  <c r="G461" i="3"/>
  <c r="R460" i="3"/>
  <c r="Q460" i="3"/>
  <c r="P460" i="3"/>
  <c r="O460" i="3"/>
  <c r="G460" i="3"/>
  <c r="R459" i="3"/>
  <c r="Q459" i="3"/>
  <c r="P459" i="3"/>
  <c r="O459" i="3"/>
  <c r="G459" i="3"/>
  <c r="R458" i="3"/>
  <c r="Q458" i="3"/>
  <c r="P458" i="3"/>
  <c r="O458" i="3"/>
  <c r="G458" i="3"/>
  <c r="R457" i="3"/>
  <c r="Q457" i="3"/>
  <c r="P457" i="3"/>
  <c r="O457" i="3"/>
  <c r="G457" i="3"/>
  <c r="R456" i="3"/>
  <c r="Q456" i="3"/>
  <c r="P456" i="3"/>
  <c r="O456" i="3"/>
  <c r="G456" i="3"/>
  <c r="R455" i="3"/>
  <c r="Q455" i="3"/>
  <c r="P455" i="3"/>
  <c r="O455" i="3"/>
  <c r="G455" i="3"/>
  <c r="R454" i="3"/>
  <c r="Q454" i="3"/>
  <c r="P454" i="3"/>
  <c r="O454" i="3"/>
  <c r="G454" i="3"/>
  <c r="R453" i="3"/>
  <c r="Q453" i="3"/>
  <c r="P453" i="3"/>
  <c r="O453" i="3"/>
  <c r="G453" i="3"/>
  <c r="R452" i="3"/>
  <c r="Q452" i="3"/>
  <c r="P452" i="3"/>
  <c r="O452" i="3"/>
  <c r="G452" i="3"/>
  <c r="R451" i="3"/>
  <c r="Q451" i="3"/>
  <c r="P451" i="3"/>
  <c r="O451" i="3"/>
  <c r="G451" i="3"/>
  <c r="R450" i="3"/>
  <c r="Q450" i="3"/>
  <c r="P450" i="3"/>
  <c r="O450" i="3"/>
  <c r="G450" i="3"/>
  <c r="R449" i="3"/>
  <c r="Q449" i="3"/>
  <c r="P449" i="3"/>
  <c r="O449" i="3"/>
  <c r="G449" i="3"/>
  <c r="R448" i="3"/>
  <c r="Q448" i="3"/>
  <c r="P448" i="3"/>
  <c r="O448" i="3"/>
  <c r="G448" i="3"/>
  <c r="R447" i="3"/>
  <c r="Q447" i="3"/>
  <c r="P447" i="3"/>
  <c r="O447" i="3"/>
  <c r="G447" i="3"/>
  <c r="R446" i="3"/>
  <c r="Q446" i="3"/>
  <c r="P446" i="3"/>
  <c r="O446" i="3"/>
  <c r="G446" i="3"/>
  <c r="R445" i="3"/>
  <c r="Q445" i="3"/>
  <c r="P445" i="3"/>
  <c r="O445" i="3"/>
  <c r="G445" i="3"/>
  <c r="R444" i="3"/>
  <c r="Q444" i="3"/>
  <c r="P444" i="3"/>
  <c r="O444" i="3"/>
  <c r="G444" i="3"/>
  <c r="R443" i="3"/>
  <c r="Q443" i="3"/>
  <c r="P443" i="3"/>
  <c r="O443" i="3"/>
  <c r="G443" i="3"/>
  <c r="R442" i="3"/>
  <c r="Q442" i="3"/>
  <c r="P442" i="3"/>
  <c r="O442" i="3"/>
  <c r="G442" i="3"/>
  <c r="R441" i="3"/>
  <c r="Q441" i="3"/>
  <c r="P441" i="3"/>
  <c r="O441" i="3"/>
  <c r="G441" i="3"/>
  <c r="R440" i="3"/>
  <c r="Q440" i="3"/>
  <c r="P440" i="3"/>
  <c r="O440" i="3"/>
  <c r="G440" i="3"/>
  <c r="R439" i="3"/>
  <c r="Q439" i="3"/>
  <c r="P439" i="3"/>
  <c r="O439" i="3"/>
  <c r="G439" i="3"/>
  <c r="R438" i="3"/>
  <c r="Q438" i="3"/>
  <c r="P438" i="3"/>
  <c r="O438" i="3"/>
  <c r="G438" i="3"/>
  <c r="R437" i="3"/>
  <c r="Q437" i="3"/>
  <c r="P437" i="3"/>
  <c r="O437" i="3"/>
  <c r="G437" i="3"/>
  <c r="R436" i="3"/>
  <c r="Q436" i="3"/>
  <c r="P436" i="3"/>
  <c r="O436" i="3"/>
  <c r="G436" i="3"/>
  <c r="R435" i="3"/>
  <c r="Q435" i="3"/>
  <c r="P435" i="3"/>
  <c r="O435" i="3"/>
  <c r="G435" i="3"/>
  <c r="R434" i="3"/>
  <c r="Q434" i="3"/>
  <c r="P434" i="3"/>
  <c r="O434" i="3"/>
  <c r="G434" i="3"/>
  <c r="R433" i="3"/>
  <c r="Q433" i="3"/>
  <c r="P433" i="3"/>
  <c r="O433" i="3"/>
  <c r="G433" i="3"/>
  <c r="R432" i="3"/>
  <c r="Q432" i="3"/>
  <c r="P432" i="3"/>
  <c r="O432" i="3"/>
  <c r="G432" i="3"/>
  <c r="R431" i="3"/>
  <c r="Q431" i="3"/>
  <c r="P431" i="3"/>
  <c r="O431" i="3"/>
  <c r="G431" i="3"/>
  <c r="R430" i="3"/>
  <c r="Q430" i="3"/>
  <c r="P430" i="3"/>
  <c r="O430" i="3"/>
  <c r="G430" i="3"/>
  <c r="R429" i="3"/>
  <c r="Q429" i="3"/>
  <c r="P429" i="3"/>
  <c r="O429" i="3"/>
  <c r="G429" i="3"/>
  <c r="R428" i="3"/>
  <c r="Q428" i="3"/>
  <c r="P428" i="3"/>
  <c r="O428" i="3"/>
  <c r="G428" i="3"/>
  <c r="R427" i="3"/>
  <c r="Q427" i="3"/>
  <c r="P427" i="3"/>
  <c r="O427" i="3"/>
  <c r="G427" i="3"/>
  <c r="R426" i="3"/>
  <c r="Q426" i="3"/>
  <c r="P426" i="3"/>
  <c r="O426" i="3"/>
  <c r="G426" i="3"/>
  <c r="R425" i="3"/>
  <c r="Q425" i="3"/>
  <c r="P425" i="3"/>
  <c r="O425" i="3"/>
  <c r="G425" i="3"/>
  <c r="R424" i="3"/>
  <c r="Q424" i="3"/>
  <c r="P424" i="3"/>
  <c r="O424" i="3"/>
  <c r="G424" i="3"/>
  <c r="R423" i="3"/>
  <c r="Q423" i="3"/>
  <c r="P423" i="3"/>
  <c r="O423" i="3"/>
  <c r="G423" i="3"/>
  <c r="R422" i="3"/>
  <c r="Q422" i="3"/>
  <c r="P422" i="3"/>
  <c r="O422" i="3"/>
  <c r="G422" i="3"/>
  <c r="R421" i="3"/>
  <c r="Q421" i="3"/>
  <c r="P421" i="3"/>
  <c r="O421" i="3"/>
  <c r="G421" i="3"/>
  <c r="R420" i="3"/>
  <c r="Q420" i="3"/>
  <c r="P420" i="3"/>
  <c r="O420" i="3"/>
  <c r="G420" i="3"/>
  <c r="R419" i="3"/>
  <c r="Q419" i="3"/>
  <c r="P419" i="3"/>
  <c r="O419" i="3"/>
  <c r="G419" i="3"/>
  <c r="R418" i="3"/>
  <c r="Q418" i="3"/>
  <c r="P418" i="3"/>
  <c r="O418" i="3"/>
  <c r="G418" i="3"/>
  <c r="R417" i="3"/>
  <c r="Q417" i="3"/>
  <c r="P417" i="3"/>
  <c r="O417" i="3"/>
  <c r="G417" i="3"/>
  <c r="R416" i="3"/>
  <c r="Q416" i="3"/>
  <c r="P416" i="3"/>
  <c r="O416" i="3"/>
  <c r="G416" i="3"/>
  <c r="R415" i="3"/>
  <c r="Q415" i="3"/>
  <c r="P415" i="3"/>
  <c r="O415" i="3"/>
  <c r="G415" i="3"/>
  <c r="R414" i="3"/>
  <c r="Q414" i="3"/>
  <c r="P414" i="3"/>
  <c r="O414" i="3"/>
  <c r="G414" i="3"/>
  <c r="R413" i="3"/>
  <c r="Q413" i="3"/>
  <c r="P413" i="3"/>
  <c r="O413" i="3"/>
  <c r="G413" i="3"/>
  <c r="R412" i="3"/>
  <c r="Q412" i="3"/>
  <c r="P412" i="3"/>
  <c r="O412" i="3"/>
  <c r="G412" i="3"/>
  <c r="R411" i="3"/>
  <c r="Q411" i="3"/>
  <c r="P411" i="3"/>
  <c r="O411" i="3"/>
  <c r="G411" i="3"/>
  <c r="R410" i="3"/>
  <c r="Q410" i="3"/>
  <c r="P410" i="3"/>
  <c r="O410" i="3"/>
  <c r="G410" i="3"/>
  <c r="R409" i="3"/>
  <c r="Q409" i="3"/>
  <c r="P409" i="3"/>
  <c r="O409" i="3"/>
  <c r="G409" i="3"/>
  <c r="R408" i="3"/>
  <c r="Q408" i="3"/>
  <c r="P408" i="3"/>
  <c r="O408" i="3"/>
  <c r="G408" i="3"/>
  <c r="R407" i="3"/>
  <c r="Q407" i="3"/>
  <c r="P407" i="3"/>
  <c r="O407" i="3"/>
  <c r="G407" i="3"/>
  <c r="R406" i="3"/>
  <c r="Q406" i="3"/>
  <c r="P406" i="3"/>
  <c r="O406" i="3"/>
  <c r="G406" i="3"/>
  <c r="R405" i="3"/>
  <c r="Q405" i="3"/>
  <c r="P405" i="3"/>
  <c r="O405" i="3"/>
  <c r="G405" i="3"/>
  <c r="R404" i="3"/>
  <c r="Q404" i="3"/>
  <c r="P404" i="3"/>
  <c r="O404" i="3"/>
  <c r="G404" i="3"/>
  <c r="R403" i="3"/>
  <c r="Q403" i="3"/>
  <c r="P403" i="3"/>
  <c r="O403" i="3"/>
  <c r="G403" i="3"/>
  <c r="R402" i="3"/>
  <c r="Q402" i="3"/>
  <c r="P402" i="3"/>
  <c r="O402" i="3"/>
  <c r="G402" i="3"/>
  <c r="R401" i="3"/>
  <c r="Q401" i="3"/>
  <c r="P401" i="3"/>
  <c r="O401" i="3"/>
  <c r="G401" i="3"/>
  <c r="R400" i="3"/>
  <c r="Q400" i="3"/>
  <c r="P400" i="3"/>
  <c r="O400" i="3"/>
  <c r="G400" i="3"/>
  <c r="R399" i="3"/>
  <c r="Q399" i="3"/>
  <c r="P399" i="3"/>
  <c r="O399" i="3"/>
  <c r="G399" i="3"/>
  <c r="R398" i="3"/>
  <c r="Q398" i="3"/>
  <c r="P398" i="3"/>
  <c r="O398" i="3"/>
  <c r="G398" i="3"/>
  <c r="R397" i="3"/>
  <c r="Q397" i="3"/>
  <c r="P397" i="3"/>
  <c r="O397" i="3"/>
  <c r="G397" i="3"/>
  <c r="R396" i="3"/>
  <c r="Q396" i="3"/>
  <c r="P396" i="3"/>
  <c r="O396" i="3"/>
  <c r="G396" i="3"/>
  <c r="R395" i="3"/>
  <c r="Q395" i="3"/>
  <c r="P395" i="3"/>
  <c r="O395" i="3"/>
  <c r="G395" i="3"/>
  <c r="R394" i="3"/>
  <c r="Q394" i="3"/>
  <c r="P394" i="3"/>
  <c r="O394" i="3"/>
  <c r="G394" i="3"/>
  <c r="R393" i="3"/>
  <c r="Q393" i="3"/>
  <c r="P393" i="3"/>
  <c r="O393" i="3"/>
  <c r="G393" i="3"/>
  <c r="R392" i="3"/>
  <c r="Q392" i="3"/>
  <c r="P392" i="3"/>
  <c r="O392" i="3"/>
  <c r="G392" i="3"/>
  <c r="R391" i="3"/>
  <c r="Q391" i="3"/>
  <c r="P391" i="3"/>
  <c r="O391" i="3"/>
  <c r="G391" i="3"/>
  <c r="R390" i="3"/>
  <c r="Q390" i="3"/>
  <c r="P390" i="3"/>
  <c r="O390" i="3"/>
  <c r="G390" i="3"/>
  <c r="R389" i="3"/>
  <c r="Q389" i="3"/>
  <c r="P389" i="3"/>
  <c r="O389" i="3"/>
  <c r="G389" i="3"/>
  <c r="R388" i="3"/>
  <c r="Q388" i="3"/>
  <c r="P388" i="3"/>
  <c r="O388" i="3"/>
  <c r="G388" i="3"/>
  <c r="R387" i="3"/>
  <c r="Q387" i="3"/>
  <c r="P387" i="3"/>
  <c r="O387" i="3"/>
  <c r="G387" i="3"/>
  <c r="R386" i="3"/>
  <c r="Q386" i="3"/>
  <c r="P386" i="3"/>
  <c r="O386" i="3"/>
  <c r="G386" i="3"/>
  <c r="R385" i="3"/>
  <c r="Q385" i="3"/>
  <c r="P385" i="3"/>
  <c r="O385" i="3"/>
  <c r="G385" i="3"/>
  <c r="R384" i="3"/>
  <c r="Q384" i="3"/>
  <c r="P384" i="3"/>
  <c r="O384" i="3"/>
  <c r="G384" i="3"/>
  <c r="R383" i="3"/>
  <c r="Q383" i="3"/>
  <c r="P383" i="3"/>
  <c r="O383" i="3"/>
  <c r="G383" i="3"/>
  <c r="R382" i="3"/>
  <c r="Q382" i="3"/>
  <c r="P382" i="3"/>
  <c r="O382" i="3"/>
  <c r="G382" i="3"/>
  <c r="R381" i="3"/>
  <c r="Q381" i="3"/>
  <c r="P381" i="3"/>
  <c r="O381" i="3"/>
  <c r="G381" i="3"/>
  <c r="R380" i="3"/>
  <c r="Q380" i="3"/>
  <c r="P380" i="3"/>
  <c r="O380" i="3"/>
  <c r="G380" i="3"/>
  <c r="R379" i="3"/>
  <c r="Q379" i="3"/>
  <c r="P379" i="3"/>
  <c r="O379" i="3"/>
  <c r="G379" i="3"/>
  <c r="R378" i="3"/>
  <c r="Q378" i="3"/>
  <c r="P378" i="3"/>
  <c r="O378" i="3"/>
  <c r="G378" i="3"/>
  <c r="R377" i="3"/>
  <c r="Q377" i="3"/>
  <c r="P377" i="3"/>
  <c r="O377" i="3"/>
  <c r="G377" i="3"/>
  <c r="R376" i="3"/>
  <c r="Q376" i="3"/>
  <c r="P376" i="3"/>
  <c r="O376" i="3"/>
  <c r="G376" i="3"/>
  <c r="R375" i="3"/>
  <c r="Q375" i="3"/>
  <c r="P375" i="3"/>
  <c r="O375" i="3"/>
  <c r="G375" i="3"/>
  <c r="R374" i="3"/>
  <c r="Q374" i="3"/>
  <c r="P374" i="3"/>
  <c r="O374" i="3"/>
  <c r="G374" i="3"/>
  <c r="R373" i="3"/>
  <c r="Q373" i="3"/>
  <c r="P373" i="3"/>
  <c r="O373" i="3"/>
  <c r="G373" i="3"/>
  <c r="R372" i="3"/>
  <c r="Q372" i="3"/>
  <c r="P372" i="3"/>
  <c r="O372" i="3"/>
  <c r="G372" i="3"/>
  <c r="R371" i="3"/>
  <c r="Q371" i="3"/>
  <c r="P371" i="3"/>
  <c r="O371" i="3"/>
  <c r="G371" i="3"/>
  <c r="R370" i="3"/>
  <c r="Q370" i="3"/>
  <c r="P370" i="3"/>
  <c r="O370" i="3"/>
  <c r="G370" i="3"/>
  <c r="R369" i="3"/>
  <c r="Q369" i="3"/>
  <c r="P369" i="3"/>
  <c r="O369" i="3"/>
  <c r="G369" i="3"/>
  <c r="R368" i="3"/>
  <c r="Q368" i="3"/>
  <c r="P368" i="3"/>
  <c r="O368" i="3"/>
  <c r="G368" i="3"/>
  <c r="R367" i="3"/>
  <c r="Q367" i="3"/>
  <c r="P367" i="3"/>
  <c r="O367" i="3"/>
  <c r="G367" i="3"/>
  <c r="R366" i="3"/>
  <c r="Q366" i="3"/>
  <c r="P366" i="3"/>
  <c r="O366" i="3"/>
  <c r="G366" i="3"/>
  <c r="R365" i="3"/>
  <c r="Q365" i="3"/>
  <c r="P365" i="3"/>
  <c r="O365" i="3"/>
  <c r="G365" i="3"/>
  <c r="R364" i="3"/>
  <c r="Q364" i="3"/>
  <c r="P364" i="3"/>
  <c r="O364" i="3"/>
  <c r="G364" i="3"/>
  <c r="R363" i="3"/>
  <c r="Q363" i="3"/>
  <c r="P363" i="3"/>
  <c r="O363" i="3"/>
  <c r="G363" i="3"/>
  <c r="R362" i="3"/>
  <c r="Q362" i="3"/>
  <c r="P362" i="3"/>
  <c r="O362" i="3"/>
  <c r="G362" i="3"/>
  <c r="R361" i="3"/>
  <c r="Q361" i="3"/>
  <c r="P361" i="3"/>
  <c r="O361" i="3"/>
  <c r="G361" i="3"/>
  <c r="R360" i="3"/>
  <c r="Q360" i="3"/>
  <c r="P360" i="3"/>
  <c r="O360" i="3"/>
  <c r="G360" i="3"/>
  <c r="R359" i="3"/>
  <c r="Q359" i="3"/>
  <c r="P359" i="3"/>
  <c r="O359" i="3"/>
  <c r="G359" i="3"/>
  <c r="R358" i="3"/>
  <c r="Q358" i="3"/>
  <c r="P358" i="3"/>
  <c r="O358" i="3"/>
  <c r="G358" i="3"/>
  <c r="R357" i="3"/>
  <c r="Q357" i="3"/>
  <c r="P357" i="3"/>
  <c r="O357" i="3"/>
  <c r="G357" i="3"/>
  <c r="R356" i="3"/>
  <c r="Q356" i="3"/>
  <c r="P356" i="3"/>
  <c r="O356" i="3"/>
  <c r="G356" i="3"/>
  <c r="R355" i="3"/>
  <c r="Q355" i="3"/>
  <c r="P355" i="3"/>
  <c r="O355" i="3"/>
  <c r="G355" i="3"/>
  <c r="R354" i="3"/>
  <c r="Q354" i="3"/>
  <c r="P354" i="3"/>
  <c r="O354" i="3"/>
  <c r="G354" i="3"/>
  <c r="R353" i="3"/>
  <c r="Q353" i="3"/>
  <c r="P353" i="3"/>
  <c r="O353" i="3"/>
  <c r="G353" i="3"/>
  <c r="R352" i="3"/>
  <c r="Q352" i="3"/>
  <c r="P352" i="3"/>
  <c r="O352" i="3"/>
  <c r="G352" i="3"/>
  <c r="R351" i="3"/>
  <c r="Q351" i="3"/>
  <c r="P351" i="3"/>
  <c r="O351" i="3"/>
  <c r="G351" i="3"/>
  <c r="R350" i="3"/>
  <c r="Q350" i="3"/>
  <c r="P350" i="3"/>
  <c r="O350" i="3"/>
  <c r="G350" i="3"/>
  <c r="R349" i="3"/>
  <c r="Q349" i="3"/>
  <c r="P349" i="3"/>
  <c r="O349" i="3"/>
  <c r="G349" i="3"/>
  <c r="R348" i="3"/>
  <c r="Q348" i="3"/>
  <c r="P348" i="3"/>
  <c r="O348" i="3"/>
  <c r="G348" i="3"/>
  <c r="R347" i="3"/>
  <c r="Q347" i="3"/>
  <c r="P347" i="3"/>
  <c r="O347" i="3"/>
  <c r="G347" i="3"/>
  <c r="R346" i="3"/>
  <c r="Q346" i="3"/>
  <c r="P346" i="3"/>
  <c r="O346" i="3"/>
  <c r="G346" i="3"/>
  <c r="R345" i="3"/>
  <c r="Q345" i="3"/>
  <c r="P345" i="3"/>
  <c r="O345" i="3"/>
  <c r="G345" i="3"/>
  <c r="R344" i="3"/>
  <c r="Q344" i="3"/>
  <c r="P344" i="3"/>
  <c r="O344" i="3"/>
  <c r="G344" i="3"/>
  <c r="R343" i="3"/>
  <c r="Q343" i="3"/>
  <c r="P343" i="3"/>
  <c r="O343" i="3"/>
  <c r="G343" i="3"/>
  <c r="R342" i="3"/>
  <c r="Q342" i="3"/>
  <c r="P342" i="3"/>
  <c r="O342" i="3"/>
  <c r="G342" i="3"/>
  <c r="R341" i="3"/>
  <c r="Q341" i="3"/>
  <c r="P341" i="3"/>
  <c r="O341" i="3"/>
  <c r="G341" i="3"/>
  <c r="R340" i="3"/>
  <c r="Q340" i="3"/>
  <c r="P340" i="3"/>
  <c r="O340" i="3"/>
  <c r="G340" i="3"/>
  <c r="R339" i="3"/>
  <c r="Q339" i="3"/>
  <c r="P339" i="3"/>
  <c r="O339" i="3"/>
  <c r="G339" i="3"/>
  <c r="R338" i="3"/>
  <c r="Q338" i="3"/>
  <c r="P338" i="3"/>
  <c r="O338" i="3"/>
  <c r="G338" i="3"/>
  <c r="R337" i="3"/>
  <c r="Q337" i="3"/>
  <c r="P337" i="3"/>
  <c r="O337" i="3"/>
  <c r="G337" i="3"/>
  <c r="R336" i="3"/>
  <c r="Q336" i="3"/>
  <c r="P336" i="3"/>
  <c r="O336" i="3"/>
  <c r="G336" i="3"/>
  <c r="R335" i="3"/>
  <c r="Q335" i="3"/>
  <c r="P335" i="3"/>
  <c r="O335" i="3"/>
  <c r="G335" i="3"/>
  <c r="R334" i="3"/>
  <c r="Q334" i="3"/>
  <c r="P334" i="3"/>
  <c r="O334" i="3"/>
  <c r="G334" i="3"/>
  <c r="R333" i="3"/>
  <c r="Q333" i="3"/>
  <c r="P333" i="3"/>
  <c r="O333" i="3"/>
  <c r="G333" i="3"/>
  <c r="R332" i="3"/>
  <c r="Q332" i="3"/>
  <c r="P332" i="3"/>
  <c r="O332" i="3"/>
  <c r="G332" i="3"/>
  <c r="R331" i="3"/>
  <c r="Q331" i="3"/>
  <c r="P331" i="3"/>
  <c r="O331" i="3"/>
  <c r="G331" i="3"/>
  <c r="R330" i="3"/>
  <c r="Q330" i="3"/>
  <c r="P330" i="3"/>
  <c r="O330" i="3"/>
  <c r="G330" i="3"/>
  <c r="R329" i="3"/>
  <c r="Q329" i="3"/>
  <c r="P329" i="3"/>
  <c r="O329" i="3"/>
  <c r="G329" i="3"/>
  <c r="R328" i="3"/>
  <c r="Q328" i="3"/>
  <c r="P328" i="3"/>
  <c r="O328" i="3"/>
  <c r="G328" i="3"/>
  <c r="R327" i="3"/>
  <c r="Q327" i="3"/>
  <c r="P327" i="3"/>
  <c r="O327" i="3"/>
  <c r="G327" i="3"/>
  <c r="R326" i="3"/>
  <c r="Q326" i="3"/>
  <c r="P326" i="3"/>
  <c r="O326" i="3"/>
  <c r="G326" i="3"/>
  <c r="R325" i="3"/>
  <c r="Q325" i="3"/>
  <c r="P325" i="3"/>
  <c r="O325" i="3"/>
  <c r="G325" i="3"/>
  <c r="R324" i="3"/>
  <c r="Q324" i="3"/>
  <c r="P324" i="3"/>
  <c r="O324" i="3"/>
  <c r="G324" i="3"/>
  <c r="R323" i="3"/>
  <c r="Q323" i="3"/>
  <c r="P323" i="3"/>
  <c r="O323" i="3"/>
  <c r="G323" i="3"/>
  <c r="R322" i="3"/>
  <c r="Q322" i="3"/>
  <c r="P322" i="3"/>
  <c r="O322" i="3"/>
  <c r="G322" i="3"/>
  <c r="R321" i="3"/>
  <c r="Q321" i="3"/>
  <c r="P321" i="3"/>
  <c r="O321" i="3"/>
  <c r="G321" i="3"/>
  <c r="R320" i="3"/>
  <c r="Q320" i="3"/>
  <c r="P320" i="3"/>
  <c r="O320" i="3"/>
  <c r="G320" i="3"/>
  <c r="R319" i="3"/>
  <c r="Q319" i="3"/>
  <c r="P319" i="3"/>
  <c r="O319" i="3"/>
  <c r="G319" i="3"/>
  <c r="R318" i="3"/>
  <c r="Q318" i="3"/>
  <c r="P318" i="3"/>
  <c r="O318" i="3"/>
  <c r="G318" i="3"/>
  <c r="R317" i="3"/>
  <c r="Q317" i="3"/>
  <c r="P317" i="3"/>
  <c r="O317" i="3"/>
  <c r="G317" i="3"/>
  <c r="R316" i="3"/>
  <c r="Q316" i="3"/>
  <c r="P316" i="3"/>
  <c r="O316" i="3"/>
  <c r="G316" i="3"/>
  <c r="R315" i="3"/>
  <c r="Q315" i="3"/>
  <c r="P315" i="3"/>
  <c r="O315" i="3"/>
  <c r="G315" i="3"/>
  <c r="R314" i="3"/>
  <c r="Q314" i="3"/>
  <c r="P314" i="3"/>
  <c r="O314" i="3"/>
  <c r="G314" i="3"/>
  <c r="R313" i="3"/>
  <c r="Q313" i="3"/>
  <c r="P313" i="3"/>
  <c r="O313" i="3"/>
  <c r="G313" i="3"/>
  <c r="R312" i="3"/>
  <c r="Q312" i="3"/>
  <c r="P312" i="3"/>
  <c r="O312" i="3"/>
  <c r="G312" i="3"/>
  <c r="R311" i="3"/>
  <c r="Q311" i="3"/>
  <c r="P311" i="3"/>
  <c r="O311" i="3"/>
  <c r="G311" i="3"/>
  <c r="R310" i="3"/>
  <c r="Q310" i="3"/>
  <c r="P310" i="3"/>
  <c r="O310" i="3"/>
  <c r="G310" i="3"/>
  <c r="R309" i="3"/>
  <c r="Q309" i="3"/>
  <c r="P309" i="3"/>
  <c r="O309" i="3"/>
  <c r="G309" i="3"/>
  <c r="R308" i="3"/>
  <c r="Q308" i="3"/>
  <c r="P308" i="3"/>
  <c r="O308" i="3"/>
  <c r="G308" i="3"/>
  <c r="R307" i="3"/>
  <c r="Q307" i="3"/>
  <c r="P307" i="3"/>
  <c r="O307" i="3"/>
  <c r="G307" i="3"/>
  <c r="R306" i="3"/>
  <c r="Q306" i="3"/>
  <c r="P306" i="3"/>
  <c r="O306" i="3"/>
  <c r="G306" i="3"/>
  <c r="R305" i="3"/>
  <c r="Q305" i="3"/>
  <c r="P305" i="3"/>
  <c r="O305" i="3"/>
  <c r="G305" i="3"/>
  <c r="R304" i="3"/>
  <c r="Q304" i="3"/>
  <c r="P304" i="3"/>
  <c r="O304" i="3"/>
  <c r="G304" i="3"/>
  <c r="R303" i="3"/>
  <c r="Q303" i="3"/>
  <c r="P303" i="3"/>
  <c r="O303" i="3"/>
  <c r="G303" i="3"/>
  <c r="R302" i="3"/>
  <c r="Q302" i="3"/>
  <c r="P302" i="3"/>
  <c r="O302" i="3"/>
  <c r="G302" i="3"/>
  <c r="R301" i="3"/>
  <c r="Q301" i="3"/>
  <c r="P301" i="3"/>
  <c r="O301" i="3"/>
  <c r="G301" i="3"/>
  <c r="R300" i="3"/>
  <c r="Q300" i="3"/>
  <c r="P300" i="3"/>
  <c r="O300" i="3"/>
  <c r="G300" i="3"/>
  <c r="R299" i="3"/>
  <c r="Q299" i="3"/>
  <c r="P299" i="3"/>
  <c r="O299" i="3"/>
  <c r="G299" i="3"/>
  <c r="R298" i="3"/>
  <c r="Q298" i="3"/>
  <c r="P298" i="3"/>
  <c r="O298" i="3"/>
  <c r="G298" i="3"/>
  <c r="R297" i="3"/>
  <c r="Q297" i="3"/>
  <c r="P297" i="3"/>
  <c r="O297" i="3"/>
  <c r="G297" i="3"/>
  <c r="R296" i="3"/>
  <c r="Q296" i="3"/>
  <c r="P296" i="3"/>
  <c r="O296" i="3"/>
  <c r="G296" i="3"/>
  <c r="R295" i="3"/>
  <c r="Q295" i="3"/>
  <c r="P295" i="3"/>
  <c r="O295" i="3"/>
  <c r="G295" i="3"/>
  <c r="R294" i="3"/>
  <c r="Q294" i="3"/>
  <c r="P294" i="3"/>
  <c r="O294" i="3"/>
  <c r="G294" i="3"/>
  <c r="R293" i="3"/>
  <c r="Q293" i="3"/>
  <c r="P293" i="3"/>
  <c r="O293" i="3"/>
  <c r="G293" i="3"/>
  <c r="R292" i="3"/>
  <c r="Q292" i="3"/>
  <c r="P292" i="3"/>
  <c r="O292" i="3"/>
  <c r="G292" i="3"/>
  <c r="R291" i="3"/>
  <c r="Q291" i="3"/>
  <c r="P291" i="3"/>
  <c r="O291" i="3"/>
  <c r="G291" i="3"/>
  <c r="R290" i="3"/>
  <c r="Q290" i="3"/>
  <c r="P290" i="3"/>
  <c r="O290" i="3"/>
  <c r="G290" i="3"/>
  <c r="R289" i="3"/>
  <c r="Q289" i="3"/>
  <c r="P289" i="3"/>
  <c r="O289" i="3"/>
  <c r="G289" i="3"/>
  <c r="R288" i="3"/>
  <c r="Q288" i="3"/>
  <c r="P288" i="3"/>
  <c r="O288" i="3"/>
  <c r="G288" i="3"/>
  <c r="R287" i="3"/>
  <c r="Q287" i="3"/>
  <c r="P287" i="3"/>
  <c r="O287" i="3"/>
  <c r="G287" i="3"/>
  <c r="R286" i="3"/>
  <c r="Q286" i="3"/>
  <c r="P286" i="3"/>
  <c r="O286" i="3"/>
  <c r="G286" i="3"/>
  <c r="R285" i="3"/>
  <c r="Q285" i="3"/>
  <c r="P285" i="3"/>
  <c r="O285" i="3"/>
  <c r="G285" i="3"/>
  <c r="R284" i="3"/>
  <c r="Q284" i="3"/>
  <c r="P284" i="3"/>
  <c r="O284" i="3"/>
  <c r="G284" i="3"/>
  <c r="R283" i="3"/>
  <c r="Q283" i="3"/>
  <c r="P283" i="3"/>
  <c r="O283" i="3"/>
  <c r="G283" i="3"/>
  <c r="R282" i="3"/>
  <c r="Q282" i="3"/>
  <c r="P282" i="3"/>
  <c r="O282" i="3"/>
  <c r="G282" i="3"/>
  <c r="R281" i="3"/>
  <c r="Q281" i="3"/>
  <c r="P281" i="3"/>
  <c r="O281" i="3"/>
  <c r="G281" i="3"/>
  <c r="R280" i="3"/>
  <c r="Q280" i="3"/>
  <c r="P280" i="3"/>
  <c r="O280" i="3"/>
  <c r="G280" i="3"/>
  <c r="R279" i="3"/>
  <c r="Q279" i="3"/>
  <c r="P279" i="3"/>
  <c r="O279" i="3"/>
  <c r="G279" i="3"/>
  <c r="R278" i="3"/>
  <c r="Q278" i="3"/>
  <c r="P278" i="3"/>
  <c r="O278" i="3"/>
  <c r="G278" i="3"/>
  <c r="R277" i="3"/>
  <c r="Q277" i="3"/>
  <c r="P277" i="3"/>
  <c r="O277" i="3"/>
  <c r="G277" i="3"/>
  <c r="R276" i="3"/>
  <c r="Q276" i="3"/>
  <c r="P276" i="3"/>
  <c r="O276" i="3"/>
  <c r="G276" i="3"/>
  <c r="R275" i="3"/>
  <c r="Q275" i="3"/>
  <c r="P275" i="3"/>
  <c r="O275" i="3"/>
  <c r="G275" i="3"/>
  <c r="R274" i="3"/>
  <c r="Q274" i="3"/>
  <c r="P274" i="3"/>
  <c r="O274" i="3"/>
  <c r="G274" i="3"/>
  <c r="R273" i="3"/>
  <c r="Q273" i="3"/>
  <c r="P273" i="3"/>
  <c r="O273" i="3"/>
  <c r="G273" i="3"/>
  <c r="R272" i="3"/>
  <c r="Q272" i="3"/>
  <c r="P272" i="3"/>
  <c r="O272" i="3"/>
  <c r="G272" i="3"/>
  <c r="R271" i="3"/>
  <c r="Q271" i="3"/>
  <c r="P271" i="3"/>
  <c r="O271" i="3"/>
  <c r="G271" i="3"/>
  <c r="R270" i="3"/>
  <c r="Q270" i="3"/>
  <c r="P270" i="3"/>
  <c r="O270" i="3"/>
  <c r="G270" i="3"/>
  <c r="R269" i="3"/>
  <c r="Q269" i="3"/>
  <c r="P269" i="3"/>
  <c r="O269" i="3"/>
  <c r="G269" i="3"/>
  <c r="R268" i="3"/>
  <c r="Q268" i="3"/>
  <c r="P268" i="3"/>
  <c r="O268" i="3"/>
  <c r="G268" i="3"/>
  <c r="R267" i="3"/>
  <c r="Q267" i="3"/>
  <c r="P267" i="3"/>
  <c r="O267" i="3"/>
  <c r="G267" i="3"/>
  <c r="R266" i="3"/>
  <c r="Q266" i="3"/>
  <c r="P266" i="3"/>
  <c r="O266" i="3"/>
  <c r="G266" i="3"/>
  <c r="R265" i="3"/>
  <c r="Q265" i="3"/>
  <c r="P265" i="3"/>
  <c r="O265" i="3"/>
  <c r="G265" i="3"/>
  <c r="R264" i="3"/>
  <c r="Q264" i="3"/>
  <c r="P264" i="3"/>
  <c r="O264" i="3"/>
  <c r="G264" i="3"/>
  <c r="R263" i="3"/>
  <c r="Q263" i="3"/>
  <c r="P263" i="3"/>
  <c r="O263" i="3"/>
  <c r="G263" i="3"/>
  <c r="R262" i="3"/>
  <c r="Q262" i="3"/>
  <c r="P262" i="3"/>
  <c r="O262" i="3"/>
  <c r="G262" i="3"/>
  <c r="R261" i="3"/>
  <c r="Q261" i="3"/>
  <c r="P261" i="3"/>
  <c r="O261" i="3"/>
  <c r="G261" i="3"/>
  <c r="R260" i="3"/>
  <c r="Q260" i="3"/>
  <c r="P260" i="3"/>
  <c r="O260" i="3"/>
  <c r="G260" i="3"/>
  <c r="R259" i="3"/>
  <c r="Q259" i="3"/>
  <c r="P259" i="3"/>
  <c r="O259" i="3"/>
  <c r="G259" i="3"/>
  <c r="R258" i="3"/>
  <c r="Q258" i="3"/>
  <c r="P258" i="3"/>
  <c r="O258" i="3"/>
  <c r="G258" i="3"/>
  <c r="R257" i="3"/>
  <c r="Q257" i="3"/>
  <c r="P257" i="3"/>
  <c r="O257" i="3"/>
  <c r="G257" i="3"/>
  <c r="R256" i="3"/>
  <c r="Q256" i="3"/>
  <c r="P256" i="3"/>
  <c r="O256" i="3"/>
  <c r="G256" i="3"/>
  <c r="R255" i="3"/>
  <c r="Q255" i="3"/>
  <c r="P255" i="3"/>
  <c r="O255" i="3"/>
  <c r="G255" i="3"/>
  <c r="R254" i="3"/>
  <c r="Q254" i="3"/>
  <c r="P254" i="3"/>
  <c r="O254" i="3"/>
  <c r="G254" i="3"/>
  <c r="R253" i="3"/>
  <c r="Q253" i="3"/>
  <c r="P253" i="3"/>
  <c r="O253" i="3"/>
  <c r="G253" i="3"/>
  <c r="R252" i="3"/>
  <c r="Q252" i="3"/>
  <c r="P252" i="3"/>
  <c r="O252" i="3"/>
  <c r="G252" i="3"/>
  <c r="R251" i="3"/>
  <c r="Q251" i="3"/>
  <c r="P251" i="3"/>
  <c r="O251" i="3"/>
  <c r="G251" i="3"/>
  <c r="R250" i="3"/>
  <c r="Q250" i="3"/>
  <c r="P250" i="3"/>
  <c r="O250" i="3"/>
  <c r="G250" i="3"/>
  <c r="R249" i="3"/>
  <c r="Q249" i="3"/>
  <c r="P249" i="3"/>
  <c r="O249" i="3"/>
  <c r="G249" i="3"/>
  <c r="R248" i="3"/>
  <c r="Q248" i="3"/>
  <c r="P248" i="3"/>
  <c r="O248" i="3"/>
  <c r="G248" i="3"/>
  <c r="R247" i="3"/>
  <c r="Q247" i="3"/>
  <c r="P247" i="3"/>
  <c r="O247" i="3"/>
  <c r="G247" i="3"/>
  <c r="R246" i="3"/>
  <c r="Q246" i="3"/>
  <c r="P246" i="3"/>
  <c r="O246" i="3"/>
  <c r="G246" i="3"/>
  <c r="R245" i="3"/>
  <c r="Q245" i="3"/>
  <c r="P245" i="3"/>
  <c r="O245" i="3"/>
  <c r="G245" i="3"/>
  <c r="R244" i="3"/>
  <c r="Q244" i="3"/>
  <c r="P244" i="3"/>
  <c r="O244" i="3"/>
  <c r="G244" i="3"/>
  <c r="R243" i="3"/>
  <c r="Q243" i="3"/>
  <c r="P243" i="3"/>
  <c r="O243" i="3"/>
  <c r="G243" i="3"/>
  <c r="R242" i="3"/>
  <c r="Q242" i="3"/>
  <c r="P242" i="3"/>
  <c r="O242" i="3"/>
  <c r="G242" i="3"/>
  <c r="R241" i="3"/>
  <c r="Q241" i="3"/>
  <c r="P241" i="3"/>
  <c r="O241" i="3"/>
  <c r="G241" i="3"/>
  <c r="R240" i="3"/>
  <c r="Q240" i="3"/>
  <c r="P240" i="3"/>
  <c r="O240" i="3"/>
  <c r="G240" i="3"/>
  <c r="R239" i="3"/>
  <c r="Q239" i="3"/>
  <c r="P239" i="3"/>
  <c r="O239" i="3"/>
  <c r="G239" i="3"/>
  <c r="R238" i="3"/>
  <c r="Q238" i="3"/>
  <c r="P238" i="3"/>
  <c r="O238" i="3"/>
  <c r="G238" i="3"/>
  <c r="R237" i="3"/>
  <c r="Q237" i="3"/>
  <c r="P237" i="3"/>
  <c r="O237" i="3"/>
  <c r="G237" i="3"/>
  <c r="R236" i="3"/>
  <c r="Q236" i="3"/>
  <c r="P236" i="3"/>
  <c r="O236" i="3"/>
  <c r="G236" i="3"/>
  <c r="R235" i="3"/>
  <c r="Q235" i="3"/>
  <c r="P235" i="3"/>
  <c r="O235" i="3"/>
  <c r="G235" i="3"/>
  <c r="R234" i="3"/>
  <c r="Q234" i="3"/>
  <c r="P234" i="3"/>
  <c r="O234" i="3"/>
  <c r="G234" i="3"/>
  <c r="R233" i="3"/>
  <c r="Q233" i="3"/>
  <c r="P233" i="3"/>
  <c r="O233" i="3"/>
  <c r="G233" i="3"/>
  <c r="R232" i="3"/>
  <c r="Q232" i="3"/>
  <c r="P232" i="3"/>
  <c r="O232" i="3"/>
  <c r="G232" i="3"/>
  <c r="R231" i="3"/>
  <c r="Q231" i="3"/>
  <c r="P231" i="3"/>
  <c r="O231" i="3"/>
  <c r="G231" i="3"/>
  <c r="R230" i="3"/>
  <c r="Q230" i="3"/>
  <c r="P230" i="3"/>
  <c r="O230" i="3"/>
  <c r="G230" i="3"/>
  <c r="R229" i="3"/>
  <c r="Q229" i="3"/>
  <c r="P229" i="3"/>
  <c r="O229" i="3"/>
  <c r="G229" i="3"/>
  <c r="R228" i="3"/>
  <c r="Q228" i="3"/>
  <c r="P228" i="3"/>
  <c r="O228" i="3"/>
  <c r="G228" i="3"/>
  <c r="R227" i="3"/>
  <c r="Q227" i="3"/>
  <c r="P227" i="3"/>
  <c r="O227" i="3"/>
  <c r="G227" i="3"/>
  <c r="R226" i="3"/>
  <c r="Q226" i="3"/>
  <c r="P226" i="3"/>
  <c r="O226" i="3"/>
  <c r="G226" i="3"/>
  <c r="R225" i="3"/>
  <c r="Q225" i="3"/>
  <c r="P225" i="3"/>
  <c r="O225" i="3"/>
  <c r="G225" i="3"/>
  <c r="R224" i="3"/>
  <c r="Q224" i="3"/>
  <c r="P224" i="3"/>
  <c r="O224" i="3"/>
  <c r="G224" i="3"/>
  <c r="R223" i="3"/>
  <c r="Q223" i="3"/>
  <c r="P223" i="3"/>
  <c r="O223" i="3"/>
  <c r="G223" i="3"/>
  <c r="R222" i="3"/>
  <c r="Q222" i="3"/>
  <c r="P222" i="3"/>
  <c r="O222" i="3"/>
  <c r="G222" i="3"/>
  <c r="R221" i="3"/>
  <c r="Q221" i="3"/>
  <c r="P221" i="3"/>
  <c r="O221" i="3"/>
  <c r="G221" i="3"/>
  <c r="R220" i="3"/>
  <c r="Q220" i="3"/>
  <c r="P220" i="3"/>
  <c r="O220" i="3"/>
  <c r="G220" i="3"/>
  <c r="R219" i="3"/>
  <c r="Q219" i="3"/>
  <c r="P219" i="3"/>
  <c r="O219" i="3"/>
  <c r="G219" i="3"/>
  <c r="R218" i="3"/>
  <c r="Q218" i="3"/>
  <c r="P218" i="3"/>
  <c r="O218" i="3"/>
  <c r="G218" i="3"/>
  <c r="R217" i="3"/>
  <c r="Q217" i="3"/>
  <c r="P217" i="3"/>
  <c r="O217" i="3"/>
  <c r="G217" i="3"/>
  <c r="R216" i="3"/>
  <c r="Q216" i="3"/>
  <c r="P216" i="3"/>
  <c r="O216" i="3"/>
  <c r="G216" i="3"/>
  <c r="R215" i="3"/>
  <c r="Q215" i="3"/>
  <c r="P215" i="3"/>
  <c r="O215" i="3"/>
  <c r="G215" i="3"/>
  <c r="R214" i="3"/>
  <c r="Q214" i="3"/>
  <c r="P214" i="3"/>
  <c r="O214" i="3"/>
  <c r="G214" i="3"/>
  <c r="R213" i="3"/>
  <c r="Q213" i="3"/>
  <c r="P213" i="3"/>
  <c r="O213" i="3"/>
  <c r="G213" i="3"/>
  <c r="R212" i="3"/>
  <c r="Q212" i="3"/>
  <c r="P212" i="3"/>
  <c r="O212" i="3"/>
  <c r="G212" i="3"/>
  <c r="R211" i="3"/>
  <c r="Q211" i="3"/>
  <c r="P211" i="3"/>
  <c r="O211" i="3"/>
  <c r="G211" i="3"/>
  <c r="R210" i="3"/>
  <c r="Q210" i="3"/>
  <c r="P210" i="3"/>
  <c r="O210" i="3"/>
  <c r="G210" i="3"/>
  <c r="R209" i="3"/>
  <c r="Q209" i="3"/>
  <c r="P209" i="3"/>
  <c r="O209" i="3"/>
  <c r="G209" i="3"/>
  <c r="R208" i="3"/>
  <c r="Q208" i="3"/>
  <c r="P208" i="3"/>
  <c r="O208" i="3"/>
  <c r="G208" i="3"/>
  <c r="R207" i="3"/>
  <c r="Q207" i="3"/>
  <c r="P207" i="3"/>
  <c r="O207" i="3"/>
  <c r="G207" i="3"/>
  <c r="R206" i="3"/>
  <c r="Q206" i="3"/>
  <c r="P206" i="3"/>
  <c r="O206" i="3"/>
  <c r="G206" i="3"/>
  <c r="R205" i="3"/>
  <c r="Q205" i="3"/>
  <c r="P205" i="3"/>
  <c r="O205" i="3"/>
  <c r="G205" i="3"/>
  <c r="R204" i="3"/>
  <c r="Q204" i="3"/>
  <c r="P204" i="3"/>
  <c r="O204" i="3"/>
  <c r="G204" i="3"/>
  <c r="R203" i="3"/>
  <c r="Q203" i="3"/>
  <c r="P203" i="3"/>
  <c r="O203" i="3"/>
  <c r="G203" i="3"/>
  <c r="R202" i="3"/>
  <c r="Q202" i="3"/>
  <c r="P202" i="3"/>
  <c r="O202" i="3"/>
  <c r="G202" i="3"/>
  <c r="R201" i="3"/>
  <c r="Q201" i="3"/>
  <c r="P201" i="3"/>
  <c r="O201" i="3"/>
  <c r="G201" i="3"/>
  <c r="R200" i="3"/>
  <c r="Q200" i="3"/>
  <c r="P200" i="3"/>
  <c r="O200" i="3"/>
  <c r="G200" i="3"/>
  <c r="R199" i="3"/>
  <c r="Q199" i="3"/>
  <c r="P199" i="3"/>
  <c r="O199" i="3"/>
  <c r="G199" i="3"/>
  <c r="R198" i="3"/>
  <c r="Q198" i="3"/>
  <c r="P198" i="3"/>
  <c r="O198" i="3"/>
  <c r="G198" i="3"/>
  <c r="R197" i="3"/>
  <c r="Q197" i="3"/>
  <c r="P197" i="3"/>
  <c r="O197" i="3"/>
  <c r="G197" i="3"/>
  <c r="R196" i="3"/>
  <c r="Q196" i="3"/>
  <c r="P196" i="3"/>
  <c r="O196" i="3"/>
  <c r="G196" i="3"/>
  <c r="R195" i="3"/>
  <c r="Q195" i="3"/>
  <c r="P195" i="3"/>
  <c r="O195" i="3"/>
  <c r="G195" i="3"/>
  <c r="R194" i="3"/>
  <c r="Q194" i="3"/>
  <c r="P194" i="3"/>
  <c r="O194" i="3"/>
  <c r="G194" i="3"/>
  <c r="R193" i="3"/>
  <c r="Q193" i="3"/>
  <c r="P193" i="3"/>
  <c r="O193" i="3"/>
  <c r="G193" i="3"/>
  <c r="R192" i="3"/>
  <c r="Q192" i="3"/>
  <c r="P192" i="3"/>
  <c r="O192" i="3"/>
  <c r="G192" i="3"/>
  <c r="R191" i="3"/>
  <c r="Q191" i="3"/>
  <c r="P191" i="3"/>
  <c r="O191" i="3"/>
  <c r="G191" i="3"/>
  <c r="R190" i="3"/>
  <c r="Q190" i="3"/>
  <c r="P190" i="3"/>
  <c r="O190" i="3"/>
  <c r="G190" i="3"/>
  <c r="R189" i="3"/>
  <c r="Q189" i="3"/>
  <c r="P189" i="3"/>
  <c r="O189" i="3"/>
  <c r="G189" i="3"/>
  <c r="R188" i="3"/>
  <c r="Q188" i="3"/>
  <c r="P188" i="3"/>
  <c r="O188" i="3"/>
  <c r="G188" i="3"/>
  <c r="R187" i="3"/>
  <c r="Q187" i="3"/>
  <c r="P187" i="3"/>
  <c r="O187" i="3"/>
  <c r="G187" i="3"/>
  <c r="R186" i="3"/>
  <c r="Q186" i="3"/>
  <c r="P186" i="3"/>
  <c r="O186" i="3"/>
  <c r="G186" i="3"/>
  <c r="R185" i="3"/>
  <c r="Q185" i="3"/>
  <c r="P185" i="3"/>
  <c r="O185" i="3"/>
  <c r="G185" i="3"/>
  <c r="R184" i="3"/>
  <c r="Q184" i="3"/>
  <c r="P184" i="3"/>
  <c r="O184" i="3"/>
  <c r="G184" i="3"/>
  <c r="R183" i="3"/>
  <c r="Q183" i="3"/>
  <c r="P183" i="3"/>
  <c r="O183" i="3"/>
  <c r="G183" i="3"/>
  <c r="R182" i="3"/>
  <c r="Q182" i="3"/>
  <c r="P182" i="3"/>
  <c r="O182" i="3"/>
  <c r="G182" i="3"/>
  <c r="R181" i="3"/>
  <c r="Q181" i="3"/>
  <c r="P181" i="3"/>
  <c r="O181" i="3"/>
  <c r="G181" i="3"/>
  <c r="R180" i="3"/>
  <c r="Q180" i="3"/>
  <c r="P180" i="3"/>
  <c r="O180" i="3"/>
  <c r="G180" i="3"/>
  <c r="R179" i="3"/>
  <c r="Q179" i="3"/>
  <c r="P179" i="3"/>
  <c r="O179" i="3"/>
  <c r="G179" i="3"/>
  <c r="R178" i="3"/>
  <c r="Q178" i="3"/>
  <c r="P178" i="3"/>
  <c r="O178" i="3"/>
  <c r="G178" i="3"/>
  <c r="R177" i="3"/>
  <c r="Q177" i="3"/>
  <c r="P177" i="3"/>
  <c r="O177" i="3"/>
  <c r="G177" i="3"/>
  <c r="R176" i="3"/>
  <c r="Q176" i="3"/>
  <c r="P176" i="3"/>
  <c r="O176" i="3"/>
  <c r="G176" i="3"/>
  <c r="R175" i="3"/>
  <c r="Q175" i="3"/>
  <c r="P175" i="3"/>
  <c r="O175" i="3"/>
  <c r="G175" i="3"/>
  <c r="R174" i="3"/>
  <c r="Q174" i="3"/>
  <c r="P174" i="3"/>
  <c r="O174" i="3"/>
  <c r="G174" i="3"/>
  <c r="R173" i="3"/>
  <c r="Q173" i="3"/>
  <c r="P173" i="3"/>
  <c r="O173" i="3"/>
  <c r="G173" i="3"/>
  <c r="R172" i="3"/>
  <c r="Q172" i="3"/>
  <c r="P172" i="3"/>
  <c r="O172" i="3"/>
  <c r="G172" i="3"/>
  <c r="R171" i="3"/>
  <c r="Q171" i="3"/>
  <c r="P171" i="3"/>
  <c r="O171" i="3"/>
  <c r="G171" i="3"/>
  <c r="R170" i="3"/>
  <c r="Q170" i="3"/>
  <c r="P170" i="3"/>
  <c r="O170" i="3"/>
  <c r="G170" i="3"/>
  <c r="R169" i="3"/>
  <c r="Q169" i="3"/>
  <c r="P169" i="3"/>
  <c r="O169" i="3"/>
  <c r="G169" i="3"/>
  <c r="R168" i="3"/>
  <c r="Q168" i="3"/>
  <c r="P168" i="3"/>
  <c r="O168" i="3"/>
  <c r="G168" i="3"/>
  <c r="R167" i="3"/>
  <c r="Q167" i="3"/>
  <c r="P167" i="3"/>
  <c r="O167" i="3"/>
  <c r="G167" i="3"/>
  <c r="R166" i="3"/>
  <c r="Q166" i="3"/>
  <c r="P166" i="3"/>
  <c r="O166" i="3"/>
  <c r="G166" i="3"/>
  <c r="R165" i="3"/>
  <c r="Q165" i="3"/>
  <c r="P165" i="3"/>
  <c r="O165" i="3"/>
  <c r="G165" i="3"/>
  <c r="R164" i="3"/>
  <c r="Q164" i="3"/>
  <c r="P164" i="3"/>
  <c r="O164" i="3"/>
  <c r="G164" i="3"/>
  <c r="R163" i="3"/>
  <c r="Q163" i="3"/>
  <c r="P163" i="3"/>
  <c r="O163" i="3"/>
  <c r="G163" i="3"/>
  <c r="R162" i="3"/>
  <c r="Q162" i="3"/>
  <c r="P162" i="3"/>
  <c r="O162" i="3"/>
  <c r="G162" i="3"/>
  <c r="R161" i="3"/>
  <c r="Q161" i="3"/>
  <c r="P161" i="3"/>
  <c r="O161" i="3"/>
  <c r="G161" i="3"/>
  <c r="R160" i="3"/>
  <c r="Q160" i="3"/>
  <c r="P160" i="3"/>
  <c r="O160" i="3"/>
  <c r="G160" i="3"/>
  <c r="R159" i="3"/>
  <c r="Q159" i="3"/>
  <c r="P159" i="3"/>
  <c r="O159" i="3"/>
  <c r="G159" i="3"/>
  <c r="R158" i="3"/>
  <c r="Q158" i="3"/>
  <c r="P158" i="3"/>
  <c r="O158" i="3"/>
  <c r="G158" i="3"/>
  <c r="R157" i="3"/>
  <c r="Q157" i="3"/>
  <c r="P157" i="3"/>
  <c r="O157" i="3"/>
  <c r="G157" i="3"/>
  <c r="R156" i="3"/>
  <c r="Q156" i="3"/>
  <c r="P156" i="3"/>
  <c r="O156" i="3"/>
  <c r="G156" i="3"/>
  <c r="R155" i="3"/>
  <c r="Q155" i="3"/>
  <c r="P155" i="3"/>
  <c r="O155" i="3"/>
  <c r="G155" i="3"/>
  <c r="R154" i="3"/>
  <c r="Q154" i="3"/>
  <c r="P154" i="3"/>
  <c r="O154" i="3"/>
  <c r="G154" i="3"/>
  <c r="R153" i="3"/>
  <c r="Q153" i="3"/>
  <c r="P153" i="3"/>
  <c r="O153" i="3"/>
  <c r="G153" i="3"/>
  <c r="R152" i="3"/>
  <c r="Q152" i="3"/>
  <c r="P152" i="3"/>
  <c r="O152" i="3"/>
  <c r="G152" i="3"/>
  <c r="R151" i="3"/>
  <c r="Q151" i="3"/>
  <c r="P151" i="3"/>
  <c r="O151" i="3"/>
  <c r="G151" i="3"/>
  <c r="R150" i="3"/>
  <c r="Q150" i="3"/>
  <c r="P150" i="3"/>
  <c r="O150" i="3"/>
  <c r="G150" i="3"/>
  <c r="R149" i="3"/>
  <c r="Q149" i="3"/>
  <c r="P149" i="3"/>
  <c r="O149" i="3"/>
  <c r="G149" i="3"/>
  <c r="R148" i="3"/>
  <c r="Q148" i="3"/>
  <c r="P148" i="3"/>
  <c r="O148" i="3"/>
  <c r="G148" i="3"/>
  <c r="R147" i="3"/>
  <c r="Q147" i="3"/>
  <c r="P147" i="3"/>
  <c r="O147" i="3"/>
  <c r="G147" i="3"/>
  <c r="R146" i="3"/>
  <c r="Q146" i="3"/>
  <c r="P146" i="3"/>
  <c r="O146" i="3"/>
  <c r="G146" i="3"/>
  <c r="R145" i="3"/>
  <c r="Q145" i="3"/>
  <c r="P145" i="3"/>
  <c r="O145" i="3"/>
  <c r="G145" i="3"/>
  <c r="R144" i="3"/>
  <c r="Q144" i="3"/>
  <c r="P144" i="3"/>
  <c r="O144" i="3"/>
  <c r="G144" i="3"/>
  <c r="R143" i="3"/>
  <c r="Q143" i="3"/>
  <c r="P143" i="3"/>
  <c r="O143" i="3"/>
  <c r="G143" i="3"/>
  <c r="R142" i="3"/>
  <c r="Q142" i="3"/>
  <c r="P142" i="3"/>
  <c r="O142" i="3"/>
  <c r="G142" i="3"/>
  <c r="R141" i="3"/>
  <c r="Q141" i="3"/>
  <c r="P141" i="3"/>
  <c r="O141" i="3"/>
  <c r="G141" i="3"/>
  <c r="R140" i="3"/>
  <c r="Q140" i="3"/>
  <c r="P140" i="3"/>
  <c r="O140" i="3"/>
  <c r="G140" i="3"/>
  <c r="R139" i="3"/>
  <c r="Q139" i="3"/>
  <c r="P139" i="3"/>
  <c r="O139" i="3"/>
  <c r="G139" i="3"/>
  <c r="R138" i="3"/>
  <c r="Q138" i="3"/>
  <c r="P138" i="3"/>
  <c r="O138" i="3"/>
  <c r="G138" i="3"/>
  <c r="R137" i="3"/>
  <c r="Q137" i="3"/>
  <c r="P137" i="3"/>
  <c r="O137" i="3"/>
  <c r="G137" i="3"/>
  <c r="R136" i="3"/>
  <c r="Q136" i="3"/>
  <c r="P136" i="3"/>
  <c r="O136" i="3"/>
  <c r="G136" i="3"/>
  <c r="R135" i="3"/>
  <c r="Q135" i="3"/>
  <c r="P135" i="3"/>
  <c r="O135" i="3"/>
  <c r="G135" i="3"/>
  <c r="R134" i="3"/>
  <c r="Q134" i="3"/>
  <c r="P134" i="3"/>
  <c r="O134" i="3"/>
  <c r="G134" i="3"/>
  <c r="R133" i="3"/>
  <c r="Q133" i="3"/>
  <c r="P133" i="3"/>
  <c r="O133" i="3"/>
  <c r="G133" i="3"/>
  <c r="R132" i="3"/>
  <c r="Q132" i="3"/>
  <c r="P132" i="3"/>
  <c r="O132" i="3"/>
  <c r="G132" i="3"/>
  <c r="R131" i="3"/>
  <c r="Q131" i="3"/>
  <c r="P131" i="3"/>
  <c r="O131" i="3"/>
  <c r="G131" i="3"/>
  <c r="R130" i="3"/>
  <c r="Q130" i="3"/>
  <c r="P130" i="3"/>
  <c r="O130" i="3"/>
  <c r="G130" i="3"/>
  <c r="R129" i="3"/>
  <c r="Q129" i="3"/>
  <c r="P129" i="3"/>
  <c r="O129" i="3"/>
  <c r="G129" i="3"/>
  <c r="R128" i="3"/>
  <c r="Q128" i="3"/>
  <c r="P128" i="3"/>
  <c r="O128" i="3"/>
  <c r="G128" i="3"/>
  <c r="R127" i="3"/>
  <c r="Q127" i="3"/>
  <c r="P127" i="3"/>
  <c r="O127" i="3"/>
  <c r="G127" i="3"/>
  <c r="R126" i="3"/>
  <c r="Q126" i="3"/>
  <c r="P126" i="3"/>
  <c r="O126" i="3"/>
  <c r="G126" i="3"/>
  <c r="R125" i="3"/>
  <c r="Q125" i="3"/>
  <c r="P125" i="3"/>
  <c r="O125" i="3"/>
  <c r="G125" i="3"/>
  <c r="R124" i="3"/>
  <c r="Q124" i="3"/>
  <c r="P124" i="3"/>
  <c r="O124" i="3"/>
  <c r="G124" i="3"/>
  <c r="R123" i="3"/>
  <c r="Q123" i="3"/>
  <c r="P123" i="3"/>
  <c r="O123" i="3"/>
  <c r="G123" i="3"/>
  <c r="R122" i="3"/>
  <c r="Q122" i="3"/>
  <c r="P122" i="3"/>
  <c r="O122" i="3"/>
  <c r="G122" i="3"/>
  <c r="R121" i="3"/>
  <c r="Q121" i="3"/>
  <c r="P121" i="3"/>
  <c r="O121" i="3"/>
  <c r="G121" i="3"/>
  <c r="R120" i="3"/>
  <c r="Q120" i="3"/>
  <c r="P120" i="3"/>
  <c r="O120" i="3"/>
  <c r="G120" i="3"/>
  <c r="R119" i="3"/>
  <c r="Q119" i="3"/>
  <c r="P119" i="3"/>
  <c r="O119" i="3"/>
  <c r="G119" i="3"/>
  <c r="R118" i="3"/>
  <c r="Q118" i="3"/>
  <c r="P118" i="3"/>
  <c r="O118" i="3"/>
  <c r="G118" i="3"/>
  <c r="R117" i="3"/>
  <c r="Q117" i="3"/>
  <c r="P117" i="3"/>
  <c r="O117" i="3"/>
  <c r="G117" i="3"/>
  <c r="R116" i="3"/>
  <c r="Q116" i="3"/>
  <c r="P116" i="3"/>
  <c r="O116" i="3"/>
  <c r="G116" i="3"/>
  <c r="R115" i="3"/>
  <c r="Q115" i="3"/>
  <c r="P115" i="3"/>
  <c r="O115" i="3"/>
  <c r="G115" i="3"/>
  <c r="R114" i="3"/>
  <c r="Q114" i="3"/>
  <c r="P114" i="3"/>
  <c r="O114" i="3"/>
  <c r="G114" i="3"/>
  <c r="R113" i="3"/>
  <c r="Q113" i="3"/>
  <c r="P113" i="3"/>
  <c r="O113" i="3"/>
  <c r="G113" i="3"/>
  <c r="R112" i="3"/>
  <c r="Q112" i="3"/>
  <c r="P112" i="3"/>
  <c r="O112" i="3"/>
  <c r="G112" i="3"/>
  <c r="R111" i="3"/>
  <c r="Q111" i="3"/>
  <c r="P111" i="3"/>
  <c r="O111" i="3"/>
  <c r="G111" i="3"/>
  <c r="R110" i="3"/>
  <c r="Q110" i="3"/>
  <c r="P110" i="3"/>
  <c r="O110" i="3"/>
  <c r="G110" i="3"/>
  <c r="R109" i="3"/>
  <c r="Q109" i="3"/>
  <c r="P109" i="3"/>
  <c r="O109" i="3"/>
  <c r="G109" i="3"/>
  <c r="R108" i="3"/>
  <c r="Q108" i="3"/>
  <c r="P108" i="3"/>
  <c r="O108" i="3"/>
  <c r="G108" i="3"/>
  <c r="R107" i="3"/>
  <c r="Q107" i="3"/>
  <c r="P107" i="3"/>
  <c r="O107" i="3"/>
  <c r="G107" i="3"/>
  <c r="R106" i="3"/>
  <c r="Q106" i="3"/>
  <c r="P106" i="3"/>
  <c r="O106" i="3"/>
  <c r="G106" i="3"/>
  <c r="R105" i="3"/>
  <c r="Q105" i="3"/>
  <c r="P105" i="3"/>
  <c r="O105" i="3"/>
  <c r="G105" i="3"/>
  <c r="R104" i="3"/>
  <c r="Q104" i="3"/>
  <c r="P104" i="3"/>
  <c r="O104" i="3"/>
  <c r="G104" i="3"/>
  <c r="R103" i="3"/>
  <c r="Q103" i="3"/>
  <c r="P103" i="3"/>
  <c r="O103" i="3"/>
  <c r="G103" i="3"/>
  <c r="R102" i="3"/>
  <c r="Q102" i="3"/>
  <c r="P102" i="3"/>
  <c r="O102" i="3"/>
  <c r="G102" i="3"/>
  <c r="R101" i="3"/>
  <c r="Q101" i="3"/>
  <c r="P101" i="3"/>
  <c r="O101" i="3"/>
  <c r="G101" i="3"/>
  <c r="R100" i="3"/>
  <c r="Q100" i="3"/>
  <c r="P100" i="3"/>
  <c r="O100" i="3"/>
  <c r="G100" i="3"/>
  <c r="R99" i="3"/>
  <c r="Q99" i="3"/>
  <c r="P99" i="3"/>
  <c r="O99" i="3"/>
  <c r="G99" i="3"/>
  <c r="R98" i="3"/>
  <c r="Q98" i="3"/>
  <c r="P98" i="3"/>
  <c r="O98" i="3"/>
  <c r="G98" i="3"/>
  <c r="R97" i="3"/>
  <c r="Q97" i="3"/>
  <c r="P97" i="3"/>
  <c r="O97" i="3"/>
  <c r="G97" i="3"/>
  <c r="R96" i="3"/>
  <c r="Q96" i="3"/>
  <c r="P96" i="3"/>
  <c r="O96" i="3"/>
  <c r="G96" i="3"/>
  <c r="R95" i="3"/>
  <c r="Q95" i="3"/>
  <c r="P95" i="3"/>
  <c r="O95" i="3"/>
  <c r="G95" i="3"/>
  <c r="R94" i="3"/>
  <c r="Q94" i="3"/>
  <c r="P94" i="3"/>
  <c r="O94" i="3"/>
  <c r="G94" i="3"/>
  <c r="R93" i="3"/>
  <c r="Q93" i="3"/>
  <c r="P93" i="3"/>
  <c r="O93" i="3"/>
  <c r="G93" i="3"/>
  <c r="R92" i="3"/>
  <c r="Q92" i="3"/>
  <c r="P92" i="3"/>
  <c r="O92" i="3"/>
  <c r="G92" i="3"/>
  <c r="R91" i="3"/>
  <c r="Q91" i="3"/>
  <c r="P91" i="3"/>
  <c r="O91" i="3"/>
  <c r="G91" i="3"/>
  <c r="R90" i="3"/>
  <c r="Q90" i="3"/>
  <c r="P90" i="3"/>
  <c r="O90" i="3"/>
  <c r="G90" i="3"/>
  <c r="R89" i="3"/>
  <c r="Q89" i="3"/>
  <c r="P89" i="3"/>
  <c r="O89" i="3"/>
  <c r="G89" i="3"/>
  <c r="R88" i="3"/>
  <c r="Q88" i="3"/>
  <c r="P88" i="3"/>
  <c r="O88" i="3"/>
  <c r="G88" i="3"/>
  <c r="R87" i="3"/>
  <c r="Q87" i="3"/>
  <c r="P87" i="3"/>
  <c r="O87" i="3"/>
  <c r="G87" i="3"/>
  <c r="R86" i="3"/>
  <c r="Q86" i="3"/>
  <c r="P86" i="3"/>
  <c r="O86" i="3"/>
  <c r="G86" i="3"/>
  <c r="R85" i="3"/>
  <c r="Q85" i="3"/>
  <c r="P85" i="3"/>
  <c r="O85" i="3"/>
  <c r="G85" i="3"/>
  <c r="R84" i="3"/>
  <c r="Q84" i="3"/>
  <c r="P84" i="3"/>
  <c r="O84" i="3"/>
  <c r="G84" i="3"/>
  <c r="R83" i="3"/>
  <c r="Q83" i="3"/>
  <c r="P83" i="3"/>
  <c r="O83" i="3"/>
  <c r="G83" i="3"/>
  <c r="R82" i="3"/>
  <c r="Q82" i="3"/>
  <c r="P82" i="3"/>
  <c r="O82" i="3"/>
  <c r="G82" i="3"/>
  <c r="R81" i="3"/>
  <c r="Q81" i="3"/>
  <c r="P81" i="3"/>
  <c r="O81" i="3"/>
  <c r="G81" i="3"/>
  <c r="R80" i="3"/>
  <c r="Q80" i="3"/>
  <c r="P80" i="3"/>
  <c r="O80" i="3"/>
  <c r="G80" i="3"/>
  <c r="R79" i="3"/>
  <c r="Q79" i="3"/>
  <c r="P79" i="3"/>
  <c r="O79" i="3"/>
  <c r="G79" i="3"/>
  <c r="R78" i="3"/>
  <c r="Q78" i="3"/>
  <c r="P78" i="3"/>
  <c r="O78" i="3"/>
  <c r="G78" i="3"/>
  <c r="R77" i="3"/>
  <c r="Q77" i="3"/>
  <c r="P77" i="3"/>
  <c r="O77" i="3"/>
  <c r="G77" i="3"/>
  <c r="R76" i="3"/>
  <c r="Q76" i="3"/>
  <c r="P76" i="3"/>
  <c r="O76" i="3"/>
  <c r="G76" i="3"/>
  <c r="R75" i="3"/>
  <c r="Q75" i="3"/>
  <c r="P75" i="3"/>
  <c r="O75" i="3"/>
  <c r="G75" i="3"/>
  <c r="R74" i="3"/>
  <c r="Q74" i="3"/>
  <c r="P74" i="3"/>
  <c r="O74" i="3"/>
  <c r="G74" i="3"/>
  <c r="R73" i="3"/>
  <c r="Q73" i="3"/>
  <c r="P73" i="3"/>
  <c r="O73" i="3"/>
  <c r="G73" i="3"/>
  <c r="R72" i="3"/>
  <c r="Q72" i="3"/>
  <c r="P72" i="3"/>
  <c r="O72" i="3"/>
  <c r="G72" i="3"/>
  <c r="R71" i="3"/>
  <c r="Q71" i="3"/>
  <c r="P71" i="3"/>
  <c r="O71" i="3"/>
  <c r="G71" i="3"/>
  <c r="R70" i="3"/>
  <c r="Q70" i="3"/>
  <c r="P70" i="3"/>
  <c r="O70" i="3"/>
  <c r="G70" i="3"/>
  <c r="R69" i="3"/>
  <c r="Q69" i="3"/>
  <c r="P69" i="3"/>
  <c r="O69" i="3"/>
  <c r="G69" i="3"/>
  <c r="R68" i="3"/>
  <c r="Q68" i="3"/>
  <c r="P68" i="3"/>
  <c r="O68" i="3"/>
  <c r="G68" i="3"/>
  <c r="R67" i="3"/>
  <c r="Q67" i="3"/>
  <c r="P67" i="3"/>
  <c r="O67" i="3"/>
  <c r="G67" i="3"/>
  <c r="R66" i="3"/>
  <c r="Q66" i="3"/>
  <c r="P66" i="3"/>
  <c r="O66" i="3"/>
  <c r="G66" i="3"/>
  <c r="R65" i="3"/>
  <c r="Q65" i="3"/>
  <c r="P65" i="3"/>
  <c r="O65" i="3"/>
  <c r="G65" i="3"/>
  <c r="R64" i="3"/>
  <c r="Q64" i="3"/>
  <c r="P64" i="3"/>
  <c r="O64" i="3"/>
  <c r="G64" i="3"/>
  <c r="R63" i="3"/>
  <c r="Q63" i="3"/>
  <c r="P63" i="3"/>
  <c r="O63" i="3"/>
  <c r="G63" i="3"/>
  <c r="R62" i="3"/>
  <c r="Q62" i="3"/>
  <c r="P62" i="3"/>
  <c r="O62" i="3"/>
  <c r="G62" i="3"/>
  <c r="R61" i="3"/>
  <c r="Q61" i="3"/>
  <c r="P61" i="3"/>
  <c r="O61" i="3"/>
  <c r="G61" i="3"/>
  <c r="R60" i="3"/>
  <c r="Q60" i="3"/>
  <c r="P60" i="3"/>
  <c r="O60" i="3"/>
  <c r="G60" i="3"/>
  <c r="R59" i="3"/>
  <c r="Q59" i="3"/>
  <c r="P59" i="3"/>
  <c r="O59" i="3"/>
  <c r="G59" i="3"/>
  <c r="R58" i="3"/>
  <c r="Q58" i="3"/>
  <c r="P58" i="3"/>
  <c r="O58" i="3"/>
  <c r="G58" i="3"/>
  <c r="R57" i="3"/>
  <c r="Q57" i="3"/>
  <c r="P57" i="3"/>
  <c r="O57" i="3"/>
  <c r="G57" i="3"/>
  <c r="R56" i="3"/>
  <c r="Q56" i="3"/>
  <c r="P56" i="3"/>
  <c r="O56" i="3"/>
  <c r="G56" i="3"/>
  <c r="R55" i="3"/>
  <c r="Q55" i="3"/>
  <c r="P55" i="3"/>
  <c r="O55" i="3"/>
  <c r="G55" i="3"/>
  <c r="R54" i="3"/>
  <c r="Q54" i="3"/>
  <c r="P54" i="3"/>
  <c r="O54" i="3"/>
  <c r="G54" i="3"/>
  <c r="R53" i="3"/>
  <c r="Q53" i="3"/>
  <c r="P53" i="3"/>
  <c r="O53" i="3"/>
  <c r="G53" i="3"/>
  <c r="R52" i="3"/>
  <c r="Q52" i="3"/>
  <c r="P52" i="3"/>
  <c r="O52" i="3"/>
  <c r="G52" i="3"/>
  <c r="R51" i="3"/>
  <c r="Q51" i="3"/>
  <c r="P51" i="3"/>
  <c r="O51" i="3"/>
  <c r="G51" i="3"/>
  <c r="R50" i="3"/>
  <c r="Q50" i="3"/>
  <c r="P50" i="3"/>
  <c r="O50" i="3"/>
  <c r="G50" i="3"/>
  <c r="R49" i="3"/>
  <c r="Q49" i="3"/>
  <c r="P49" i="3"/>
  <c r="O49" i="3"/>
  <c r="G49" i="3"/>
  <c r="R48" i="3"/>
  <c r="Q48" i="3"/>
  <c r="P48" i="3"/>
  <c r="O48" i="3"/>
  <c r="G48" i="3"/>
  <c r="R47" i="3"/>
  <c r="Q47" i="3"/>
  <c r="P47" i="3"/>
  <c r="O47" i="3"/>
  <c r="G47" i="3"/>
  <c r="R46" i="3"/>
  <c r="Q46" i="3"/>
  <c r="P46" i="3"/>
  <c r="O46" i="3"/>
  <c r="G46" i="3"/>
  <c r="R45" i="3"/>
  <c r="Q45" i="3"/>
  <c r="P45" i="3"/>
  <c r="O45" i="3"/>
  <c r="G45" i="3"/>
  <c r="R44" i="3"/>
  <c r="Q44" i="3"/>
  <c r="P44" i="3"/>
  <c r="O44" i="3"/>
  <c r="G44" i="3"/>
  <c r="R43" i="3"/>
  <c r="Q43" i="3"/>
  <c r="P43" i="3"/>
  <c r="O43" i="3"/>
  <c r="G43" i="3"/>
  <c r="R42" i="3"/>
  <c r="Q42" i="3"/>
  <c r="P42" i="3"/>
  <c r="O42" i="3"/>
  <c r="G42" i="3"/>
  <c r="R41" i="3"/>
  <c r="Q41" i="3"/>
  <c r="P41" i="3"/>
  <c r="O41" i="3"/>
  <c r="G41" i="3"/>
  <c r="R40" i="3"/>
  <c r="Q40" i="3"/>
  <c r="P40" i="3"/>
  <c r="O40" i="3"/>
  <c r="G40" i="3"/>
  <c r="R39" i="3"/>
  <c r="Q39" i="3"/>
  <c r="P39" i="3"/>
  <c r="O39" i="3"/>
  <c r="G39" i="3"/>
  <c r="R38" i="3"/>
  <c r="Q38" i="3"/>
  <c r="P38" i="3"/>
  <c r="O38" i="3"/>
  <c r="G38" i="3"/>
  <c r="R37" i="3"/>
  <c r="Q37" i="3"/>
  <c r="P37" i="3"/>
  <c r="O37" i="3"/>
  <c r="G37" i="3"/>
  <c r="R36" i="3"/>
  <c r="Q36" i="3"/>
  <c r="P36" i="3"/>
  <c r="O36" i="3"/>
  <c r="G36" i="3"/>
  <c r="R35" i="3"/>
  <c r="Q35" i="3"/>
  <c r="P35" i="3"/>
  <c r="O35" i="3"/>
  <c r="G35" i="3"/>
  <c r="R34" i="3"/>
  <c r="Q34" i="3"/>
  <c r="P34" i="3"/>
  <c r="O34" i="3"/>
  <c r="G34" i="3"/>
  <c r="R33" i="3"/>
  <c r="Q33" i="3"/>
  <c r="P33" i="3"/>
  <c r="O33" i="3"/>
  <c r="G33" i="3"/>
  <c r="R32" i="3"/>
  <c r="Q32" i="3"/>
  <c r="P32" i="3"/>
  <c r="O32" i="3"/>
  <c r="G32" i="3"/>
  <c r="R31" i="3"/>
  <c r="Q31" i="3"/>
  <c r="P31" i="3"/>
  <c r="O31" i="3"/>
  <c r="G31" i="3"/>
  <c r="R30" i="3"/>
  <c r="Q30" i="3"/>
  <c r="P30" i="3"/>
  <c r="O30" i="3"/>
  <c r="G30" i="3"/>
  <c r="R29" i="3"/>
  <c r="Q29" i="3"/>
  <c r="P29" i="3"/>
  <c r="O29" i="3"/>
  <c r="G29" i="3"/>
  <c r="R28" i="3"/>
  <c r="Q28" i="3"/>
  <c r="P28" i="3"/>
  <c r="O28" i="3"/>
  <c r="G28" i="3"/>
  <c r="R27" i="3"/>
  <c r="Q27" i="3"/>
  <c r="P27" i="3"/>
  <c r="O27" i="3"/>
  <c r="G27" i="3"/>
  <c r="R26" i="3"/>
  <c r="Q26" i="3"/>
  <c r="P26" i="3"/>
  <c r="O26" i="3"/>
  <c r="G26" i="3"/>
  <c r="R25" i="3"/>
  <c r="Q25" i="3"/>
  <c r="P25" i="3"/>
  <c r="O25" i="3"/>
  <c r="G25" i="3"/>
  <c r="R24" i="3"/>
  <c r="Q24" i="3"/>
  <c r="P24" i="3"/>
  <c r="O24" i="3"/>
  <c r="G24" i="3"/>
  <c r="R23" i="3"/>
  <c r="Q23" i="3"/>
  <c r="P23" i="3"/>
  <c r="O23" i="3"/>
  <c r="G23" i="3"/>
  <c r="R22" i="3"/>
  <c r="Q22" i="3"/>
  <c r="P22" i="3"/>
  <c r="O22" i="3"/>
  <c r="G22" i="3"/>
  <c r="R21" i="3"/>
  <c r="Q21" i="3"/>
  <c r="P21" i="3"/>
  <c r="O21" i="3"/>
  <c r="G21" i="3"/>
  <c r="R20" i="3"/>
  <c r="Q20" i="3"/>
  <c r="P20" i="3"/>
  <c r="O20" i="3"/>
  <c r="G20" i="3"/>
  <c r="R19" i="3"/>
  <c r="Q19" i="3"/>
  <c r="P19" i="3"/>
  <c r="O19" i="3"/>
  <c r="G19" i="3"/>
  <c r="R18" i="3"/>
  <c r="Q18" i="3"/>
  <c r="P18" i="3"/>
  <c r="O18" i="3"/>
  <c r="G18" i="3"/>
  <c r="R17" i="3"/>
  <c r="Q17" i="3"/>
  <c r="P17" i="3"/>
  <c r="O17" i="3"/>
  <c r="G17" i="3"/>
  <c r="R16" i="3"/>
  <c r="Q16" i="3"/>
  <c r="P16" i="3"/>
  <c r="O16" i="3"/>
  <c r="G16" i="3"/>
  <c r="R15" i="3"/>
  <c r="Q15" i="3"/>
  <c r="P15" i="3"/>
  <c r="O15" i="3"/>
  <c r="G15" i="3"/>
  <c r="R14" i="3"/>
  <c r="Q14" i="3"/>
  <c r="P14" i="3"/>
  <c r="O14" i="3"/>
  <c r="G14" i="3"/>
  <c r="R13" i="3"/>
  <c r="Q13" i="3"/>
  <c r="P13" i="3"/>
  <c r="O13" i="3"/>
  <c r="G13" i="3"/>
  <c r="R12" i="3"/>
  <c r="Q12" i="3"/>
  <c r="P12" i="3"/>
  <c r="O12" i="3"/>
  <c r="G12" i="3"/>
  <c r="R11" i="3"/>
  <c r="Q11" i="3"/>
  <c r="P11" i="3"/>
  <c r="O11" i="3"/>
  <c r="G11" i="3"/>
  <c r="R10" i="3"/>
  <c r="Q10" i="3"/>
  <c r="P10" i="3"/>
  <c r="O10" i="3"/>
  <c r="G10" i="3"/>
  <c r="R9" i="3"/>
  <c r="Q9" i="3"/>
  <c r="P9" i="3"/>
  <c r="O9" i="3"/>
  <c r="G9" i="3"/>
  <c r="R8" i="3"/>
  <c r="Q8" i="3"/>
  <c r="P8" i="3"/>
  <c r="O8" i="3"/>
  <c r="G8" i="3"/>
  <c r="R7" i="3"/>
  <c r="Q7" i="3"/>
  <c r="P7" i="3"/>
  <c r="O7" i="3"/>
  <c r="G7" i="3"/>
  <c r="R6" i="3"/>
  <c r="Q6" i="3"/>
  <c r="P6" i="3"/>
  <c r="O6" i="3"/>
  <c r="G6" i="3"/>
  <c r="R5" i="3"/>
  <c r="Q5" i="3"/>
  <c r="P5" i="3"/>
  <c r="O5" i="3"/>
  <c r="G5" i="3"/>
  <c r="R4" i="3"/>
  <c r="Q4" i="3"/>
  <c r="P4" i="3"/>
  <c r="O4" i="3"/>
  <c r="G4" i="3"/>
  <c r="R3" i="3"/>
  <c r="Q3" i="3"/>
  <c r="P3" i="3"/>
  <c r="B10" i="1" s="1"/>
  <c r="O3" i="3"/>
  <c r="G3" i="3"/>
  <c r="R2" i="3"/>
  <c r="Q2" i="3"/>
  <c r="B10" i="4" s="1"/>
  <c r="P2" i="3"/>
  <c r="O2" i="3"/>
  <c r="G2" i="3"/>
  <c r="B9" i="1" s="1"/>
  <c r="B8" i="1"/>
  <c r="B7" i="1"/>
  <c r="B6" i="1"/>
  <c r="B5" i="1"/>
  <c r="B5" i="4" l="1"/>
  <c r="B6" i="4"/>
  <c r="B7" i="4"/>
  <c r="B8" i="4"/>
  <c r="B9" i="4"/>
</calcChain>
</file>

<file path=xl/sharedStrings.xml><?xml version="1.0" encoding="utf-8"?>
<sst xmlns="http://schemas.openxmlformats.org/spreadsheetml/2006/main" count="33004" uniqueCount="1663">
  <si>
    <t>Car Price Analysis</t>
  </si>
  <si>
    <t>Project Summary</t>
  </si>
  <si>
    <t>Raw rows</t>
  </si>
  <si>
    <t>Clean rows</t>
  </si>
  <si>
    <t>Distinct Sale IDs</t>
  </si>
  <si>
    <t>Average Selling Price</t>
  </si>
  <si>
    <t>Average Price Difference</t>
  </si>
  <si>
    <t>Rows with Duplicate Sale IDs</t>
  </si>
  <si>
    <t>What this workbook demonstrates</t>
  </si>
  <si>
    <t>• Raw data is preserved for transparency, while headers and layout are cleaned for readability.</t>
  </si>
  <si>
    <t>• Clean_Data standardizes text, dates, numbers, regions, colors, and owner values.</t>
  </si>
  <si>
    <t>• Duplicate Sale IDs are flagged instead of deleted, so no transaction rows are lost.</t>
  </si>
  <si>
    <t>• Summary tables and charts are linked directly to the cleaned dataset.</t>
  </si>
  <si>
    <t>Key cleaning rules</t>
  </si>
  <si>
    <t>• 7 car model names standardized.</t>
  </si>
  <si>
    <t>• Fuel Type, Transmission, Seller Type, Region, and Color normalized.</t>
  </si>
  <si>
    <t>• Currency and km text removed from numeric fields.</t>
  </si>
  <si>
    <t>• Outliers and duplicate Sale IDs flagged with formulas.</t>
  </si>
  <si>
    <t>Sale_Id</t>
  </si>
  <si>
    <t>Sale_Date</t>
  </si>
  <si>
    <t>Car_Model</t>
  </si>
  <si>
    <t>Year</t>
  </si>
  <si>
    <t>Selling_Price</t>
  </si>
  <si>
    <t>Present_Price</t>
  </si>
  <si>
    <t>Km_Driven</t>
  </si>
  <si>
    <t>Fuel_Type</t>
  </si>
  <si>
    <t>Transmission</t>
  </si>
  <si>
    <t>Seller_Type</t>
  </si>
  <si>
    <t>Region</t>
  </si>
  <si>
    <t>Color</t>
  </si>
  <si>
    <t>Owner</t>
  </si>
  <si>
    <t>2021-10-13</t>
  </si>
  <si>
    <t>Honda Civic</t>
  </si>
  <si>
    <t>25000 km</t>
  </si>
  <si>
    <t>Electric</t>
  </si>
  <si>
    <t>Manual</t>
  </si>
  <si>
    <t>Dealer</t>
  </si>
  <si>
    <t>EU</t>
  </si>
  <si>
    <t>white</t>
  </si>
  <si>
    <t>2024-01-22</t>
  </si>
  <si>
    <t>Toyota Corolla</t>
  </si>
  <si>
    <t>Petrol</t>
  </si>
  <si>
    <t>manual</t>
  </si>
  <si>
    <t>private</t>
  </si>
  <si>
    <t>asia</t>
  </si>
  <si>
    <t>Silver</t>
  </si>
  <si>
    <t>2021-07-18</t>
  </si>
  <si>
    <t>focus</t>
  </si>
  <si>
    <t>South America</t>
  </si>
  <si>
    <t>black</t>
  </si>
  <si>
    <t>2021-05-23</t>
  </si>
  <si>
    <t>Audi A4</t>
  </si>
  <si>
    <t xml:space="preserve">2018 </t>
  </si>
  <si>
    <t>diesel</t>
  </si>
  <si>
    <t>Asia</t>
  </si>
  <si>
    <t>blue</t>
  </si>
  <si>
    <t>2022-07-01</t>
  </si>
  <si>
    <t>Ford Focus</t>
  </si>
  <si>
    <t>Diesel</t>
  </si>
  <si>
    <t>automatic</t>
  </si>
  <si>
    <t>2023-04-02</t>
  </si>
  <si>
    <t xml:space="preserve">audi a4 </t>
  </si>
  <si>
    <t>$11416</t>
  </si>
  <si>
    <t>hybrid</t>
  </si>
  <si>
    <t>2024-01-09</t>
  </si>
  <si>
    <t>bmw 3 series</t>
  </si>
  <si>
    <t>dealer</t>
  </si>
  <si>
    <t>2023-05-15</t>
  </si>
  <si>
    <t>toyota corolla</t>
  </si>
  <si>
    <t>Hybrid</t>
  </si>
  <si>
    <t>2023-07-19</t>
  </si>
  <si>
    <t>2023-12-23</t>
  </si>
  <si>
    <t>Automatic</t>
  </si>
  <si>
    <t>Europe</t>
  </si>
  <si>
    <t>2021-09-15</t>
  </si>
  <si>
    <t xml:space="preserve">Corolla </t>
  </si>
  <si>
    <t>15000 km</t>
  </si>
  <si>
    <t>north america</t>
  </si>
  <si>
    <t>2022-04-06</t>
  </si>
  <si>
    <t>Volkswagen Golf</t>
  </si>
  <si>
    <t>2022-07-25</t>
  </si>
  <si>
    <t>9000 usd</t>
  </si>
  <si>
    <t>2023-04-22</t>
  </si>
  <si>
    <t>26000 usd</t>
  </si>
  <si>
    <t>petrol</t>
  </si>
  <si>
    <t>2022-01-11</t>
  </si>
  <si>
    <t>$28249</t>
  </si>
  <si>
    <t>31000 usd</t>
  </si>
  <si>
    <t>2024-01-16</t>
  </si>
  <si>
    <t>15000 usd</t>
  </si>
  <si>
    <t>White</t>
  </si>
  <si>
    <t>2024-03-12</t>
  </si>
  <si>
    <t>60000 km</t>
  </si>
  <si>
    <t>2021-05-29</t>
  </si>
  <si>
    <t>golf</t>
  </si>
  <si>
    <t>2021-11-20</t>
  </si>
  <si>
    <t>Private</t>
  </si>
  <si>
    <t>2022-03-08</t>
  </si>
  <si>
    <t>Blue</t>
  </si>
  <si>
    <t>2022-06-21</t>
  </si>
  <si>
    <t>North America</t>
  </si>
  <si>
    <t>2021-03-27</t>
  </si>
  <si>
    <t>2021-12-29</t>
  </si>
  <si>
    <t>Mercedes C Class</t>
  </si>
  <si>
    <t>$9669</t>
  </si>
  <si>
    <t>2022-12-18</t>
  </si>
  <si>
    <t>2022-11-10</t>
  </si>
  <si>
    <t>$20608</t>
  </si>
  <si>
    <t>120000 km</t>
  </si>
  <si>
    <t>silver</t>
  </si>
  <si>
    <t>2022-01-25</t>
  </si>
  <si>
    <t>$3277</t>
  </si>
  <si>
    <t>2023-11-05</t>
  </si>
  <si>
    <t>2022-03-07</t>
  </si>
  <si>
    <t>2022-09-28</t>
  </si>
  <si>
    <t>22000 usd</t>
  </si>
  <si>
    <t>SA</t>
  </si>
  <si>
    <t>2021-10-30</t>
  </si>
  <si>
    <t>2023-12-24</t>
  </si>
  <si>
    <t>BMW 3 Series</t>
  </si>
  <si>
    <t>2022-05-05</t>
  </si>
  <si>
    <t>80000 km</t>
  </si>
  <si>
    <t>2021-05-12</t>
  </si>
  <si>
    <t>2024-01-08</t>
  </si>
  <si>
    <t>2023-12-30</t>
  </si>
  <si>
    <t>2022-11-01</t>
  </si>
  <si>
    <t>Black</t>
  </si>
  <si>
    <t>2021-03-24</t>
  </si>
  <si>
    <t>2021-08-23</t>
  </si>
  <si>
    <t>18000 usd</t>
  </si>
  <si>
    <t>40000 km</t>
  </si>
  <si>
    <t>2021-09-05</t>
  </si>
  <si>
    <t>2023-07-31</t>
  </si>
  <si>
    <t xml:space="preserve">C-Class </t>
  </si>
  <si>
    <t>2023-07-13</t>
  </si>
  <si>
    <t>2022-07-20</t>
  </si>
  <si>
    <t>$14710</t>
  </si>
  <si>
    <t>2023-04-09</t>
  </si>
  <si>
    <t>mercedes c class</t>
  </si>
  <si>
    <t>2022-01-30</t>
  </si>
  <si>
    <t>$16012</t>
  </si>
  <si>
    <t>2023-01-10</t>
  </si>
  <si>
    <t>2023-06-22</t>
  </si>
  <si>
    <t>$13079</t>
  </si>
  <si>
    <t>2021-06-24</t>
  </si>
  <si>
    <t>$8511</t>
  </si>
  <si>
    <t>2022-03-02</t>
  </si>
  <si>
    <t>7000 usd</t>
  </si>
  <si>
    <t>2022-08-03</t>
  </si>
  <si>
    <t>$3640</t>
  </si>
  <si>
    <t>2022-09-22</t>
  </si>
  <si>
    <t>2022-05-28</t>
  </si>
  <si>
    <t>$3360</t>
  </si>
  <si>
    <t>2023-10-05</t>
  </si>
  <si>
    <t>2022-10-07</t>
  </si>
  <si>
    <t>2021-04-16</t>
  </si>
  <si>
    <t>2021-08-21</t>
  </si>
  <si>
    <t>2023-11-07</t>
  </si>
  <si>
    <t>2023-02-20</t>
  </si>
  <si>
    <t>2023-07-25</t>
  </si>
  <si>
    <t>2023-12-29</t>
  </si>
  <si>
    <t>2021-07-25</t>
  </si>
  <si>
    <t>$19809</t>
  </si>
  <si>
    <t>2022-01-04</t>
  </si>
  <si>
    <t>honda civic</t>
  </si>
  <si>
    <t>$19415</t>
  </si>
  <si>
    <t>2023-08-11</t>
  </si>
  <si>
    <t>2022-05-01</t>
  </si>
  <si>
    <t>2022-12-23</t>
  </si>
  <si>
    <t>2023-05-01</t>
  </si>
  <si>
    <t>2021-06-04</t>
  </si>
  <si>
    <t>2022-09-11</t>
  </si>
  <si>
    <t>$4197</t>
  </si>
  <si>
    <t>2024-01-12</t>
  </si>
  <si>
    <t>2023-01-13</t>
  </si>
  <si>
    <t>2021-02-13</t>
  </si>
  <si>
    <t>2021-09-24</t>
  </si>
  <si>
    <t>2021-09-17</t>
  </si>
  <si>
    <t>2023-12-04</t>
  </si>
  <si>
    <t>2021-05-15</t>
  </si>
  <si>
    <t>2024-02-04</t>
  </si>
  <si>
    <t>2023-08-30</t>
  </si>
  <si>
    <t>$15750</t>
  </si>
  <si>
    <t>2023-05-17</t>
  </si>
  <si>
    <t>2023-05-29</t>
  </si>
  <si>
    <t>2021-10-21</t>
  </si>
  <si>
    <t>2022-10-27</t>
  </si>
  <si>
    <t>2021-08-22</t>
  </si>
  <si>
    <t>2021-10-09</t>
  </si>
  <si>
    <t>2023-06-13</t>
  </si>
  <si>
    <t>2023-08-01</t>
  </si>
  <si>
    <t>$15937</t>
  </si>
  <si>
    <t>2021-04-26</t>
  </si>
  <si>
    <t>2022-01-21</t>
  </si>
  <si>
    <t>2023-12-07</t>
  </si>
  <si>
    <t>2021-11-04</t>
  </si>
  <si>
    <t>$22936</t>
  </si>
  <si>
    <t>2023-12-15</t>
  </si>
  <si>
    <t>2022-08-29</t>
  </si>
  <si>
    <t>2021-03-31</t>
  </si>
  <si>
    <t>2021-09-13</t>
  </si>
  <si>
    <t>$3774</t>
  </si>
  <si>
    <t>2023-02-05</t>
  </si>
  <si>
    <t>2023-07-08</t>
  </si>
  <si>
    <t>12000 usd</t>
  </si>
  <si>
    <t>2022-05-04</t>
  </si>
  <si>
    <t>2022-12-24</t>
  </si>
  <si>
    <t>2023-03-04</t>
  </si>
  <si>
    <t>2023-08-10</t>
  </si>
  <si>
    <t>2024-01-18</t>
  </si>
  <si>
    <t>2022-01-18</t>
  </si>
  <si>
    <t>2021-06-13</t>
  </si>
  <si>
    <t>2021-04-28</t>
  </si>
  <si>
    <t>2024-03-07</t>
  </si>
  <si>
    <t>2021-02-23</t>
  </si>
  <si>
    <t>2021-12-20</t>
  </si>
  <si>
    <t>2022-04-05</t>
  </si>
  <si>
    <t>2023-03-27</t>
  </si>
  <si>
    <t>2023-10-27</t>
  </si>
  <si>
    <t>2022-07-17</t>
  </si>
  <si>
    <t>2021-04-04</t>
  </si>
  <si>
    <t>2021-05-30</t>
  </si>
  <si>
    <t>$21285</t>
  </si>
  <si>
    <t>2021-08-06</t>
  </si>
  <si>
    <t>2022-10-03</t>
  </si>
  <si>
    <t>2021-04-10</t>
  </si>
  <si>
    <t>2021-04-03</t>
  </si>
  <si>
    <t>$18003</t>
  </si>
  <si>
    <t>2023-03-18</t>
  </si>
  <si>
    <t>2022-11-14</t>
  </si>
  <si>
    <t>2023-12-27</t>
  </si>
  <si>
    <t>2024-04-10</t>
  </si>
  <si>
    <t>$13580</t>
  </si>
  <si>
    <t>2023-04-26</t>
  </si>
  <si>
    <t>2022-03-01</t>
  </si>
  <si>
    <t>2021-06-11</t>
  </si>
  <si>
    <t>2022-02-13</t>
  </si>
  <si>
    <t>2022-01-17</t>
  </si>
  <si>
    <t>2021-08-19</t>
  </si>
  <si>
    <t>$28421</t>
  </si>
  <si>
    <t>2021-07-15</t>
  </si>
  <si>
    <t>2023-01-07</t>
  </si>
  <si>
    <t>$646</t>
  </si>
  <si>
    <t>2023-07-21</t>
  </si>
  <si>
    <t>2023-11-02</t>
  </si>
  <si>
    <t>2021-05-11</t>
  </si>
  <si>
    <t>2023-02-09</t>
  </si>
  <si>
    <t>2023-08-07</t>
  </si>
  <si>
    <t>2022-05-08</t>
  </si>
  <si>
    <t>$24872</t>
  </si>
  <si>
    <t>2022-04-25</t>
  </si>
  <si>
    <t>2021-12-25</t>
  </si>
  <si>
    <t>2022-05-09</t>
  </si>
  <si>
    <t>2022-11-08</t>
  </si>
  <si>
    <t>2022-11-13</t>
  </si>
  <si>
    <t>2023-01-06</t>
  </si>
  <si>
    <t>2021-02-03</t>
  </si>
  <si>
    <t>2023-10-02</t>
  </si>
  <si>
    <t>$16998</t>
  </si>
  <si>
    <t>$2622</t>
  </si>
  <si>
    <t>2023-12-21</t>
  </si>
  <si>
    <t>2023-03-24</t>
  </si>
  <si>
    <t>2021-01-20</t>
  </si>
  <si>
    <t>$24784</t>
  </si>
  <si>
    <t>2021-06-02</t>
  </si>
  <si>
    <t>2024-01-13</t>
  </si>
  <si>
    <t>$15972</t>
  </si>
  <si>
    <t>2022-08-28</t>
  </si>
  <si>
    <t>2021-07-29</t>
  </si>
  <si>
    <t>$27791</t>
  </si>
  <si>
    <t>2022-08-21</t>
  </si>
  <si>
    <t>2021-10-26</t>
  </si>
  <si>
    <t>$12961</t>
  </si>
  <si>
    <t>2021-01-14</t>
  </si>
  <si>
    <t>2021-12-30</t>
  </si>
  <si>
    <t>2024-01-23</t>
  </si>
  <si>
    <t>2021-11-12</t>
  </si>
  <si>
    <t>2022-12-29</t>
  </si>
  <si>
    <t>2023-03-13</t>
  </si>
  <si>
    <t>2022-12-04</t>
  </si>
  <si>
    <t>2021-08-12</t>
  </si>
  <si>
    <t>2023-06-05</t>
  </si>
  <si>
    <t>$5754</t>
  </si>
  <si>
    <t>2023-01-20</t>
  </si>
  <si>
    <t>$6469</t>
  </si>
  <si>
    <t>2021-10-10</t>
  </si>
  <si>
    <t>2021-03-08</t>
  </si>
  <si>
    <t>2024-01-24</t>
  </si>
  <si>
    <t>2022-12-20</t>
  </si>
  <si>
    <t>$6281</t>
  </si>
  <si>
    <t>2022-07-02</t>
  </si>
  <si>
    <t>2023-09-30</t>
  </si>
  <si>
    <t>2021-01-06</t>
  </si>
  <si>
    <t>2022-11-23</t>
  </si>
  <si>
    <t>2023-05-27</t>
  </si>
  <si>
    <t>2022-09-18</t>
  </si>
  <si>
    <t>2021-09-04</t>
  </si>
  <si>
    <t>2021-10-20</t>
  </si>
  <si>
    <t>2021-09-10</t>
  </si>
  <si>
    <t>2023-11-10</t>
  </si>
  <si>
    <t>2021-09-28</t>
  </si>
  <si>
    <t>2023-11-04</t>
  </si>
  <si>
    <t>2021-11-15</t>
  </si>
  <si>
    <t>2021-04-23</t>
  </si>
  <si>
    <t>2021-08-30</t>
  </si>
  <si>
    <t>2023-01-24</t>
  </si>
  <si>
    <t>2021-04-18</t>
  </si>
  <si>
    <t>2022-02-15</t>
  </si>
  <si>
    <t>2022-04-23</t>
  </si>
  <si>
    <t>2022-07-28</t>
  </si>
  <si>
    <t>$28834</t>
  </si>
  <si>
    <t>2024-03-08</t>
  </si>
  <si>
    <t>2024-04-12</t>
  </si>
  <si>
    <t>$6885</t>
  </si>
  <si>
    <t>2021-11-19</t>
  </si>
  <si>
    <t>2021-03-05</t>
  </si>
  <si>
    <t>2023-02-02</t>
  </si>
  <si>
    <t>2021-12-11</t>
  </si>
  <si>
    <t>2022-05-19</t>
  </si>
  <si>
    <t>2021-12-27</t>
  </si>
  <si>
    <t>2021-10-18</t>
  </si>
  <si>
    <t>2023-09-25</t>
  </si>
  <si>
    <t>$7422</t>
  </si>
  <si>
    <t>2024-03-19</t>
  </si>
  <si>
    <t>2022-10-17</t>
  </si>
  <si>
    <t>2021-01-03</t>
  </si>
  <si>
    <t>2021-05-31</t>
  </si>
  <si>
    <t>2023-06-03</t>
  </si>
  <si>
    <t>2021-07-16</t>
  </si>
  <si>
    <t>2021-12-16</t>
  </si>
  <si>
    <t>$17974</t>
  </si>
  <si>
    <t>2024-02-08</t>
  </si>
  <si>
    <t>2021-12-21</t>
  </si>
  <si>
    <t>2024-02-14</t>
  </si>
  <si>
    <t>2024-04-08</t>
  </si>
  <si>
    <t>2022-07-19</t>
  </si>
  <si>
    <t>$28590</t>
  </si>
  <si>
    <t>2022-09-29</t>
  </si>
  <si>
    <t>2022-03-09</t>
  </si>
  <si>
    <t>2022-02-16</t>
  </si>
  <si>
    <t>2023-09-29</t>
  </si>
  <si>
    <t>$2949</t>
  </si>
  <si>
    <t>2022-03-15</t>
  </si>
  <si>
    <t>2023-02-06</t>
  </si>
  <si>
    <t>2023-11-26</t>
  </si>
  <si>
    <t>2024-04-09</t>
  </si>
  <si>
    <t>2022-06-14</t>
  </si>
  <si>
    <t>2022-08-26</t>
  </si>
  <si>
    <t>2021-04-29</t>
  </si>
  <si>
    <t>2021-03-19</t>
  </si>
  <si>
    <t>$29962</t>
  </si>
  <si>
    <t>2023-02-25</t>
  </si>
  <si>
    <t>$6985</t>
  </si>
  <si>
    <t>2021-03-18</t>
  </si>
  <si>
    <t>2024-01-26</t>
  </si>
  <si>
    <t>$2112</t>
  </si>
  <si>
    <t>2023-09-07</t>
  </si>
  <si>
    <t>2021-03-01</t>
  </si>
  <si>
    <t>2022-10-19</t>
  </si>
  <si>
    <t>2021-09-01</t>
  </si>
  <si>
    <t>2023-07-24</t>
  </si>
  <si>
    <t>2023-07-26</t>
  </si>
  <si>
    <t>2024-04-13</t>
  </si>
  <si>
    <t>2021-09-29</t>
  </si>
  <si>
    <t>2021-02-21</t>
  </si>
  <si>
    <t>$5128</t>
  </si>
  <si>
    <t>2021-01-27</t>
  </si>
  <si>
    <t>2021-11-14</t>
  </si>
  <si>
    <t>$15187</t>
  </si>
  <si>
    <t>2021-05-20</t>
  </si>
  <si>
    <t>$9736</t>
  </si>
  <si>
    <t>2021-01-19</t>
  </si>
  <si>
    <t>2023-02-07</t>
  </si>
  <si>
    <t>2022-03-13</t>
  </si>
  <si>
    <t>2022-05-31</t>
  </si>
  <si>
    <t>$6542</t>
  </si>
  <si>
    <t>2021-05-10</t>
  </si>
  <si>
    <t>$7952</t>
  </si>
  <si>
    <t>$4720</t>
  </si>
  <si>
    <t>2023-03-19</t>
  </si>
  <si>
    <t>2022-01-07</t>
  </si>
  <si>
    <t>2021-09-20</t>
  </si>
  <si>
    <t>$27075</t>
  </si>
  <si>
    <t>2021-12-12</t>
  </si>
  <si>
    <t>$17011</t>
  </si>
  <si>
    <t>2023-04-10</t>
  </si>
  <si>
    <t>2021-07-05</t>
  </si>
  <si>
    <t>2023-09-26</t>
  </si>
  <si>
    <t>$19208</t>
  </si>
  <si>
    <t>2023-01-12</t>
  </si>
  <si>
    <t>2021-03-30</t>
  </si>
  <si>
    <t>2021-02-08</t>
  </si>
  <si>
    <t>2023-11-13</t>
  </si>
  <si>
    <t>$5597</t>
  </si>
  <si>
    <t>2021-07-17</t>
  </si>
  <si>
    <t>2023-12-22</t>
  </si>
  <si>
    <t>2024-01-19</t>
  </si>
  <si>
    <t>2023-04-18</t>
  </si>
  <si>
    <t>$11413</t>
  </si>
  <si>
    <t>2024-02-20</t>
  </si>
  <si>
    <t>2021-04-17</t>
  </si>
  <si>
    <t>2023-11-12</t>
  </si>
  <si>
    <t>$20199</t>
  </si>
  <si>
    <t>2024-03-23</t>
  </si>
  <si>
    <t>2023-02-12</t>
  </si>
  <si>
    <t>2022-04-16</t>
  </si>
  <si>
    <t>2022-12-26</t>
  </si>
  <si>
    <t>2022-12-31</t>
  </si>
  <si>
    <t>$16294</t>
  </si>
  <si>
    <t>2022-01-19</t>
  </si>
  <si>
    <t>2021-12-28</t>
  </si>
  <si>
    <t>2021-05-03</t>
  </si>
  <si>
    <t>2022-12-21</t>
  </si>
  <si>
    <t>2021-10-24</t>
  </si>
  <si>
    <t>2023-03-21</t>
  </si>
  <si>
    <t>$11260</t>
  </si>
  <si>
    <t>2021-06-22</t>
  </si>
  <si>
    <t>2022-07-12</t>
  </si>
  <si>
    <t>2021-07-03</t>
  </si>
  <si>
    <t>2023-09-05</t>
  </si>
  <si>
    <t>$1971</t>
  </si>
  <si>
    <t>2023-03-10</t>
  </si>
  <si>
    <t>2023-07-22</t>
  </si>
  <si>
    <t>2023-06-17</t>
  </si>
  <si>
    <t>2022-06-30</t>
  </si>
  <si>
    <t>$7541</t>
  </si>
  <si>
    <t>2021-07-12</t>
  </si>
  <si>
    <t>2022-02-11</t>
  </si>
  <si>
    <t>2023-01-04</t>
  </si>
  <si>
    <t>2024-02-10</t>
  </si>
  <si>
    <t>$25096</t>
  </si>
  <si>
    <t>2021-08-15</t>
  </si>
  <si>
    <t>2023-03-07</t>
  </si>
  <si>
    <t>2021-07-27</t>
  </si>
  <si>
    <t>2023-05-25</t>
  </si>
  <si>
    <t>$17243</t>
  </si>
  <si>
    <t>2022-10-25</t>
  </si>
  <si>
    <t>2021-11-16</t>
  </si>
  <si>
    <t>2024-03-26</t>
  </si>
  <si>
    <t>2021-01-24</t>
  </si>
  <si>
    <t>$8653</t>
  </si>
  <si>
    <t>2022-08-17</t>
  </si>
  <si>
    <t>$4462</t>
  </si>
  <si>
    <t>2022-02-10</t>
  </si>
  <si>
    <t>2022-12-15</t>
  </si>
  <si>
    <t>$10938</t>
  </si>
  <si>
    <t>2024-01-07</t>
  </si>
  <si>
    <t>$8674</t>
  </si>
  <si>
    <t>2021-07-23</t>
  </si>
  <si>
    <t>2023-03-17</t>
  </si>
  <si>
    <t>$12987</t>
  </si>
  <si>
    <t>2022-12-01</t>
  </si>
  <si>
    <t>2021-10-11</t>
  </si>
  <si>
    <t>2021-08-31</t>
  </si>
  <si>
    <t>2023-10-04</t>
  </si>
  <si>
    <t>$17826</t>
  </si>
  <si>
    <t>2022-10-28</t>
  </si>
  <si>
    <t>2023-11-29</t>
  </si>
  <si>
    <t>2021-04-22</t>
  </si>
  <si>
    <t>2022-01-02</t>
  </si>
  <si>
    <t>2023-10-17</t>
  </si>
  <si>
    <t>2022-07-24</t>
  </si>
  <si>
    <t>2023-05-04</t>
  </si>
  <si>
    <t>$7108</t>
  </si>
  <si>
    <t>2023-05-26</t>
  </si>
  <si>
    <t>$20446</t>
  </si>
  <si>
    <t>2023-12-20</t>
  </si>
  <si>
    <t>2022-11-15</t>
  </si>
  <si>
    <t>2023-08-02</t>
  </si>
  <si>
    <t>2021-11-02</t>
  </si>
  <si>
    <t>2022-07-11</t>
  </si>
  <si>
    <t>$20741</t>
  </si>
  <si>
    <t>2023-11-03</t>
  </si>
  <si>
    <t>2021-03-16</t>
  </si>
  <si>
    <t>2022-10-02</t>
  </si>
  <si>
    <t>2023-11-19</t>
  </si>
  <si>
    <t>2021-04-14</t>
  </si>
  <si>
    <t>$17366</t>
  </si>
  <si>
    <t>$18278</t>
  </si>
  <si>
    <t>2022-06-13</t>
  </si>
  <si>
    <t>2022-08-02</t>
  </si>
  <si>
    <t>2022-05-15</t>
  </si>
  <si>
    <t>$19914</t>
  </si>
  <si>
    <t>2024-03-21</t>
  </si>
  <si>
    <t>$2169</t>
  </si>
  <si>
    <t>2021-05-06</t>
  </si>
  <si>
    <t>2022-10-11</t>
  </si>
  <si>
    <t>2021-04-19</t>
  </si>
  <si>
    <t>2023-09-24</t>
  </si>
  <si>
    <t>2022-04-08</t>
  </si>
  <si>
    <t>2023-01-25</t>
  </si>
  <si>
    <t>2021-06-09</t>
  </si>
  <si>
    <t>2022-08-27</t>
  </si>
  <si>
    <t>$18109</t>
  </si>
  <si>
    <t>2021-02-25</t>
  </si>
  <si>
    <t>2023-07-04</t>
  </si>
  <si>
    <t>2023-02-24</t>
  </si>
  <si>
    <t>2021-03-26</t>
  </si>
  <si>
    <t>2022-05-11</t>
  </si>
  <si>
    <t>2024-03-05</t>
  </si>
  <si>
    <t>2023-02-23</t>
  </si>
  <si>
    <t>2021-01-02</t>
  </si>
  <si>
    <t>2021-01-07</t>
  </si>
  <si>
    <t>$17235</t>
  </si>
  <si>
    <t>2021-10-14</t>
  </si>
  <si>
    <t>$28448</t>
  </si>
  <si>
    <t>2022-03-28</t>
  </si>
  <si>
    <t>$10483</t>
  </si>
  <si>
    <t>$5339</t>
  </si>
  <si>
    <t>2021-12-24</t>
  </si>
  <si>
    <t>2021-08-26</t>
  </si>
  <si>
    <t>2022-02-14</t>
  </si>
  <si>
    <t>2022-02-02</t>
  </si>
  <si>
    <t>2021-11-18</t>
  </si>
  <si>
    <t>2022-05-23</t>
  </si>
  <si>
    <t>2022-03-06</t>
  </si>
  <si>
    <t>2023-12-26</t>
  </si>
  <si>
    <t>$24719</t>
  </si>
  <si>
    <t>2022-09-20</t>
  </si>
  <si>
    <t>2022-08-08</t>
  </si>
  <si>
    <t>2022-02-25</t>
  </si>
  <si>
    <t>2021-10-25</t>
  </si>
  <si>
    <t>2021-02-16</t>
  </si>
  <si>
    <t>2023-05-19</t>
  </si>
  <si>
    <t>$11037</t>
  </si>
  <si>
    <t>2022-07-14</t>
  </si>
  <si>
    <t>$767</t>
  </si>
  <si>
    <t>2023-10-09</t>
  </si>
  <si>
    <t>2022-05-17</t>
  </si>
  <si>
    <t>$24718</t>
  </si>
  <si>
    <t>2021-02-05</t>
  </si>
  <si>
    <t>$16288</t>
  </si>
  <si>
    <t>2023-10-28</t>
  </si>
  <si>
    <t>2021-05-02</t>
  </si>
  <si>
    <t>$1794</t>
  </si>
  <si>
    <t>2024-04-02</t>
  </si>
  <si>
    <t>2022-08-01</t>
  </si>
  <si>
    <t>2023-02-17</t>
  </si>
  <si>
    <t>2021-03-25</t>
  </si>
  <si>
    <t>2023-01-23</t>
  </si>
  <si>
    <t>$2437</t>
  </si>
  <si>
    <t>2021-05-13</t>
  </si>
  <si>
    <t>2021-02-24</t>
  </si>
  <si>
    <t>2022-06-20</t>
  </si>
  <si>
    <t>2024-01-10</t>
  </si>
  <si>
    <t>2022-05-16</t>
  </si>
  <si>
    <t>2024-03-09</t>
  </si>
  <si>
    <t>2022-02-26</t>
  </si>
  <si>
    <t>2022-08-12</t>
  </si>
  <si>
    <t>$6247</t>
  </si>
  <si>
    <t>2022-12-13</t>
  </si>
  <si>
    <t>2022-01-05</t>
  </si>
  <si>
    <t>2023-01-17</t>
  </si>
  <si>
    <t>$4357</t>
  </si>
  <si>
    <t>2022-06-10</t>
  </si>
  <si>
    <t>2022-07-13</t>
  </si>
  <si>
    <t>$4695</t>
  </si>
  <si>
    <t>2023-01-15</t>
  </si>
  <si>
    <t>2021-09-08</t>
  </si>
  <si>
    <t>2021-04-25</t>
  </si>
  <si>
    <t>2021-03-13</t>
  </si>
  <si>
    <t>2022-09-09</t>
  </si>
  <si>
    <t>2022-01-12</t>
  </si>
  <si>
    <t>2023-04-21</t>
  </si>
  <si>
    <t>2024-03-14</t>
  </si>
  <si>
    <t>$7909</t>
  </si>
  <si>
    <t>2023-10-10</t>
  </si>
  <si>
    <t>$11642</t>
  </si>
  <si>
    <t>2024-02-15</t>
  </si>
  <si>
    <t>$16220</t>
  </si>
  <si>
    <t>$21962</t>
  </si>
  <si>
    <t>2021-04-01</t>
  </si>
  <si>
    <t>2021-11-06</t>
  </si>
  <si>
    <t>2023-08-15</t>
  </si>
  <si>
    <t>$11217</t>
  </si>
  <si>
    <t>2022-02-22</t>
  </si>
  <si>
    <t>$7234</t>
  </si>
  <si>
    <t>2021-07-13</t>
  </si>
  <si>
    <t>$3920</t>
  </si>
  <si>
    <t>2023-09-10</t>
  </si>
  <si>
    <t>2022-10-24</t>
  </si>
  <si>
    <t>2023-04-05</t>
  </si>
  <si>
    <t>2023-03-06</t>
  </si>
  <si>
    <t>2022-05-25</t>
  </si>
  <si>
    <t>2024-04-14</t>
  </si>
  <si>
    <t>2021-08-27</t>
  </si>
  <si>
    <t>$2765</t>
  </si>
  <si>
    <t>2021-08-18</t>
  </si>
  <si>
    <t>$26118</t>
  </si>
  <si>
    <t>2021-04-15</t>
  </si>
  <si>
    <t>$13791</t>
  </si>
  <si>
    <t>2023-09-27</t>
  </si>
  <si>
    <t>$15286</t>
  </si>
  <si>
    <t>2023-03-11</t>
  </si>
  <si>
    <t>2021-03-07</t>
  </si>
  <si>
    <t>2023-06-16</t>
  </si>
  <si>
    <t>2022-08-22</t>
  </si>
  <si>
    <t>2023-07-29</t>
  </si>
  <si>
    <t>2023-12-17</t>
  </si>
  <si>
    <t>2021-09-16</t>
  </si>
  <si>
    <t>2023-11-01</t>
  </si>
  <si>
    <t>2024-03-04</t>
  </si>
  <si>
    <t>2023-05-22</t>
  </si>
  <si>
    <t>$28800</t>
  </si>
  <si>
    <t>2023-10-19</t>
  </si>
  <si>
    <t>$6259</t>
  </si>
  <si>
    <t>2022-09-17</t>
  </si>
  <si>
    <t>2024-01-27</t>
  </si>
  <si>
    <t>$28998</t>
  </si>
  <si>
    <t>2023-07-09</t>
  </si>
  <si>
    <t>2021-07-01</t>
  </si>
  <si>
    <t>2022-11-28</t>
  </si>
  <si>
    <t>$5810</t>
  </si>
  <si>
    <t>2023-10-22</t>
  </si>
  <si>
    <t>2021-12-09</t>
  </si>
  <si>
    <t>$27631</t>
  </si>
  <si>
    <t>2022-10-21</t>
  </si>
  <si>
    <t>2021-06-16</t>
  </si>
  <si>
    <t>2022-01-31</t>
  </si>
  <si>
    <t>$4966</t>
  </si>
  <si>
    <t>2022-03-05</t>
  </si>
  <si>
    <t>$1963</t>
  </si>
  <si>
    <t>$6182</t>
  </si>
  <si>
    <t>2022-10-10</t>
  </si>
  <si>
    <t>2023-06-04</t>
  </si>
  <si>
    <t>$27531</t>
  </si>
  <si>
    <t>2023-11-09</t>
  </si>
  <si>
    <t>2023-01-03</t>
  </si>
  <si>
    <t>2022-11-19</t>
  </si>
  <si>
    <t>$15408</t>
  </si>
  <si>
    <t>$12558</t>
  </si>
  <si>
    <t>2023-06-08</t>
  </si>
  <si>
    <t>$5895</t>
  </si>
  <si>
    <t>2022-01-23</t>
  </si>
  <si>
    <t>2022-02-20</t>
  </si>
  <si>
    <t>2021-02-20</t>
  </si>
  <si>
    <t>2023-01-08</t>
  </si>
  <si>
    <t>2023-04-08</t>
  </si>
  <si>
    <t>2022-11-29</t>
  </si>
  <si>
    <t>2023-10-21</t>
  </si>
  <si>
    <t>2021-08-02</t>
  </si>
  <si>
    <t>$15596</t>
  </si>
  <si>
    <t>2021-05-24</t>
  </si>
  <si>
    <t>$12705</t>
  </si>
  <si>
    <t>2023-07-02</t>
  </si>
  <si>
    <t>2022-12-12</t>
  </si>
  <si>
    <t>2022-10-30</t>
  </si>
  <si>
    <t>2022-05-29</t>
  </si>
  <si>
    <t>2021-11-27</t>
  </si>
  <si>
    <t>2022-03-20</t>
  </si>
  <si>
    <t>2022-02-18</t>
  </si>
  <si>
    <t>$11079</t>
  </si>
  <si>
    <t>2022-09-10</t>
  </si>
  <si>
    <t>2021-05-19</t>
  </si>
  <si>
    <t>$17051</t>
  </si>
  <si>
    <t>2022-05-14</t>
  </si>
  <si>
    <t>$10490</t>
  </si>
  <si>
    <t>2021-03-23</t>
  </si>
  <si>
    <t>2022-04-01</t>
  </si>
  <si>
    <t>2024-01-30</t>
  </si>
  <si>
    <t>2022-02-17</t>
  </si>
  <si>
    <t>2021-02-10</t>
  </si>
  <si>
    <t>2022-08-04</t>
  </si>
  <si>
    <t>2023-02-04</t>
  </si>
  <si>
    <t>2023-09-28</t>
  </si>
  <si>
    <t>2022-06-05</t>
  </si>
  <si>
    <t>$15284</t>
  </si>
  <si>
    <t>2021-10-03</t>
  </si>
  <si>
    <t>$24885</t>
  </si>
  <si>
    <t>2024-04-07</t>
  </si>
  <si>
    <t>$5941</t>
  </si>
  <si>
    <t>2023-09-20</t>
  </si>
  <si>
    <t>2024-01-29</t>
  </si>
  <si>
    <t>$27532</t>
  </si>
  <si>
    <t>2022-07-29</t>
  </si>
  <si>
    <t>2023-10-11</t>
  </si>
  <si>
    <t>2021-02-14</t>
  </si>
  <si>
    <t>2023-11-22</t>
  </si>
  <si>
    <t>2024-01-06</t>
  </si>
  <si>
    <t>2023-07-05</t>
  </si>
  <si>
    <t>$6456</t>
  </si>
  <si>
    <t>2021-12-18</t>
  </si>
  <si>
    <t>2022-07-06</t>
  </si>
  <si>
    <t>$11788</t>
  </si>
  <si>
    <t>2023-02-15</t>
  </si>
  <si>
    <t>2021-04-09</t>
  </si>
  <si>
    <t>$7897</t>
  </si>
  <si>
    <t>2023-12-03</t>
  </si>
  <si>
    <t>2024-02-09</t>
  </si>
  <si>
    <t>2023-05-21</t>
  </si>
  <si>
    <t>2022-12-25</t>
  </si>
  <si>
    <t>2021-01-05</t>
  </si>
  <si>
    <t>$27556</t>
  </si>
  <si>
    <t>$9986</t>
  </si>
  <si>
    <t>2021-11-28</t>
  </si>
  <si>
    <t>2022-02-12</t>
  </si>
  <si>
    <t>2021-11-01</t>
  </si>
  <si>
    <t>$6157</t>
  </si>
  <si>
    <t>2022-04-19</t>
  </si>
  <si>
    <t>2022-01-08</t>
  </si>
  <si>
    <t>$13611</t>
  </si>
  <si>
    <t>2021-08-17</t>
  </si>
  <si>
    <t>2023-02-26</t>
  </si>
  <si>
    <t>2023-09-16</t>
  </si>
  <si>
    <t>2023-01-26</t>
  </si>
  <si>
    <t>$16043</t>
  </si>
  <si>
    <t>$9982</t>
  </si>
  <si>
    <t>$26703</t>
  </si>
  <si>
    <t>2021-11-13</t>
  </si>
  <si>
    <t>$13077</t>
  </si>
  <si>
    <t>2021-06-06</t>
  </si>
  <si>
    <t>$5073</t>
  </si>
  <si>
    <t>2022-04-17</t>
  </si>
  <si>
    <t>$25608</t>
  </si>
  <si>
    <t>2021-08-29</t>
  </si>
  <si>
    <t>$9843</t>
  </si>
  <si>
    <t>2021-01-28</t>
  </si>
  <si>
    <t>$15718</t>
  </si>
  <si>
    <t>2022-09-19</t>
  </si>
  <si>
    <t>2021-02-27</t>
  </si>
  <si>
    <t>2021-04-02</t>
  </si>
  <si>
    <t>2021-09-23</t>
  </si>
  <si>
    <t>$8618</t>
  </si>
  <si>
    <t>2021-09-22</t>
  </si>
  <si>
    <t>2024-02-23</t>
  </si>
  <si>
    <t>$3995</t>
  </si>
  <si>
    <t>$25617</t>
  </si>
  <si>
    <t>2023-09-03</t>
  </si>
  <si>
    <t>2022-03-14</t>
  </si>
  <si>
    <t>2023-07-14</t>
  </si>
  <si>
    <t>2024-01-02</t>
  </si>
  <si>
    <t>2022-01-20</t>
  </si>
  <si>
    <t>2024-02-07</t>
  </si>
  <si>
    <t>2021-08-01</t>
  </si>
  <si>
    <t>2022-05-10</t>
  </si>
  <si>
    <t>2023-10-30</t>
  </si>
  <si>
    <t>2021-11-10</t>
  </si>
  <si>
    <t>2021-08-08</t>
  </si>
  <si>
    <t>2024-01-25</t>
  </si>
  <si>
    <t>$17036</t>
  </si>
  <si>
    <t>2021-03-02</t>
  </si>
  <si>
    <t>$19223</t>
  </si>
  <si>
    <t>2021-09-02</t>
  </si>
  <si>
    <t>2021-03-17</t>
  </si>
  <si>
    <t>2022-10-04</t>
  </si>
  <si>
    <t>2022-11-06</t>
  </si>
  <si>
    <t>2023-12-05</t>
  </si>
  <si>
    <t>$19015</t>
  </si>
  <si>
    <t>$27825</t>
  </si>
  <si>
    <t>2023-05-16</t>
  </si>
  <si>
    <t>2024-03-24</t>
  </si>
  <si>
    <t>2022-08-13</t>
  </si>
  <si>
    <t>2022-06-28</t>
  </si>
  <si>
    <t>2022-08-14</t>
  </si>
  <si>
    <t>2021-02-01</t>
  </si>
  <si>
    <t>$14586</t>
  </si>
  <si>
    <t>2022-12-28</t>
  </si>
  <si>
    <t>$19860</t>
  </si>
  <si>
    <t>2023-06-25</t>
  </si>
  <si>
    <t>2021-10-15</t>
  </si>
  <si>
    <t>2023-11-24</t>
  </si>
  <si>
    <t>$6747</t>
  </si>
  <si>
    <t>2023-06-19</t>
  </si>
  <si>
    <t>2023-10-07</t>
  </si>
  <si>
    <t>2021-01-23</t>
  </si>
  <si>
    <t>2023-09-18</t>
  </si>
  <si>
    <t>2022-08-09</t>
  </si>
  <si>
    <t>$11941</t>
  </si>
  <si>
    <t>2021-08-16</t>
  </si>
  <si>
    <t>2022-11-07</t>
  </si>
  <si>
    <t>2021-02-07</t>
  </si>
  <si>
    <t>2023-06-18</t>
  </si>
  <si>
    <t>$10394</t>
  </si>
  <si>
    <t>2023-06-29</t>
  </si>
  <si>
    <t>2023-08-16</t>
  </si>
  <si>
    <t>$13877</t>
  </si>
  <si>
    <t>$14799</t>
  </si>
  <si>
    <t>2023-05-02</t>
  </si>
  <si>
    <t>2023-12-11</t>
  </si>
  <si>
    <t>2023-07-01</t>
  </si>
  <si>
    <t>2023-04-15</t>
  </si>
  <si>
    <t>$28378</t>
  </si>
  <si>
    <t>2023-07-11</t>
  </si>
  <si>
    <t>2022-01-01</t>
  </si>
  <si>
    <t>$18391</t>
  </si>
  <si>
    <t>2022-07-15</t>
  </si>
  <si>
    <t>2021-09-03</t>
  </si>
  <si>
    <t>2021-01-17</t>
  </si>
  <si>
    <t>$862</t>
  </si>
  <si>
    <t>2022-04-26</t>
  </si>
  <si>
    <t>2022-03-25</t>
  </si>
  <si>
    <t>2024-02-26</t>
  </si>
  <si>
    <t>2022-09-24</t>
  </si>
  <si>
    <t>2021-02-19</t>
  </si>
  <si>
    <t>2024-01-15</t>
  </si>
  <si>
    <t>$24880</t>
  </si>
  <si>
    <t>2021-06-21</t>
  </si>
  <si>
    <t>2022-09-30</t>
  </si>
  <si>
    <t>2023-09-17</t>
  </si>
  <si>
    <t>$6384</t>
  </si>
  <si>
    <t>2022-07-10</t>
  </si>
  <si>
    <t>2021-01-12</t>
  </si>
  <si>
    <t>$5015</t>
  </si>
  <si>
    <t>2021-10-28</t>
  </si>
  <si>
    <t>$13252</t>
  </si>
  <si>
    <t>2022-02-06</t>
  </si>
  <si>
    <t>2021-02-04</t>
  </si>
  <si>
    <t>2023-10-25</t>
  </si>
  <si>
    <t>2022-03-22</t>
  </si>
  <si>
    <t>2022-10-09</t>
  </si>
  <si>
    <t>2023-12-08</t>
  </si>
  <si>
    <t>$16874</t>
  </si>
  <si>
    <t>2023-12-10</t>
  </si>
  <si>
    <t>2021-07-24</t>
  </si>
  <si>
    <t>$8452</t>
  </si>
  <si>
    <t>2021-01-26</t>
  </si>
  <si>
    <t>2023-01-27</t>
  </si>
  <si>
    <t>2021-03-14</t>
  </si>
  <si>
    <t>2022-12-09</t>
  </si>
  <si>
    <t>$13852</t>
  </si>
  <si>
    <t>2024-02-24</t>
  </si>
  <si>
    <t>$4015</t>
  </si>
  <si>
    <t>2024-03-02</t>
  </si>
  <si>
    <t>2022-03-24</t>
  </si>
  <si>
    <t>2021-08-05</t>
  </si>
  <si>
    <t>2022-11-16</t>
  </si>
  <si>
    <t>2022-05-06</t>
  </si>
  <si>
    <t>2023-06-28</t>
  </si>
  <si>
    <t>2023-04-13</t>
  </si>
  <si>
    <t>2022-11-27</t>
  </si>
  <si>
    <t>2022-11-09</t>
  </si>
  <si>
    <t>2022-09-21</t>
  </si>
  <si>
    <t>$12267</t>
  </si>
  <si>
    <t>2021-12-13</t>
  </si>
  <si>
    <t>2023-01-01</t>
  </si>
  <si>
    <t>2024-01-01</t>
  </si>
  <si>
    <t>2024-02-05</t>
  </si>
  <si>
    <t>$3823</t>
  </si>
  <si>
    <t>2024-01-05</t>
  </si>
  <si>
    <t>2022-04-20</t>
  </si>
  <si>
    <t>2022-02-19</t>
  </si>
  <si>
    <t>$29125</t>
  </si>
  <si>
    <t>2022-12-03</t>
  </si>
  <si>
    <t>2024-02-25</t>
  </si>
  <si>
    <t>2022-01-13</t>
  </si>
  <si>
    <t>2023-12-19</t>
  </si>
  <si>
    <t>$20451</t>
  </si>
  <si>
    <t>$28754</t>
  </si>
  <si>
    <t>$8473</t>
  </si>
  <si>
    <t>2021-12-01</t>
  </si>
  <si>
    <t>2022-10-20</t>
  </si>
  <si>
    <t>2022-04-02</t>
  </si>
  <si>
    <t>2021-07-14</t>
  </si>
  <si>
    <t>2022-11-22</t>
  </si>
  <si>
    <t>2021-02-22</t>
  </si>
  <si>
    <t>$15739</t>
  </si>
  <si>
    <t>2023-10-31</t>
  </si>
  <si>
    <t>2022-08-31</t>
  </si>
  <si>
    <t>2021-05-17</t>
  </si>
  <si>
    <t>2022-06-08</t>
  </si>
  <si>
    <t>2023-05-14</t>
  </si>
  <si>
    <t>2023-09-22</t>
  </si>
  <si>
    <t>2021-07-21</t>
  </si>
  <si>
    <t>$2736</t>
  </si>
  <si>
    <t>2022-03-19</t>
  </si>
  <si>
    <t>$24790</t>
  </si>
  <si>
    <t>2021-04-08</t>
  </si>
  <si>
    <t>2022-12-22</t>
  </si>
  <si>
    <t>2022-06-27</t>
  </si>
  <si>
    <t>2021-12-31</t>
  </si>
  <si>
    <t>2024-03-13</t>
  </si>
  <si>
    <t>$10393</t>
  </si>
  <si>
    <t>2023-03-30</t>
  </si>
  <si>
    <t>2023-07-15</t>
  </si>
  <si>
    <t>2023-03-05</t>
  </si>
  <si>
    <t>2023-04-03</t>
  </si>
  <si>
    <t>$2944</t>
  </si>
  <si>
    <t>$25616</t>
  </si>
  <si>
    <t>2021-05-01</t>
  </si>
  <si>
    <t>2021-10-05</t>
  </si>
  <si>
    <t>2023-03-08</t>
  </si>
  <si>
    <t>2023-12-31</t>
  </si>
  <si>
    <t>2022-08-10</t>
  </si>
  <si>
    <t>2022-10-13</t>
  </si>
  <si>
    <t>$6518</t>
  </si>
  <si>
    <t>2021-01-08</t>
  </si>
  <si>
    <t>$10878</t>
  </si>
  <si>
    <t>2024-01-17</t>
  </si>
  <si>
    <t>$21463</t>
  </si>
  <si>
    <t>2021-11-08</t>
  </si>
  <si>
    <t>2021-03-22</t>
  </si>
  <si>
    <t>2023-01-28</t>
  </si>
  <si>
    <t>$20304</t>
  </si>
  <si>
    <t>2023-05-06</t>
  </si>
  <si>
    <t>2024-02-06</t>
  </si>
  <si>
    <t>2021-05-14</t>
  </si>
  <si>
    <t>2021-09-07</t>
  </si>
  <si>
    <t>2021-06-12</t>
  </si>
  <si>
    <t>2022-12-06</t>
  </si>
  <si>
    <t>2023-08-04</t>
  </si>
  <si>
    <t>$27781</t>
  </si>
  <si>
    <t>$29511</t>
  </si>
  <si>
    <t>2021-11-21</t>
  </si>
  <si>
    <t>2021-09-18</t>
  </si>
  <si>
    <t>2022-04-03</t>
  </si>
  <si>
    <t>$10793</t>
  </si>
  <si>
    <t>2023-02-08</t>
  </si>
  <si>
    <t>$5098</t>
  </si>
  <si>
    <t>$125</t>
  </si>
  <si>
    <t>2023-04-01</t>
  </si>
  <si>
    <t>$16966</t>
  </si>
  <si>
    <t>2024-02-17</t>
  </si>
  <si>
    <t>$13538</t>
  </si>
  <si>
    <t>2023-03-22</t>
  </si>
  <si>
    <t>2021-01-15</t>
  </si>
  <si>
    <t>2021-11-24</t>
  </si>
  <si>
    <t>2023-07-27</t>
  </si>
  <si>
    <t>$5714</t>
  </si>
  <si>
    <t>2024-02-16</t>
  </si>
  <si>
    <t>2021-01-04</t>
  </si>
  <si>
    <t>2022-06-06</t>
  </si>
  <si>
    <t>2023-07-16</t>
  </si>
  <si>
    <t>2021-03-21</t>
  </si>
  <si>
    <t>2022-09-27</t>
  </si>
  <si>
    <t>2024-03-03</t>
  </si>
  <si>
    <t>$8622</t>
  </si>
  <si>
    <t>2023-05-31</t>
  </si>
  <si>
    <t>2023-03-12</t>
  </si>
  <si>
    <t>2023-08-31</t>
  </si>
  <si>
    <t>2022-05-21</t>
  </si>
  <si>
    <t>2023-06-06</t>
  </si>
  <si>
    <t>2023-11-18</t>
  </si>
  <si>
    <t>$14977</t>
  </si>
  <si>
    <t>2022-06-02</t>
  </si>
  <si>
    <t>2022-07-23</t>
  </si>
  <si>
    <t>2021-12-22</t>
  </si>
  <si>
    <t>$2164</t>
  </si>
  <si>
    <t>2023-10-20</t>
  </si>
  <si>
    <t>2022-07-16</t>
  </si>
  <si>
    <t>2021-02-11</t>
  </si>
  <si>
    <t>2023-12-12</t>
  </si>
  <si>
    <t>2024-03-18</t>
  </si>
  <si>
    <t>2023-08-06</t>
  </si>
  <si>
    <t>2021-03-28</t>
  </si>
  <si>
    <t>2021-10-19</t>
  </si>
  <si>
    <t>2023-04-07</t>
  </si>
  <si>
    <t>$1511</t>
  </si>
  <si>
    <t>$21770</t>
  </si>
  <si>
    <t>2024-01-28</t>
  </si>
  <si>
    <t>$18538</t>
  </si>
  <si>
    <t>2023-06-12</t>
  </si>
  <si>
    <t>2023-04-11</t>
  </si>
  <si>
    <t>2023-01-02</t>
  </si>
  <si>
    <t>$15384</t>
  </si>
  <si>
    <t>2021-08-09</t>
  </si>
  <si>
    <t>2022-10-18</t>
  </si>
  <si>
    <t>2021-03-06</t>
  </si>
  <si>
    <t>$9656</t>
  </si>
  <si>
    <t>2023-01-09</t>
  </si>
  <si>
    <t>2022-02-07</t>
  </si>
  <si>
    <t>2023-08-08</t>
  </si>
  <si>
    <t>2022-04-15</t>
  </si>
  <si>
    <t>2023-05-30</t>
  </si>
  <si>
    <t>2021-12-02</t>
  </si>
  <si>
    <t>$19027</t>
  </si>
  <si>
    <t>2023-03-09</t>
  </si>
  <si>
    <t>$18214</t>
  </si>
  <si>
    <t>2021-08-07</t>
  </si>
  <si>
    <t>2021-09-11</t>
  </si>
  <si>
    <t>$10480</t>
  </si>
  <si>
    <t>2021-05-28</t>
  </si>
  <si>
    <t>$13619</t>
  </si>
  <si>
    <t>$9995</t>
  </si>
  <si>
    <t>2022-07-27</t>
  </si>
  <si>
    <t>2022-07-07</t>
  </si>
  <si>
    <t>2023-12-06</t>
  </si>
  <si>
    <t>2024-03-22</t>
  </si>
  <si>
    <t>2021-08-11</t>
  </si>
  <si>
    <t>$5900</t>
  </si>
  <si>
    <t>2021-01-01</t>
  </si>
  <si>
    <t>2022-01-03</t>
  </si>
  <si>
    <t>2021-11-11</t>
  </si>
  <si>
    <t>$10401</t>
  </si>
  <si>
    <t>2021-12-19</t>
  </si>
  <si>
    <t>2021-04-21</t>
  </si>
  <si>
    <t>2023-08-19</t>
  </si>
  <si>
    <t>2022-07-18</t>
  </si>
  <si>
    <t>$16774</t>
  </si>
  <si>
    <t>2021-12-15</t>
  </si>
  <si>
    <t>2023-12-13</t>
  </si>
  <si>
    <t>$15885</t>
  </si>
  <si>
    <t>2023-03-31</t>
  </si>
  <si>
    <t>2023-11-17</t>
  </si>
  <si>
    <t>2023-08-12</t>
  </si>
  <si>
    <t>2021-09-19</t>
  </si>
  <si>
    <t>2022-12-10</t>
  </si>
  <si>
    <t>2022-11-18</t>
  </si>
  <si>
    <t>2023-10-06</t>
  </si>
  <si>
    <t>2023-03-26</t>
  </si>
  <si>
    <t>2022-09-15</t>
  </si>
  <si>
    <t>$4017</t>
  </si>
  <si>
    <t>$4086</t>
  </si>
  <si>
    <t>2021-02-02</t>
  </si>
  <si>
    <t>2021-08-10</t>
  </si>
  <si>
    <t>2023-12-02</t>
  </si>
  <si>
    <t>2023-04-12</t>
  </si>
  <si>
    <t>2023-05-23</t>
  </si>
  <si>
    <t>2022-07-26</t>
  </si>
  <si>
    <t>2021-10-22</t>
  </si>
  <si>
    <t>2023-04-06</t>
  </si>
  <si>
    <t>$1708</t>
  </si>
  <si>
    <t>2024-01-21</t>
  </si>
  <si>
    <t>2021-07-28</t>
  </si>
  <si>
    <t>2024-01-04</t>
  </si>
  <si>
    <t>$3175</t>
  </si>
  <si>
    <t>2022-05-13</t>
  </si>
  <si>
    <t>$17919</t>
  </si>
  <si>
    <t>2023-11-06</t>
  </si>
  <si>
    <t>$23395</t>
  </si>
  <si>
    <t>$22865</t>
  </si>
  <si>
    <t>2022-12-05</t>
  </si>
  <si>
    <t>2023-09-19</t>
  </si>
  <si>
    <t>$4058</t>
  </si>
  <si>
    <t>2023-12-09</t>
  </si>
  <si>
    <t>2023-11-11</t>
  </si>
  <si>
    <t>2022-04-21</t>
  </si>
  <si>
    <t>2021-07-09</t>
  </si>
  <si>
    <t>2023-08-24</t>
  </si>
  <si>
    <t>2023-02-16</t>
  </si>
  <si>
    <t>2023-06-20</t>
  </si>
  <si>
    <t>2024-03-06</t>
  </si>
  <si>
    <t>2024-03-15</t>
  </si>
  <si>
    <t>$12778</t>
  </si>
  <si>
    <t>2024-03-28</t>
  </si>
  <si>
    <t>2021-08-25</t>
  </si>
  <si>
    <t>$9757</t>
  </si>
  <si>
    <t>2021-08-03</t>
  </si>
  <si>
    <t>2024-03-17</t>
  </si>
  <si>
    <t>2022-02-01</t>
  </si>
  <si>
    <t>2021-01-16</t>
  </si>
  <si>
    <t>2023-06-09</t>
  </si>
  <si>
    <t>$7218</t>
  </si>
  <si>
    <t>2021-07-04</t>
  </si>
  <si>
    <t>$27738</t>
  </si>
  <si>
    <t>$20502</t>
  </si>
  <si>
    <t>$18743</t>
  </si>
  <si>
    <t>2022-06-04</t>
  </si>
  <si>
    <t>$21482</t>
  </si>
  <si>
    <t>$3389</t>
  </si>
  <si>
    <t>2023-10-15</t>
  </si>
  <si>
    <t>2023-02-22</t>
  </si>
  <si>
    <t>$13635</t>
  </si>
  <si>
    <t>2024-03-16</t>
  </si>
  <si>
    <t>2023-03-29</t>
  </si>
  <si>
    <t>$20906</t>
  </si>
  <si>
    <t>2022-05-24</t>
  </si>
  <si>
    <t>$8720</t>
  </si>
  <si>
    <t>$4034</t>
  </si>
  <si>
    <t>2022-07-09</t>
  </si>
  <si>
    <t>2021-05-07</t>
  </si>
  <si>
    <t>2023-08-29</t>
  </si>
  <si>
    <t>$23794</t>
  </si>
  <si>
    <t>2022-12-19</t>
  </si>
  <si>
    <t>2021-03-04</t>
  </si>
  <si>
    <t>2022-06-07</t>
  </si>
  <si>
    <t>2021-03-15</t>
  </si>
  <si>
    <t>2023-09-13</t>
  </si>
  <si>
    <t>$22931</t>
  </si>
  <si>
    <t>2024-01-31</t>
  </si>
  <si>
    <t>$7077</t>
  </si>
  <si>
    <t>2021-08-28</t>
  </si>
  <si>
    <t>$10634</t>
  </si>
  <si>
    <t>2024-02-18</t>
  </si>
  <si>
    <t>$20200</t>
  </si>
  <si>
    <t>2021-04-05</t>
  </si>
  <si>
    <t>$20450</t>
  </si>
  <si>
    <t>2022-09-12</t>
  </si>
  <si>
    <t>2022-08-19</t>
  </si>
  <si>
    <t>$21431</t>
  </si>
  <si>
    <t>2023-02-03</t>
  </si>
  <si>
    <t>2024-02-21</t>
  </si>
  <si>
    <t>2021-10-07</t>
  </si>
  <si>
    <t>$29262</t>
  </si>
  <si>
    <t>2021-10-06</t>
  </si>
  <si>
    <t>$25335</t>
  </si>
  <si>
    <t>2022-04-10</t>
  </si>
  <si>
    <t>2023-11-21</t>
  </si>
  <si>
    <t>2021-04-13</t>
  </si>
  <si>
    <t>2021-03-29</t>
  </si>
  <si>
    <t>2021-10-04</t>
  </si>
  <si>
    <t>2022-01-10</t>
  </si>
  <si>
    <t>2022-01-27</t>
  </si>
  <si>
    <t>2021-01-25</t>
  </si>
  <si>
    <t>2021-05-25</t>
  </si>
  <si>
    <t>$2823</t>
  </si>
  <si>
    <t>$21402</t>
  </si>
  <si>
    <t>2021-11-03</t>
  </si>
  <si>
    <t>2024-02-13</t>
  </si>
  <si>
    <t>2022-11-17</t>
  </si>
  <si>
    <t>2022-04-18</t>
  </si>
  <si>
    <t>$13205</t>
  </si>
  <si>
    <t>2021-12-17</t>
  </si>
  <si>
    <t>2023-01-31</t>
  </si>
  <si>
    <t>2021-04-20</t>
  </si>
  <si>
    <t>2022-04-14</t>
  </si>
  <si>
    <t>$17665</t>
  </si>
  <si>
    <t>2022-06-24</t>
  </si>
  <si>
    <t>2021-01-29</t>
  </si>
  <si>
    <t>$4012</t>
  </si>
  <si>
    <t>2021-07-20</t>
  </si>
  <si>
    <t>$24371</t>
  </si>
  <si>
    <t>2022-07-31</t>
  </si>
  <si>
    <t>2021-06-08</t>
  </si>
  <si>
    <t>2023-07-18</t>
  </si>
  <si>
    <t>2023-03-03</t>
  </si>
  <si>
    <t>$3280</t>
  </si>
  <si>
    <t>$7890</t>
  </si>
  <si>
    <t>$19612</t>
  </si>
  <si>
    <t>$4983</t>
  </si>
  <si>
    <t>2023-10-18</t>
  </si>
  <si>
    <t>$11672</t>
  </si>
  <si>
    <t>2022-10-29</t>
  </si>
  <si>
    <t>$28404</t>
  </si>
  <si>
    <t>2023-02-14</t>
  </si>
  <si>
    <t>$18115</t>
  </si>
  <si>
    <t>2022-03-31</t>
  </si>
  <si>
    <t>2023-06-26</t>
  </si>
  <si>
    <t>$27344</t>
  </si>
  <si>
    <t>2021-04-11</t>
  </si>
  <si>
    <t>2022-04-29</t>
  </si>
  <si>
    <t>2024-03-10</t>
  </si>
  <si>
    <t>$12815</t>
  </si>
  <si>
    <t>$24176</t>
  </si>
  <si>
    <t>2022-09-26</t>
  </si>
  <si>
    <t>$15274</t>
  </si>
  <si>
    <t>2023-02-18</t>
  </si>
  <si>
    <t>2022-02-27</t>
  </si>
  <si>
    <t>2023-06-10</t>
  </si>
  <si>
    <t>2022-11-04</t>
  </si>
  <si>
    <t>$3323</t>
  </si>
  <si>
    <t>2023-08-26</t>
  </si>
  <si>
    <t>$22242</t>
  </si>
  <si>
    <t>$5996</t>
  </si>
  <si>
    <t>2023-03-14</t>
  </si>
  <si>
    <t>$14047</t>
  </si>
  <si>
    <t>2022-01-26</t>
  </si>
  <si>
    <t>$12497</t>
  </si>
  <si>
    <t>2021-04-30</t>
  </si>
  <si>
    <t>2021-11-23</t>
  </si>
  <si>
    <t>2021-01-21</t>
  </si>
  <si>
    <t>$6326</t>
  </si>
  <si>
    <t>$16133</t>
  </si>
  <si>
    <t>$9303</t>
  </si>
  <si>
    <t>2021-08-13</t>
  </si>
  <si>
    <t>$8393</t>
  </si>
  <si>
    <t>$3631</t>
  </si>
  <si>
    <t>2022-12-17</t>
  </si>
  <si>
    <t>2022-07-03</t>
  </si>
  <si>
    <t>$20315</t>
  </si>
  <si>
    <t>$12622</t>
  </si>
  <si>
    <t>2023-05-05</t>
  </si>
  <si>
    <t>$13860</t>
  </si>
  <si>
    <t>2023-04-20</t>
  </si>
  <si>
    <t>2021-05-08</t>
  </si>
  <si>
    <t>2022-03-16</t>
  </si>
  <si>
    <t>2021-01-13</t>
  </si>
  <si>
    <t>2022-09-16</t>
  </si>
  <si>
    <t>2024-04-05</t>
  </si>
  <si>
    <t>$16424</t>
  </si>
  <si>
    <t>2022-01-06</t>
  </si>
  <si>
    <t>2022-12-14</t>
  </si>
  <si>
    <t>$8272</t>
  </si>
  <si>
    <t>2022-08-16</t>
  </si>
  <si>
    <t>$27871</t>
  </si>
  <si>
    <t>2023-09-01</t>
  </si>
  <si>
    <t>$6550</t>
  </si>
  <si>
    <t>2022-11-02</t>
  </si>
  <si>
    <t>2023-10-14</t>
  </si>
  <si>
    <t>2021-06-01</t>
  </si>
  <si>
    <t>2021-04-07</t>
  </si>
  <si>
    <t>$2194</t>
  </si>
  <si>
    <t>2022-11-03</t>
  </si>
  <si>
    <t>2023-01-22</t>
  </si>
  <si>
    <t>2022-05-20</t>
  </si>
  <si>
    <t>2023-08-21</t>
  </si>
  <si>
    <t>2021-01-18</t>
  </si>
  <si>
    <t>2021-12-08</t>
  </si>
  <si>
    <t>2021-05-16</t>
  </si>
  <si>
    <t>$3711</t>
  </si>
  <si>
    <t>$2910</t>
  </si>
  <si>
    <t>2022-02-24</t>
  </si>
  <si>
    <t>$13667</t>
  </si>
  <si>
    <t>$24117</t>
  </si>
  <si>
    <t>2021-12-14</t>
  </si>
  <si>
    <t>$24960</t>
  </si>
  <si>
    <t>2022-03-03</t>
  </si>
  <si>
    <t>2022-07-08</t>
  </si>
  <si>
    <t>$3612</t>
  </si>
  <si>
    <t>2022-05-26</t>
  </si>
  <si>
    <t>$15205</t>
  </si>
  <si>
    <t>$18878</t>
  </si>
  <si>
    <t>$18725</t>
  </si>
  <si>
    <t>2024-02-02</t>
  </si>
  <si>
    <t>2022-11-11</t>
  </si>
  <si>
    <t>$1072</t>
  </si>
  <si>
    <t>2021-12-26</t>
  </si>
  <si>
    <t>2022-09-07</t>
  </si>
  <si>
    <t>2022-08-24</t>
  </si>
  <si>
    <t>2021-06-27</t>
  </si>
  <si>
    <t>2021-06-30</t>
  </si>
  <si>
    <t>$11735</t>
  </si>
  <si>
    <t>2022-04-24</t>
  </si>
  <si>
    <t>2022-06-16</t>
  </si>
  <si>
    <t>$2020</t>
  </si>
  <si>
    <t>2021-06-07</t>
  </si>
  <si>
    <t>2023-08-17</t>
  </si>
  <si>
    <t>2021-01-31</t>
  </si>
  <si>
    <t>2021-09-06</t>
  </si>
  <si>
    <t>2021-01-10</t>
  </si>
  <si>
    <t>2022-08-23</t>
  </si>
  <si>
    <t>$6562</t>
  </si>
  <si>
    <t>2021-05-26</t>
  </si>
  <si>
    <t>2021-07-11</t>
  </si>
  <si>
    <t>2024-02-27</t>
  </si>
  <si>
    <t>2023-06-11</t>
  </si>
  <si>
    <t>2022-11-12</t>
  </si>
  <si>
    <t>2021-11-22</t>
  </si>
  <si>
    <t>$5031</t>
  </si>
  <si>
    <t>$25030</t>
  </si>
  <si>
    <t>2022-04-22</t>
  </si>
  <si>
    <t>2024-02-01</t>
  </si>
  <si>
    <t>$5956</t>
  </si>
  <si>
    <t>$3996</t>
  </si>
  <si>
    <t>2024-04-04</t>
  </si>
  <si>
    <t>2023-05-24</t>
  </si>
  <si>
    <t>$20150</t>
  </si>
  <si>
    <t>2023-03-16</t>
  </si>
  <si>
    <t>2023-02-01</t>
  </si>
  <si>
    <t>$27469</t>
  </si>
  <si>
    <t>2021-07-30</t>
  </si>
  <si>
    <t>2021-08-04</t>
  </si>
  <si>
    <t>2022-05-30</t>
  </si>
  <si>
    <t>$5328</t>
  </si>
  <si>
    <t>2021-06-14</t>
  </si>
  <si>
    <t>$15591</t>
  </si>
  <si>
    <t>2022-01-15</t>
  </si>
  <si>
    <t>$16587</t>
  </si>
  <si>
    <t>2022-06-15</t>
  </si>
  <si>
    <t>$21123</t>
  </si>
  <si>
    <t>$363</t>
  </si>
  <si>
    <t>2023-02-28</t>
  </si>
  <si>
    <t>$20829</t>
  </si>
  <si>
    <t>2023-04-04</t>
  </si>
  <si>
    <t>$13681</t>
  </si>
  <si>
    <t>2023-05-08</t>
  </si>
  <si>
    <t>$12367</t>
  </si>
  <si>
    <t>2023-02-11</t>
  </si>
  <si>
    <t>$753</t>
  </si>
  <si>
    <t>$3087</t>
  </si>
  <si>
    <t>$7535</t>
  </si>
  <si>
    <t>2022-10-14</t>
  </si>
  <si>
    <t>2022-02-09</t>
  </si>
  <si>
    <t>2021-09-21</t>
  </si>
  <si>
    <t>$5913</t>
  </si>
  <si>
    <t>2022-09-01</t>
  </si>
  <si>
    <t>2021-09-27</t>
  </si>
  <si>
    <t>$16626</t>
  </si>
  <si>
    <t>2022-08-18</t>
  </si>
  <si>
    <t>2023-08-22</t>
  </si>
  <si>
    <t>2024-01-11</t>
  </si>
  <si>
    <t>2022-04-30</t>
  </si>
  <si>
    <t>$22024</t>
  </si>
  <si>
    <t>2021-06-29</t>
  </si>
  <si>
    <t>2021-04-12</t>
  </si>
  <si>
    <t>2023-04-17</t>
  </si>
  <si>
    <t>2023-09-09</t>
  </si>
  <si>
    <t>$9881</t>
  </si>
  <si>
    <t>$13717</t>
  </si>
  <si>
    <t>2024-04-15</t>
  </si>
  <si>
    <t>$17022</t>
  </si>
  <si>
    <t>$20884</t>
  </si>
  <si>
    <t>2023-08-03</t>
  </si>
  <si>
    <t>$13023</t>
  </si>
  <si>
    <t>$13470</t>
  </si>
  <si>
    <t>$22909</t>
  </si>
  <si>
    <t>$10670</t>
  </si>
  <si>
    <t>2022-03-12</t>
  </si>
  <si>
    <t>$5946</t>
  </si>
  <si>
    <t>$4434</t>
  </si>
  <si>
    <t>2022-09-25</t>
  </si>
  <si>
    <t>2022-07-21</t>
  </si>
  <si>
    <t>2023-05-11</t>
  </si>
  <si>
    <t>$22766</t>
  </si>
  <si>
    <t>$27429</t>
  </si>
  <si>
    <t>$20118</t>
  </si>
  <si>
    <t>2023-06-14</t>
  </si>
  <si>
    <t>2022-12-27</t>
  </si>
  <si>
    <t>$11229</t>
  </si>
  <si>
    <t>2023-06-21</t>
  </si>
  <si>
    <t>2022-10-16</t>
  </si>
  <si>
    <t>$15660</t>
  </si>
  <si>
    <t>2023-08-14</t>
  </si>
  <si>
    <t>2022-03-27</t>
  </si>
  <si>
    <t>2022-03-23</t>
  </si>
  <si>
    <t>$27405</t>
  </si>
  <si>
    <t>$5844</t>
  </si>
  <si>
    <t>$19623</t>
  </si>
  <si>
    <t>$12932</t>
  </si>
  <si>
    <t>2024-03-25</t>
  </si>
  <si>
    <t>$15169</t>
  </si>
  <si>
    <t>2023-08-25</t>
  </si>
  <si>
    <t>2023-01-30</t>
  </si>
  <si>
    <t>2024-03-29</t>
  </si>
  <si>
    <t>$6161</t>
  </si>
  <si>
    <t>2021-12-03</t>
  </si>
  <si>
    <t>2022-06-22</t>
  </si>
  <si>
    <t>2021-07-06</t>
  </si>
  <si>
    <t>2022-06-19</t>
  </si>
  <si>
    <t>2022-10-26</t>
  </si>
  <si>
    <t>$24346</t>
  </si>
  <si>
    <t>2021-01-09</t>
  </si>
  <si>
    <t>2021-06-05</t>
  </si>
  <si>
    <t>$14239</t>
  </si>
  <si>
    <t>$8038</t>
  </si>
  <si>
    <t>2023-05-13</t>
  </si>
  <si>
    <t>$13020</t>
  </si>
  <si>
    <t>$28038</t>
  </si>
  <si>
    <t>2024-02-22</t>
  </si>
  <si>
    <t>$15259</t>
  </si>
  <si>
    <t>2022-11-24</t>
  </si>
  <si>
    <t>2022-04-09</t>
  </si>
  <si>
    <t>2021-10-12</t>
  </si>
  <si>
    <t>$12083</t>
  </si>
  <si>
    <t>2023-03-23</t>
  </si>
  <si>
    <t>2023-08-18</t>
  </si>
  <si>
    <t>2023-08-23</t>
  </si>
  <si>
    <t>$15603</t>
  </si>
  <si>
    <t>2023-09-23</t>
  </si>
  <si>
    <t>2024-04-11</t>
  </si>
  <si>
    <t>$11631</t>
  </si>
  <si>
    <t>2022-02-21</t>
  </si>
  <si>
    <t>$16442</t>
  </si>
  <si>
    <t>2022-03-21</t>
  </si>
  <si>
    <t>$12369</t>
  </si>
  <si>
    <t>$28296</t>
  </si>
  <si>
    <t>$15774</t>
  </si>
  <si>
    <t>$5604</t>
  </si>
  <si>
    <t>$6841</t>
  </si>
  <si>
    <t>2023-01-18</t>
  </si>
  <si>
    <t>2023-01-21</t>
  </si>
  <si>
    <t>$16857</t>
  </si>
  <si>
    <t>2022-12-16</t>
  </si>
  <si>
    <t>2022-02-28</t>
  </si>
  <si>
    <t>2022-06-25</t>
  </si>
  <si>
    <t>2023-12-14</t>
  </si>
  <si>
    <t>$5571</t>
  </si>
  <si>
    <t>$16970</t>
  </si>
  <si>
    <t>2023-10-29</t>
  </si>
  <si>
    <t>$9538</t>
  </si>
  <si>
    <t>$25227</t>
  </si>
  <si>
    <t>2023-05-28</t>
  </si>
  <si>
    <t>$3695</t>
  </si>
  <si>
    <t>2023-05-18</t>
  </si>
  <si>
    <t>2023-08-27</t>
  </si>
  <si>
    <t>$10473</t>
  </si>
  <si>
    <t>2021-12-05</t>
  </si>
  <si>
    <t>$13204</t>
  </si>
  <si>
    <t>2023-10-13</t>
  </si>
  <si>
    <t>$6099</t>
  </si>
  <si>
    <t>$24169</t>
  </si>
  <si>
    <t>2022-04-27</t>
  </si>
  <si>
    <t>2022-05-12</t>
  </si>
  <si>
    <t>2021-06-20</t>
  </si>
  <si>
    <t>2021-06-15</t>
  </si>
  <si>
    <t>2021-03-12</t>
  </si>
  <si>
    <t>$687</t>
  </si>
  <si>
    <t>$20864</t>
  </si>
  <si>
    <t>2021-05-04</t>
  </si>
  <si>
    <t>2023-10-24</t>
  </si>
  <si>
    <t>$11871</t>
  </si>
  <si>
    <t>2022-07-30</t>
  </si>
  <si>
    <t>$9715</t>
  </si>
  <si>
    <t>$2733</t>
  </si>
  <si>
    <t>2023-12-16</t>
  </si>
  <si>
    <t>2024-02-11</t>
  </si>
  <si>
    <t>2021-07-10</t>
  </si>
  <si>
    <t>2022-01-14</t>
  </si>
  <si>
    <t>2021-10-02</t>
  </si>
  <si>
    <t>$10860</t>
  </si>
  <si>
    <t>2021-12-10</t>
  </si>
  <si>
    <t>$3864</t>
  </si>
  <si>
    <t>$22332</t>
  </si>
  <si>
    <t>2023-04-14</t>
  </si>
  <si>
    <t>$22269</t>
  </si>
  <si>
    <t>$2828</t>
  </si>
  <si>
    <t>$19113</t>
  </si>
  <si>
    <t>$9039</t>
  </si>
  <si>
    <t>2023-05-07</t>
  </si>
  <si>
    <t>2022-09-14</t>
  </si>
  <si>
    <t>2023-07-23</t>
  </si>
  <si>
    <t>$22641</t>
  </si>
  <si>
    <t>2024-04-01</t>
  </si>
  <si>
    <t>2023-04-28</t>
  </si>
  <si>
    <t>2022-08-20</t>
  </si>
  <si>
    <t>2022-07-04</t>
  </si>
  <si>
    <t>2023-12-01</t>
  </si>
  <si>
    <t>$16202</t>
  </si>
  <si>
    <t>2024-03-20</t>
  </si>
  <si>
    <t>$22552</t>
  </si>
  <si>
    <t>2024-01-14</t>
  </si>
  <si>
    <t>$20230</t>
  </si>
  <si>
    <t>$27246</t>
  </si>
  <si>
    <t>$18052</t>
  </si>
  <si>
    <t>2021-05-27</t>
  </si>
  <si>
    <t>$15691</t>
  </si>
  <si>
    <t>$4871</t>
  </si>
  <si>
    <t>2023-07-12</t>
  </si>
  <si>
    <t>$3117</t>
  </si>
  <si>
    <t>2022-01-29</t>
  </si>
  <si>
    <t>$11559</t>
  </si>
  <si>
    <t>2022-12-08</t>
  </si>
  <si>
    <t>$8217</t>
  </si>
  <si>
    <t>2024-02-12</t>
  </si>
  <si>
    <t>2022-09-05</t>
  </si>
  <si>
    <t>2021-01-22</t>
  </si>
  <si>
    <t>2023-11-30</t>
  </si>
  <si>
    <t>2023-05-10</t>
  </si>
  <si>
    <t>$6109</t>
  </si>
  <si>
    <t>2021-03-09</t>
  </si>
  <si>
    <t>2023-09-12</t>
  </si>
  <si>
    <t>$16131</t>
  </si>
  <si>
    <t>2021-06-23</t>
  </si>
  <si>
    <t>$16125</t>
  </si>
  <si>
    <t>$6390</t>
  </si>
  <si>
    <t>2022-03-11</t>
  </si>
  <si>
    <t>$11280</t>
  </si>
  <si>
    <t>2021-05-21</t>
  </si>
  <si>
    <t>$14920</t>
  </si>
  <si>
    <t>2021-11-25</t>
  </si>
  <si>
    <t>2023-07-28</t>
  </si>
  <si>
    <t>2023-01-19</t>
  </si>
  <si>
    <t>2021-02-26</t>
  </si>
  <si>
    <t>2023-04-27</t>
  </si>
  <si>
    <t>$22777</t>
  </si>
  <si>
    <t>$24824</t>
  </si>
  <si>
    <t>2021-08-24</t>
  </si>
  <si>
    <t>2024-01-20</t>
  </si>
  <si>
    <t>$6604</t>
  </si>
  <si>
    <t>2021-11-09</t>
  </si>
  <si>
    <t>$18774</t>
  </si>
  <si>
    <t>2022-09-08</t>
  </si>
  <si>
    <t>$7687</t>
  </si>
  <si>
    <t>$28023</t>
  </si>
  <si>
    <t>$24701</t>
  </si>
  <si>
    <t>2022-04-28</t>
  </si>
  <si>
    <t>2022-11-26</t>
  </si>
  <si>
    <t>2022-08-30</t>
  </si>
  <si>
    <t>2022-06-17</t>
  </si>
  <si>
    <t>$19063</t>
  </si>
  <si>
    <t>$9640</t>
  </si>
  <si>
    <t>$641</t>
  </si>
  <si>
    <t>$14287</t>
  </si>
  <si>
    <t>$10215</t>
  </si>
  <si>
    <t>2023-12-25</t>
  </si>
  <si>
    <t>$2600</t>
  </si>
  <si>
    <t>$25131</t>
  </si>
  <si>
    <t>2023-09-06</t>
  </si>
  <si>
    <t>$9262</t>
  </si>
  <si>
    <t>$443</t>
  </si>
  <si>
    <t>2024-03-01</t>
  </si>
  <si>
    <t>$20117</t>
  </si>
  <si>
    <t>$4163</t>
  </si>
  <si>
    <t>2023-11-28</t>
  </si>
  <si>
    <t>$29567</t>
  </si>
  <si>
    <t>$16839</t>
  </si>
  <si>
    <t>$7551</t>
  </si>
  <si>
    <t>$7561</t>
  </si>
  <si>
    <t>2023-08-28</t>
  </si>
  <si>
    <t>$19270</t>
  </si>
  <si>
    <t>2023-07-06</t>
  </si>
  <si>
    <t>2022-09-03</t>
  </si>
  <si>
    <t>2022-12-30</t>
  </si>
  <si>
    <t>$5621</t>
  </si>
  <si>
    <t>2021-10-16</t>
  </si>
  <si>
    <t>$13974</t>
  </si>
  <si>
    <t>$9034</t>
  </si>
  <si>
    <t>$27547</t>
  </si>
  <si>
    <t>2021-02-28</t>
  </si>
  <si>
    <t>$4738</t>
  </si>
  <si>
    <t>$26898</t>
  </si>
  <si>
    <t>2022-04-12</t>
  </si>
  <si>
    <t>$24682</t>
  </si>
  <si>
    <t>$16331</t>
  </si>
  <si>
    <t>2021-07-07</t>
  </si>
  <si>
    <t>2023-10-08</t>
  </si>
  <si>
    <t>$3625</t>
  </si>
  <si>
    <t>$22048</t>
  </si>
  <si>
    <t>2021-11-07</t>
  </si>
  <si>
    <t>2024-02-28</t>
  </si>
  <si>
    <t>$2732</t>
  </si>
  <si>
    <t>2022-03-18</t>
  </si>
  <si>
    <t>$26753</t>
  </si>
  <si>
    <t>2023-06-02</t>
  </si>
  <si>
    <t>$23376</t>
  </si>
  <si>
    <t>2023-10-23</t>
  </si>
  <si>
    <t>$16547</t>
  </si>
  <si>
    <t>$29723</t>
  </si>
  <si>
    <t>$20281</t>
  </si>
  <si>
    <t>2023-04-30</t>
  </si>
  <si>
    <t>2022-08-05</t>
  </si>
  <si>
    <t>2022-05-18</t>
  </si>
  <si>
    <t>$25456</t>
  </si>
  <si>
    <t>2022-06-12</t>
  </si>
  <si>
    <t>$8704</t>
  </si>
  <si>
    <t>2022-07-05</t>
  </si>
  <si>
    <t>$13096</t>
  </si>
  <si>
    <t>$23151</t>
  </si>
  <si>
    <t>2022-02-23</t>
  </si>
  <si>
    <t>$13722</t>
  </si>
  <si>
    <t>2022-06-23</t>
  </si>
  <si>
    <t>2021-07-31</t>
  </si>
  <si>
    <t>$1982</t>
  </si>
  <si>
    <t>$21222</t>
  </si>
  <si>
    <t>2021-03-10</t>
  </si>
  <si>
    <t>$11619</t>
  </si>
  <si>
    <t>2022-05-02</t>
  </si>
  <si>
    <t>$7242</t>
  </si>
  <si>
    <t>$9198</t>
  </si>
  <si>
    <t>2023-01-14</t>
  </si>
  <si>
    <t>2023-10-12</t>
  </si>
  <si>
    <t>$2542</t>
  </si>
  <si>
    <t>2021-03-20</t>
  </si>
  <si>
    <t>2022-08-25</t>
  </si>
  <si>
    <t>$5771</t>
  </si>
  <si>
    <t>$3969</t>
  </si>
  <si>
    <t>2022-05-27</t>
  </si>
  <si>
    <t>2021-06-18</t>
  </si>
  <si>
    <t>$24903</t>
  </si>
  <si>
    <t>$11933</t>
  </si>
  <si>
    <t>$5166</t>
  </si>
  <si>
    <t>2023-09-08</t>
  </si>
  <si>
    <t>$4023</t>
  </si>
  <si>
    <t>2022-01-22</t>
  </si>
  <si>
    <t>2023-12-28</t>
  </si>
  <si>
    <t>$4211</t>
  </si>
  <si>
    <t>2022-08-07</t>
  </si>
  <si>
    <t>2022-06-09</t>
  </si>
  <si>
    <t>$16187</t>
  </si>
  <si>
    <t>$4805</t>
  </si>
  <si>
    <t>2021-04-24</t>
  </si>
  <si>
    <t>2023-11-08</t>
  </si>
  <si>
    <t>$11276</t>
  </si>
  <si>
    <t>$9117</t>
  </si>
  <si>
    <t>$16136</t>
  </si>
  <si>
    <t>$26604</t>
  </si>
  <si>
    <t>$7116</t>
  </si>
  <si>
    <t>2021-10-23</t>
  </si>
  <si>
    <t>$10702</t>
  </si>
  <si>
    <t>$1860</t>
  </si>
  <si>
    <t>$5086</t>
  </si>
  <si>
    <t>$8847</t>
  </si>
  <si>
    <t>$10587</t>
  </si>
  <si>
    <t>$23089</t>
  </si>
  <si>
    <t>2022-04-04</t>
  </si>
  <si>
    <t>$25979</t>
  </si>
  <si>
    <t>2024-03-31</t>
  </si>
  <si>
    <t>2023-10-03</t>
  </si>
  <si>
    <t>2022-07-22</t>
  </si>
  <si>
    <t>$15770</t>
  </si>
  <si>
    <t>$4384</t>
  </si>
  <si>
    <t>$4943</t>
  </si>
  <si>
    <t>2022-08-06</t>
  </si>
  <si>
    <t>2023-03-01</t>
  </si>
  <si>
    <t>$2638</t>
  </si>
  <si>
    <t>$3435</t>
  </si>
  <si>
    <t>2022-12-07</t>
  </si>
  <si>
    <t>$15874</t>
  </si>
  <si>
    <t>2022-03-26</t>
  </si>
  <si>
    <t>2024-03-30</t>
  </si>
  <si>
    <t>$6056</t>
  </si>
  <si>
    <t>$1759</t>
  </si>
  <si>
    <t>2021-02-12</t>
  </si>
  <si>
    <t>$12949</t>
  </si>
  <si>
    <t>2021-09-30</t>
  </si>
  <si>
    <t>2023-09-11</t>
  </si>
  <si>
    <t>$29682</t>
  </si>
  <si>
    <t>$3384</t>
  </si>
  <si>
    <t>$9422</t>
  </si>
  <si>
    <t>2021-02-17</t>
  </si>
  <si>
    <t>$23683</t>
  </si>
  <si>
    <t>$2497</t>
  </si>
  <si>
    <t>$19116</t>
  </si>
  <si>
    <t>$16746</t>
  </si>
  <si>
    <t>2022-11-20</t>
  </si>
  <si>
    <t>$13810</t>
  </si>
  <si>
    <t>$8177</t>
  </si>
  <si>
    <t>$29752</t>
  </si>
  <si>
    <t>$14450</t>
  </si>
  <si>
    <t>$1024</t>
  </si>
  <si>
    <t>$15913</t>
  </si>
  <si>
    <t>2022-11-25</t>
  </si>
  <si>
    <t>$15414</t>
  </si>
  <si>
    <t>2023-06-24</t>
  </si>
  <si>
    <t>$2393</t>
  </si>
  <si>
    <t>2024-04-03</t>
  </si>
  <si>
    <t>$11885</t>
  </si>
  <si>
    <t>2021-09-09</t>
  </si>
  <si>
    <t>2022-06-29</t>
  </si>
  <si>
    <t>$29617</t>
  </si>
  <si>
    <t>$14741</t>
  </si>
  <si>
    <t>2021-07-02</t>
  </si>
  <si>
    <t>2023-03-25</t>
  </si>
  <si>
    <t>$15462</t>
  </si>
  <si>
    <t>2022-12-11</t>
  </si>
  <si>
    <t>$2793</t>
  </si>
  <si>
    <t>$12713</t>
  </si>
  <si>
    <t>2021-01-30</t>
  </si>
  <si>
    <t>$13972</t>
  </si>
  <si>
    <t>$9540</t>
  </si>
  <si>
    <t>2024-02-03</t>
  </si>
  <si>
    <t>$9004</t>
  </si>
  <si>
    <t>2023-09-21</t>
  </si>
  <si>
    <t>$9625</t>
  </si>
  <si>
    <t>$16619</t>
  </si>
  <si>
    <t>$9465</t>
  </si>
  <si>
    <t>2022-02-05</t>
  </si>
  <si>
    <t>2021-09-12</t>
  </si>
  <si>
    <t>2022-05-07</t>
  </si>
  <si>
    <t>$13102</t>
  </si>
  <si>
    <t>2023-06-23</t>
  </si>
  <si>
    <t>$8344</t>
  </si>
  <si>
    <t>2021-12-04</t>
  </si>
  <si>
    <t>$5120</t>
  </si>
  <si>
    <t>2021-10-01</t>
  </si>
  <si>
    <t>2023-02-19</t>
  </si>
  <si>
    <t>2023-09-02</t>
  </si>
  <si>
    <t>2022-03-10</t>
  </si>
  <si>
    <t>$12813</t>
  </si>
  <si>
    <t>$13457</t>
  </si>
  <si>
    <t>2022-04-13</t>
  </si>
  <si>
    <t>2021-05-18</t>
  </si>
  <si>
    <t>$16778</t>
  </si>
  <si>
    <t>Price_Difference</t>
  </si>
  <si>
    <t>Outlier_Flag</t>
  </si>
  <si>
    <t>Duplicate_Sale_ID_Flag</t>
  </si>
  <si>
    <t>Price_Range</t>
  </si>
  <si>
    <t>Unique_Sale_ID_Flag</t>
  </si>
  <si>
    <t>Unknown</t>
  </si>
  <si>
    <t>Mercedes C-Class</t>
  </si>
  <si>
    <t>Summary Tables</t>
  </si>
  <si>
    <t>Selling Price Distribution</t>
  </si>
  <si>
    <t>Average Selling Price by Fuel Type</t>
  </si>
  <si>
    <t>Average Selling Price by Car Model</t>
  </si>
  <si>
    <t>Count of Cars by Region</t>
  </si>
  <si>
    <t>Count</t>
  </si>
  <si>
    <t>Avg_Selling_Price</t>
  </si>
  <si>
    <t>0-4,999</t>
  </si>
  <si>
    <t>5,000-9,999</t>
  </si>
  <si>
    <t>10,000-14,999</t>
  </si>
  <si>
    <t>15,000-19,999</t>
  </si>
  <si>
    <t>20,000-24,999</t>
  </si>
  <si>
    <t>25,000-30,000</t>
  </si>
  <si>
    <t>Dashboard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</si>
</sst>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yyyy\-mm\-dd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Cambria"/>
      <family val="1"/>
      <charset val="238"/>
    </font>
    <font>
      <b/>
      <sz val="12"/>
      <color rgb="FFFFFFFF"/>
      <name val="Cambria"/>
      <family val="1"/>
      <charset val="238"/>
    </font>
    <font>
      <b/>
      <sz val="11"/>
      <color rgb="FF1F2937"/>
      <name val="Cambria"/>
      <family val="1"/>
      <charset val="238"/>
    </font>
    <font>
      <b/>
      <sz val="11"/>
      <color rgb="FFFFFFFF"/>
      <name val="Cambria"/>
      <family val="1"/>
      <charset val="238"/>
    </font>
    <font>
      <b/>
      <sz val="16"/>
      <color rgb="FFFFFFFF"/>
      <name val="Cambria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A9D8F"/>
        <bgColor rgb="FF008080"/>
      </patternFill>
    </fill>
    <fill>
      <patternFill patternType="solid">
        <fgColor rgb="FFD9F0EC"/>
        <bgColor rgb="FFDCE6F1"/>
      </patternFill>
    </fill>
    <fill>
      <patternFill patternType="solid">
        <fgColor rgb="FFDCE6F1"/>
        <bgColor rgb="FFD9F0EC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1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3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D9F0EC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A9D8F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o-RO" sz="1800" b="1" u="none" strike="noStrike">
                <a:solidFill>
                  <a:srgbClr val="000000"/>
                </a:solidFill>
                <a:uFillTx/>
                <a:latin typeface="Calibri"/>
              </a:rPr>
              <a:t>Selling Price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'3_Pivot'!$B$4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o-R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'3_Pivot'!$A$5:$A$10</c:f>
              <c:strCache>
                <c:ptCount val="6"/>
                <c:pt idx="0">
                  <c:v>0-4,999</c:v>
                </c:pt>
                <c:pt idx="1">
                  <c:v>5,000-9,999</c:v>
                </c:pt>
                <c:pt idx="2">
                  <c:v>10,000-14,999</c:v>
                </c:pt>
                <c:pt idx="3">
                  <c:v>15,000-19,999</c:v>
                </c:pt>
                <c:pt idx="4">
                  <c:v>20,000-24,999</c:v>
                </c:pt>
                <c:pt idx="5">
                  <c:v>25,000-30,000</c:v>
                </c:pt>
              </c:strCache>
            </c:strRef>
          </c:cat>
          <c:val>
            <c:numRef>
              <c:f>'3_Pivot'!$B$5:$B$10</c:f>
              <c:numCache>
                <c:formatCode>#,##0</c:formatCode>
                <c:ptCount val="6"/>
                <c:pt idx="0">
                  <c:v>430</c:v>
                </c:pt>
                <c:pt idx="1">
                  <c:v>579</c:v>
                </c:pt>
                <c:pt idx="2">
                  <c:v>461</c:v>
                </c:pt>
                <c:pt idx="3">
                  <c:v>427</c:v>
                </c:pt>
                <c:pt idx="4">
                  <c:v>345</c:v>
                </c:pt>
                <c:pt idx="5">
                  <c:v>258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63744"/>
        <c:axId val="-9763200"/>
      </c:barChart>
      <c:catAx>
        <c:axId val="-9763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Price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63200"/>
        <c:crosses val="autoZero"/>
        <c:auto val="1"/>
        <c:lblAlgn val="ctr"/>
        <c:lblOffset val="100"/>
        <c:noMultiLvlLbl val="0"/>
      </c:catAx>
      <c:valAx>
        <c:axId val="-9763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Cars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63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o-RO" sz="1800" b="1" u="none" strike="noStrike">
                <a:solidFill>
                  <a:srgbClr val="000000"/>
                </a:solidFill>
                <a:uFillTx/>
                <a:latin typeface="Calibri"/>
              </a:rPr>
              <a:t>Average Selling Price by Fuel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'3_Pivot'!$E$4</c:f>
              <c:strCache>
                <c:ptCount val="1"/>
                <c:pt idx="0">
                  <c:v>Avg_Selling_Price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o-R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'3_Pivot'!$D$5:$D$9</c:f>
              <c:strCache>
                <c:ptCount val="5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  <c:pt idx="4">
                  <c:v>Unknown</c:v>
                </c:pt>
              </c:strCache>
            </c:strRef>
          </c:cat>
          <c:val>
            <c:numRef>
              <c:f>'3_Pivot'!$E$5:$E$9</c:f>
              <c:numCache>
                <c:formatCode>\$#,##0</c:formatCode>
                <c:ptCount val="5"/>
                <c:pt idx="0">
                  <c:v>12874.443365695794</c:v>
                </c:pt>
                <c:pt idx="1">
                  <c:v>13768.7875</c:v>
                </c:pt>
                <c:pt idx="2">
                  <c:v>13711.239031770045</c:v>
                </c:pt>
                <c:pt idx="3">
                  <c:v>13302.504273504273</c:v>
                </c:pt>
                <c:pt idx="4">
                  <c:v>13259.553797468354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74624"/>
        <c:axId val="-9770272"/>
      </c:barChart>
      <c:catAx>
        <c:axId val="-97746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Selling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70272"/>
        <c:crosses val="autoZero"/>
        <c:auto val="1"/>
        <c:lblAlgn val="ctr"/>
        <c:lblOffset val="100"/>
        <c:noMultiLvlLbl val="0"/>
      </c:catAx>
      <c:valAx>
        <c:axId val="-97702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Fuel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74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o-RO" sz="1800" b="1" u="none" strike="noStrike">
                <a:solidFill>
                  <a:srgbClr val="000000"/>
                </a:solidFill>
                <a:uFillTx/>
                <a:latin typeface="Calibri"/>
              </a:rPr>
              <a:t>Average Selling Price by Car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'3_Pivot'!$H$4</c:f>
              <c:strCache>
                <c:ptCount val="1"/>
                <c:pt idx="0">
                  <c:v>Avg_Selling_Price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o-RO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'3_Pivot'!$G$5:$G$11</c:f>
              <c:strCache>
                <c:ptCount val="7"/>
                <c:pt idx="0">
                  <c:v>Audi A4</c:v>
                </c:pt>
                <c:pt idx="1">
                  <c:v>BMW 3 Series</c:v>
                </c:pt>
                <c:pt idx="2">
                  <c:v>Ford Focus</c:v>
                </c:pt>
                <c:pt idx="3">
                  <c:v>Honda Civic</c:v>
                </c:pt>
                <c:pt idx="4">
                  <c:v>Mercedes C-Class</c:v>
                </c:pt>
                <c:pt idx="5">
                  <c:v>Toyota Corolla</c:v>
                </c:pt>
                <c:pt idx="6">
                  <c:v>Volkswagen Golf</c:v>
                </c:pt>
              </c:strCache>
            </c:strRef>
          </c:cat>
          <c:val>
            <c:numRef>
              <c:f>'3_Pivot'!$H$5:$H$11</c:f>
              <c:numCache>
                <c:formatCode>\$#,##0</c:formatCode>
                <c:ptCount val="7"/>
                <c:pt idx="0">
                  <c:v>14287.551155115512</c:v>
                </c:pt>
                <c:pt idx="1">
                  <c:v>13054.641693811074</c:v>
                </c:pt>
                <c:pt idx="2">
                  <c:v>13074.450160771705</c:v>
                </c:pt>
                <c:pt idx="3">
                  <c:v>13205.453125</c:v>
                </c:pt>
                <c:pt idx="4">
                  <c:v>12959.493902439024</c:v>
                </c:pt>
                <c:pt idx="5">
                  <c:v>13550.836734693878</c:v>
                </c:pt>
                <c:pt idx="6">
                  <c:v>13548.279141104294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72448"/>
        <c:axId val="-9772992"/>
      </c:barChart>
      <c:catAx>
        <c:axId val="-97724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Selling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72992"/>
        <c:crosses val="autoZero"/>
        <c:auto val="1"/>
        <c:lblAlgn val="ctr"/>
        <c:lblOffset val="100"/>
        <c:noMultiLvlLbl val="0"/>
      </c:catAx>
      <c:valAx>
        <c:axId val="-97729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o-R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Car 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o-RO"/>
          </a:p>
        </c:txPr>
        <c:crossAx val="-9772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130679</xdr:rowOff>
    </xdr:from>
    <xdr:to>
      <xdr:col>10</xdr:col>
      <xdr:colOff>19050</xdr:colOff>
      <xdr:row>18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581024</xdr:colOff>
      <xdr:row>1</xdr:row>
      <xdr:rowOff>130680</xdr:rowOff>
    </xdr:from>
    <xdr:to>
      <xdr:col>21</xdr:col>
      <xdr:colOff>66675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11</xdr:col>
      <xdr:colOff>38100</xdr:colOff>
      <xdr:row>33</xdr:row>
      <xdr:rowOff>153000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Data" displayName="CleanData" ref="A1:R2501" totalsRowShown="0">
  <autoFilter ref="A1:R2501"/>
  <tableColumns count="18">
    <tableColumn id="1" name="Sale_Id"/>
    <tableColumn id="2" name="Sale_Date"/>
    <tableColumn id="3" name="Car_Model"/>
    <tableColumn id="4" name="Year"/>
    <tableColumn id="5" name="Selling_Price"/>
    <tableColumn id="6" name="Present_Price"/>
    <tableColumn id="7" name="Price_Difference"/>
    <tableColumn id="8" name="Km_Driven"/>
    <tableColumn id="9" name="Fuel_Type"/>
    <tableColumn id="10" name="Transmission"/>
    <tableColumn id="11" name="Seller_Type"/>
    <tableColumn id="12" name="Region"/>
    <tableColumn id="13" name="Color"/>
    <tableColumn id="14" name="Owner"/>
    <tableColumn id="15" name="Outlier_Flag"/>
    <tableColumn id="16" name="Duplicate_Sale_ID_Flag"/>
    <tableColumn id="17" name="Price_Range"/>
    <tableColumn id="18" name="Unique_Sale_ID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zoomScaleNormal="100" workbookViewId="0">
      <pane ySplit="3" topLeftCell="A4" activePane="bottomLeft" state="frozen"/>
      <selection pane="bottomLeft" activeCell="D12" sqref="D12"/>
    </sheetView>
  </sheetViews>
  <sheetFormatPr defaultColWidth="8.7109375" defaultRowHeight="15" customHeight="1" x14ac:dyDescent="0.25"/>
  <cols>
    <col min="1" max="1" width="40" customWidth="1"/>
    <col min="2" max="2" width="18" customWidth="1"/>
    <col min="3" max="8" width="12" customWidth="1"/>
  </cols>
  <sheetData>
    <row r="1" spans="1:8" ht="27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3" spans="1:8" ht="15.75" x14ac:dyDescent="0.25">
      <c r="A3" s="14" t="s">
        <v>1</v>
      </c>
      <c r="B3" s="14"/>
      <c r="C3" s="14"/>
      <c r="D3" s="14"/>
      <c r="E3" s="14"/>
      <c r="F3" s="14"/>
      <c r="G3" s="14"/>
      <c r="H3" s="14"/>
    </row>
    <row r="5" spans="1:8" x14ac:dyDescent="0.25">
      <c r="A5" s="1" t="s">
        <v>2</v>
      </c>
      <c r="B5" s="2">
        <f>COUNTA('1_Raw_Data'!A:A)-1</f>
        <v>2500</v>
      </c>
    </row>
    <row r="6" spans="1:8" x14ac:dyDescent="0.25">
      <c r="A6" s="1" t="s">
        <v>3</v>
      </c>
      <c r="B6" s="2">
        <f>COUNTA('2_Clean_Data'!A:A)-1</f>
        <v>2500</v>
      </c>
    </row>
    <row r="7" spans="1:8" x14ac:dyDescent="0.25">
      <c r="A7" s="1" t="s">
        <v>4</v>
      </c>
      <c r="B7" s="2">
        <f>SUM('2_Clean_Data'!R2:R2501)</f>
        <v>598</v>
      </c>
    </row>
    <row r="8" spans="1:8" x14ac:dyDescent="0.25">
      <c r="A8" s="1" t="s">
        <v>5</v>
      </c>
      <c r="B8" s="3">
        <f>AVERAGE('2_Clean_Data'!E2:E2501)</f>
        <v>13359.0124</v>
      </c>
    </row>
    <row r="9" spans="1:8" x14ac:dyDescent="0.25">
      <c r="A9" s="1" t="s">
        <v>6</v>
      </c>
      <c r="B9" s="3">
        <f>AVERAGE('2_Clean_Data'!G2:G2501)</f>
        <v>4018.1876000000002</v>
      </c>
    </row>
    <row r="10" spans="1:8" x14ac:dyDescent="0.25">
      <c r="A10" s="1" t="s">
        <v>7</v>
      </c>
      <c r="B10" s="2">
        <f>COUNTIF('2_Clean_Data'!P2:P2501,"Duplicate ID")</f>
        <v>2462</v>
      </c>
    </row>
    <row r="13" spans="1:8" ht="15.75" x14ac:dyDescent="0.25">
      <c r="A13" s="14" t="s">
        <v>8</v>
      </c>
      <c r="B13" s="14"/>
      <c r="C13" s="14"/>
      <c r="D13" s="14"/>
      <c r="E13" s="14"/>
      <c r="F13" s="14"/>
      <c r="G13" s="14"/>
      <c r="H13" s="14"/>
    </row>
    <row r="14" spans="1:8" ht="45" x14ac:dyDescent="0.25">
      <c r="A14" s="4" t="s">
        <v>9</v>
      </c>
    </row>
    <row r="15" spans="1:8" ht="45" x14ac:dyDescent="0.25">
      <c r="A15" s="4" t="s">
        <v>10</v>
      </c>
    </row>
    <row r="16" spans="1:8" ht="30" x14ac:dyDescent="0.25">
      <c r="A16" s="4" t="s">
        <v>11</v>
      </c>
    </row>
    <row r="17" spans="1:8" ht="30" x14ac:dyDescent="0.25">
      <c r="A17" s="4" t="s">
        <v>12</v>
      </c>
    </row>
    <row r="20" spans="1:8" ht="15.75" x14ac:dyDescent="0.25">
      <c r="A20" s="14" t="s">
        <v>13</v>
      </c>
      <c r="B20" s="14"/>
      <c r="C20" s="14"/>
      <c r="D20" s="14"/>
      <c r="E20" s="14"/>
      <c r="F20" s="14"/>
      <c r="G20" s="14"/>
      <c r="H20" s="14"/>
    </row>
    <row r="21" spans="1:8" x14ac:dyDescent="0.25">
      <c r="A21" s="4" t="s">
        <v>14</v>
      </c>
    </row>
    <row r="22" spans="1:8" ht="30" x14ac:dyDescent="0.25">
      <c r="A22" s="4" t="s">
        <v>15</v>
      </c>
    </row>
    <row r="23" spans="1:8" ht="30" x14ac:dyDescent="0.25">
      <c r="A23" s="4" t="s">
        <v>16</v>
      </c>
    </row>
    <row r="24" spans="1:8" ht="30" x14ac:dyDescent="0.25">
      <c r="A24" s="4" t="s">
        <v>17</v>
      </c>
    </row>
  </sheetData>
  <mergeCells count="4">
    <mergeCell ref="A1:H1"/>
    <mergeCell ref="A3:H3"/>
    <mergeCell ref="A13:H13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" width="10" customWidth="1"/>
    <col min="2" max="2" width="14" customWidth="1"/>
    <col min="3" max="3" width="20" customWidth="1"/>
    <col min="4" max="4" width="10" customWidth="1"/>
    <col min="5" max="6" width="14" customWidth="1"/>
    <col min="7" max="8" width="12" customWidth="1"/>
    <col min="9" max="10" width="14" customWidth="1"/>
    <col min="11" max="11" width="16" customWidth="1"/>
    <col min="12" max="12" width="12" customWidth="1"/>
    <col min="13" max="13" width="10" customWidth="1"/>
  </cols>
  <sheetData>
    <row r="1" spans="1:13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spans="1:13" x14ac:dyDescent="0.25">
      <c r="A2">
        <v>1104</v>
      </c>
      <c r="B2" t="s">
        <v>31</v>
      </c>
      <c r="C2" t="s">
        <v>32</v>
      </c>
      <c r="D2">
        <v>2014</v>
      </c>
      <c r="E2">
        <v>15172</v>
      </c>
      <c r="F2">
        <v>18000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>
        <v>1</v>
      </c>
    </row>
    <row r="3" spans="1:13" x14ac:dyDescent="0.25">
      <c r="A3">
        <v>1429</v>
      </c>
      <c r="B3" t="s">
        <v>39</v>
      </c>
      <c r="C3" t="s">
        <v>40</v>
      </c>
      <c r="D3">
        <v>2022</v>
      </c>
      <c r="E3">
        <v>8677</v>
      </c>
      <c r="F3">
        <v>15000</v>
      </c>
      <c r="G3">
        <v>120000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>
        <v>1</v>
      </c>
    </row>
    <row r="4" spans="1:13" x14ac:dyDescent="0.25">
      <c r="A4">
        <v>1367</v>
      </c>
      <c r="B4" t="s">
        <v>46</v>
      </c>
      <c r="C4" t="s">
        <v>47</v>
      </c>
      <c r="D4">
        <v>2019</v>
      </c>
      <c r="E4">
        <v>4888</v>
      </c>
      <c r="F4">
        <v>9000</v>
      </c>
      <c r="G4">
        <v>15000</v>
      </c>
      <c r="J4" t="s">
        <v>36</v>
      </c>
      <c r="K4" t="s">
        <v>48</v>
      </c>
      <c r="L4" t="s">
        <v>49</v>
      </c>
    </row>
    <row r="5" spans="1:13" x14ac:dyDescent="0.25">
      <c r="A5">
        <v>1046</v>
      </c>
      <c r="B5" t="s">
        <v>50</v>
      </c>
      <c r="C5" t="s">
        <v>51</v>
      </c>
      <c r="D5" t="s">
        <v>52</v>
      </c>
      <c r="E5">
        <v>19425</v>
      </c>
      <c r="F5">
        <v>22000</v>
      </c>
      <c r="G5">
        <v>80000</v>
      </c>
      <c r="H5" t="s">
        <v>53</v>
      </c>
      <c r="I5" t="s">
        <v>35</v>
      </c>
      <c r="J5" t="s">
        <v>43</v>
      </c>
      <c r="K5" t="s">
        <v>54</v>
      </c>
      <c r="L5" t="s">
        <v>55</v>
      </c>
      <c r="M5">
        <v>2</v>
      </c>
    </row>
    <row r="6" spans="1:13" x14ac:dyDescent="0.25">
      <c r="A6">
        <v>1073</v>
      </c>
      <c r="B6" t="s">
        <v>56</v>
      </c>
      <c r="C6" t="s">
        <v>57</v>
      </c>
      <c r="D6">
        <v>2019</v>
      </c>
      <c r="E6">
        <v>15510</v>
      </c>
      <c r="F6">
        <v>22000</v>
      </c>
      <c r="G6">
        <v>25000</v>
      </c>
      <c r="H6" t="s">
        <v>58</v>
      </c>
      <c r="I6" t="s">
        <v>59</v>
      </c>
      <c r="J6" t="s">
        <v>43</v>
      </c>
      <c r="K6" t="s">
        <v>54</v>
      </c>
      <c r="M6">
        <v>1</v>
      </c>
    </row>
    <row r="7" spans="1:13" x14ac:dyDescent="0.25">
      <c r="A7">
        <v>1274</v>
      </c>
      <c r="B7" t="s">
        <v>60</v>
      </c>
      <c r="C7" t="s">
        <v>61</v>
      </c>
      <c r="D7">
        <v>2014</v>
      </c>
      <c r="E7" t="s">
        <v>62</v>
      </c>
      <c r="F7">
        <v>15000</v>
      </c>
      <c r="G7">
        <v>15000</v>
      </c>
      <c r="H7" t="s">
        <v>63</v>
      </c>
      <c r="I7" t="s">
        <v>42</v>
      </c>
      <c r="J7" t="s">
        <v>43</v>
      </c>
      <c r="K7" t="s">
        <v>48</v>
      </c>
      <c r="L7" t="s">
        <v>55</v>
      </c>
      <c r="M7">
        <v>1</v>
      </c>
    </row>
    <row r="8" spans="1:13" x14ac:dyDescent="0.25">
      <c r="A8">
        <v>1269</v>
      </c>
      <c r="B8" t="s">
        <v>64</v>
      </c>
      <c r="C8" t="s">
        <v>65</v>
      </c>
      <c r="D8">
        <v>2016</v>
      </c>
      <c r="E8">
        <v>9402</v>
      </c>
      <c r="F8">
        <v>15000</v>
      </c>
      <c r="G8">
        <v>120000</v>
      </c>
      <c r="H8" t="s">
        <v>63</v>
      </c>
      <c r="I8" t="s">
        <v>42</v>
      </c>
      <c r="J8" t="s">
        <v>66</v>
      </c>
      <c r="L8" t="s">
        <v>55</v>
      </c>
      <c r="M8">
        <v>0</v>
      </c>
    </row>
    <row r="9" spans="1:13" x14ac:dyDescent="0.25">
      <c r="A9">
        <v>1065</v>
      </c>
      <c r="B9" t="s">
        <v>67</v>
      </c>
      <c r="C9" t="s">
        <v>68</v>
      </c>
      <c r="D9">
        <v>2015</v>
      </c>
      <c r="E9">
        <v>9690</v>
      </c>
      <c r="F9">
        <v>12000</v>
      </c>
      <c r="G9">
        <v>120000</v>
      </c>
      <c r="H9" t="s">
        <v>69</v>
      </c>
      <c r="J9" t="s">
        <v>36</v>
      </c>
      <c r="K9" t="s">
        <v>37</v>
      </c>
      <c r="M9">
        <v>2</v>
      </c>
    </row>
    <row r="10" spans="1:13" x14ac:dyDescent="0.25">
      <c r="A10">
        <v>1003</v>
      </c>
      <c r="B10" t="s">
        <v>70</v>
      </c>
      <c r="C10" t="s">
        <v>61</v>
      </c>
      <c r="D10">
        <v>2015</v>
      </c>
      <c r="E10">
        <v>15705</v>
      </c>
      <c r="F10">
        <v>18000</v>
      </c>
      <c r="G10">
        <v>60000</v>
      </c>
      <c r="H10" t="s">
        <v>58</v>
      </c>
      <c r="J10" t="s">
        <v>36</v>
      </c>
      <c r="K10" t="s">
        <v>54</v>
      </c>
    </row>
    <row r="11" spans="1:13" x14ac:dyDescent="0.25">
      <c r="A11">
        <v>1000</v>
      </c>
      <c r="B11" t="s">
        <v>71</v>
      </c>
      <c r="C11" t="s">
        <v>47</v>
      </c>
      <c r="D11">
        <v>2016</v>
      </c>
      <c r="E11">
        <v>16582</v>
      </c>
      <c r="F11">
        <v>22000</v>
      </c>
      <c r="G11" t="s">
        <v>33</v>
      </c>
      <c r="H11" t="s">
        <v>63</v>
      </c>
      <c r="I11" t="s">
        <v>72</v>
      </c>
      <c r="J11" t="s">
        <v>66</v>
      </c>
      <c r="K11" t="s">
        <v>73</v>
      </c>
      <c r="L11" t="s">
        <v>38</v>
      </c>
    </row>
    <row r="12" spans="1:13" x14ac:dyDescent="0.25">
      <c r="A12">
        <v>1131</v>
      </c>
      <c r="B12" t="s">
        <v>74</v>
      </c>
      <c r="C12" t="s">
        <v>75</v>
      </c>
      <c r="D12">
        <v>2015</v>
      </c>
      <c r="E12">
        <v>25637</v>
      </c>
      <c r="F12">
        <v>31000</v>
      </c>
      <c r="G12" t="s">
        <v>76</v>
      </c>
      <c r="H12" t="s">
        <v>34</v>
      </c>
      <c r="I12" t="s">
        <v>42</v>
      </c>
      <c r="K12" t="s">
        <v>77</v>
      </c>
      <c r="L12" t="s">
        <v>45</v>
      </c>
      <c r="M12">
        <v>3</v>
      </c>
    </row>
    <row r="13" spans="1:13" x14ac:dyDescent="0.25">
      <c r="A13">
        <v>1065</v>
      </c>
      <c r="B13" t="s">
        <v>78</v>
      </c>
      <c r="C13" t="s">
        <v>79</v>
      </c>
      <c r="D13">
        <v>2021</v>
      </c>
      <c r="E13">
        <v>27970</v>
      </c>
      <c r="F13">
        <v>31000</v>
      </c>
      <c r="G13" t="s">
        <v>76</v>
      </c>
      <c r="H13" t="s">
        <v>53</v>
      </c>
      <c r="I13" t="s">
        <v>35</v>
      </c>
      <c r="J13" t="s">
        <v>36</v>
      </c>
      <c r="K13" t="s">
        <v>73</v>
      </c>
      <c r="L13" t="s">
        <v>38</v>
      </c>
      <c r="M13">
        <v>0</v>
      </c>
    </row>
    <row r="14" spans="1:13" x14ac:dyDescent="0.25">
      <c r="A14">
        <v>1497</v>
      </c>
      <c r="B14" t="s">
        <v>80</v>
      </c>
      <c r="C14" t="s">
        <v>68</v>
      </c>
      <c r="D14">
        <v>2019</v>
      </c>
      <c r="E14">
        <v>6051</v>
      </c>
      <c r="F14" t="s">
        <v>81</v>
      </c>
      <c r="G14">
        <v>80000</v>
      </c>
      <c r="I14" t="s">
        <v>42</v>
      </c>
      <c r="J14" t="s">
        <v>43</v>
      </c>
      <c r="K14" t="s">
        <v>48</v>
      </c>
      <c r="L14" t="s">
        <v>38</v>
      </c>
      <c r="M14">
        <v>0</v>
      </c>
    </row>
    <row r="15" spans="1:13" x14ac:dyDescent="0.25">
      <c r="A15">
        <v>1478</v>
      </c>
      <c r="B15" t="s">
        <v>82</v>
      </c>
      <c r="C15" t="s">
        <v>32</v>
      </c>
      <c r="D15" t="s">
        <v>52</v>
      </c>
      <c r="E15">
        <v>21531</v>
      </c>
      <c r="F15" t="s">
        <v>83</v>
      </c>
      <c r="G15">
        <v>40000</v>
      </c>
      <c r="H15" t="s">
        <v>84</v>
      </c>
      <c r="I15" t="s">
        <v>35</v>
      </c>
      <c r="J15" t="s">
        <v>43</v>
      </c>
      <c r="K15" t="s">
        <v>44</v>
      </c>
      <c r="L15" t="s">
        <v>49</v>
      </c>
      <c r="M15">
        <v>1</v>
      </c>
    </row>
    <row r="16" spans="1:13" x14ac:dyDescent="0.25">
      <c r="A16">
        <v>1285</v>
      </c>
      <c r="B16" t="s">
        <v>85</v>
      </c>
      <c r="C16" t="s">
        <v>47</v>
      </c>
      <c r="D16">
        <v>2017</v>
      </c>
      <c r="E16">
        <v>26544</v>
      </c>
      <c r="F16">
        <v>31000</v>
      </c>
      <c r="G16" t="s">
        <v>33</v>
      </c>
      <c r="H16" t="s">
        <v>84</v>
      </c>
      <c r="I16" t="s">
        <v>35</v>
      </c>
      <c r="K16" t="s">
        <v>73</v>
      </c>
      <c r="L16" t="s">
        <v>49</v>
      </c>
      <c r="M16">
        <v>1</v>
      </c>
    </row>
    <row r="17" spans="1:13" x14ac:dyDescent="0.25">
      <c r="A17">
        <v>1060</v>
      </c>
      <c r="B17" t="s">
        <v>60</v>
      </c>
      <c r="C17" t="s">
        <v>57</v>
      </c>
      <c r="D17">
        <v>2020</v>
      </c>
      <c r="E17" t="s">
        <v>86</v>
      </c>
      <c r="F17" t="s">
        <v>87</v>
      </c>
      <c r="G17">
        <v>60000</v>
      </c>
      <c r="I17" t="s">
        <v>72</v>
      </c>
      <c r="J17" t="s">
        <v>43</v>
      </c>
      <c r="L17" t="s">
        <v>55</v>
      </c>
      <c r="M17">
        <v>1</v>
      </c>
    </row>
    <row r="18" spans="1:13" x14ac:dyDescent="0.25">
      <c r="A18">
        <v>1062</v>
      </c>
      <c r="B18" t="s">
        <v>88</v>
      </c>
      <c r="C18" t="s">
        <v>47</v>
      </c>
      <c r="D18">
        <v>2018</v>
      </c>
      <c r="E18">
        <v>9256</v>
      </c>
      <c r="F18" t="s">
        <v>89</v>
      </c>
      <c r="G18">
        <v>15000</v>
      </c>
      <c r="H18" t="s">
        <v>58</v>
      </c>
      <c r="I18" t="s">
        <v>35</v>
      </c>
      <c r="K18" t="s">
        <v>37</v>
      </c>
      <c r="L18" t="s">
        <v>90</v>
      </c>
      <c r="M18">
        <v>0</v>
      </c>
    </row>
    <row r="19" spans="1:13" x14ac:dyDescent="0.25">
      <c r="A19">
        <v>1252</v>
      </c>
      <c r="B19" t="s">
        <v>91</v>
      </c>
      <c r="C19" t="s">
        <v>75</v>
      </c>
      <c r="D19" t="s">
        <v>52</v>
      </c>
      <c r="E19">
        <v>13018</v>
      </c>
      <c r="F19" t="s">
        <v>89</v>
      </c>
      <c r="G19" t="s">
        <v>92</v>
      </c>
      <c r="H19" t="s">
        <v>63</v>
      </c>
      <c r="I19" t="s">
        <v>72</v>
      </c>
      <c r="J19" t="s">
        <v>66</v>
      </c>
      <c r="K19" t="s">
        <v>44</v>
      </c>
      <c r="L19" t="s">
        <v>38</v>
      </c>
      <c r="M19">
        <v>2</v>
      </c>
    </row>
    <row r="20" spans="1:13" x14ac:dyDescent="0.25">
      <c r="A20">
        <v>1009</v>
      </c>
      <c r="B20" t="s">
        <v>93</v>
      </c>
      <c r="C20" t="s">
        <v>94</v>
      </c>
      <c r="D20">
        <v>2016</v>
      </c>
      <c r="E20">
        <v>14410</v>
      </c>
      <c r="F20">
        <v>18000</v>
      </c>
      <c r="G20">
        <v>60000</v>
      </c>
      <c r="H20" t="s">
        <v>84</v>
      </c>
      <c r="J20" t="s">
        <v>66</v>
      </c>
      <c r="L20" t="s">
        <v>45</v>
      </c>
      <c r="M20">
        <v>1</v>
      </c>
    </row>
    <row r="21" spans="1:13" x14ac:dyDescent="0.25">
      <c r="A21">
        <v>1448</v>
      </c>
      <c r="B21" t="s">
        <v>95</v>
      </c>
      <c r="C21" t="s">
        <v>79</v>
      </c>
      <c r="D21">
        <v>2015</v>
      </c>
      <c r="E21">
        <v>11666</v>
      </c>
      <c r="F21">
        <v>15000</v>
      </c>
      <c r="G21">
        <v>40000</v>
      </c>
      <c r="H21" t="s">
        <v>41</v>
      </c>
      <c r="J21" t="s">
        <v>96</v>
      </c>
      <c r="K21" t="s">
        <v>37</v>
      </c>
      <c r="L21" t="s">
        <v>90</v>
      </c>
      <c r="M21">
        <v>2</v>
      </c>
    </row>
    <row r="22" spans="1:13" x14ac:dyDescent="0.25">
      <c r="A22">
        <v>1351</v>
      </c>
      <c r="B22" t="s">
        <v>97</v>
      </c>
      <c r="C22" t="s">
        <v>32</v>
      </c>
      <c r="D22">
        <v>2015</v>
      </c>
      <c r="E22">
        <v>8692</v>
      </c>
      <c r="F22">
        <v>12000</v>
      </c>
      <c r="G22">
        <v>40000</v>
      </c>
      <c r="I22" t="s">
        <v>72</v>
      </c>
      <c r="J22" t="s">
        <v>36</v>
      </c>
      <c r="K22" t="s">
        <v>37</v>
      </c>
      <c r="L22" t="s">
        <v>98</v>
      </c>
      <c r="M22">
        <v>2</v>
      </c>
    </row>
    <row r="23" spans="1:13" x14ac:dyDescent="0.25">
      <c r="A23">
        <v>1165</v>
      </c>
      <c r="B23" t="s">
        <v>99</v>
      </c>
      <c r="C23" t="s">
        <v>68</v>
      </c>
      <c r="D23">
        <v>2014</v>
      </c>
      <c r="E23">
        <v>15781</v>
      </c>
      <c r="F23">
        <v>22000</v>
      </c>
      <c r="G23">
        <v>25000</v>
      </c>
      <c r="H23" t="s">
        <v>41</v>
      </c>
      <c r="I23" t="s">
        <v>35</v>
      </c>
      <c r="J23" t="s">
        <v>36</v>
      </c>
      <c r="K23" t="s">
        <v>100</v>
      </c>
      <c r="M23">
        <v>0</v>
      </c>
    </row>
    <row r="24" spans="1:13" x14ac:dyDescent="0.25">
      <c r="A24">
        <v>1315</v>
      </c>
      <c r="B24" t="s">
        <v>101</v>
      </c>
      <c r="C24" t="s">
        <v>79</v>
      </c>
      <c r="E24">
        <v>9956</v>
      </c>
      <c r="F24">
        <v>12000</v>
      </c>
      <c r="G24">
        <v>60000</v>
      </c>
      <c r="H24" t="s">
        <v>41</v>
      </c>
      <c r="I24" t="s">
        <v>72</v>
      </c>
      <c r="J24" t="s">
        <v>66</v>
      </c>
      <c r="K24" t="s">
        <v>77</v>
      </c>
      <c r="L24" t="s">
        <v>49</v>
      </c>
      <c r="M24">
        <v>2</v>
      </c>
    </row>
    <row r="25" spans="1:13" x14ac:dyDescent="0.25">
      <c r="A25">
        <v>1422</v>
      </c>
      <c r="B25" t="s">
        <v>102</v>
      </c>
      <c r="C25" t="s">
        <v>103</v>
      </c>
      <c r="E25" t="s">
        <v>104</v>
      </c>
      <c r="F25">
        <v>12000</v>
      </c>
      <c r="G25">
        <v>25000</v>
      </c>
      <c r="H25" t="s">
        <v>34</v>
      </c>
      <c r="I25" t="s">
        <v>42</v>
      </c>
      <c r="J25" t="s">
        <v>96</v>
      </c>
      <c r="K25" t="s">
        <v>100</v>
      </c>
      <c r="L25" t="s">
        <v>49</v>
      </c>
      <c r="M25">
        <v>3</v>
      </c>
    </row>
    <row r="26" spans="1:13" x14ac:dyDescent="0.25">
      <c r="A26">
        <v>1312</v>
      </c>
      <c r="B26" t="s">
        <v>105</v>
      </c>
      <c r="C26" t="s">
        <v>68</v>
      </c>
      <c r="D26">
        <v>2021</v>
      </c>
      <c r="E26">
        <v>10230</v>
      </c>
      <c r="F26">
        <v>15000</v>
      </c>
      <c r="G26" t="s">
        <v>33</v>
      </c>
      <c r="H26" t="s">
        <v>53</v>
      </c>
      <c r="I26" t="s">
        <v>59</v>
      </c>
      <c r="J26" t="s">
        <v>96</v>
      </c>
      <c r="K26" t="s">
        <v>54</v>
      </c>
      <c r="L26" t="s">
        <v>49</v>
      </c>
      <c r="M26">
        <v>2</v>
      </c>
    </row>
    <row r="27" spans="1:13" x14ac:dyDescent="0.25">
      <c r="A27">
        <v>1028</v>
      </c>
      <c r="B27" t="s">
        <v>106</v>
      </c>
      <c r="C27" t="s">
        <v>79</v>
      </c>
      <c r="D27" t="s">
        <v>52</v>
      </c>
      <c r="E27" t="s">
        <v>107</v>
      </c>
      <c r="F27">
        <v>26000</v>
      </c>
      <c r="G27" t="s">
        <v>108</v>
      </c>
      <c r="H27" t="s">
        <v>69</v>
      </c>
      <c r="I27" t="s">
        <v>35</v>
      </c>
      <c r="J27" t="s">
        <v>36</v>
      </c>
      <c r="K27" t="s">
        <v>48</v>
      </c>
      <c r="L27" t="s">
        <v>109</v>
      </c>
      <c r="M27">
        <v>2</v>
      </c>
    </row>
    <row r="28" spans="1:13" x14ac:dyDescent="0.25">
      <c r="A28">
        <v>1260</v>
      </c>
      <c r="B28" t="s">
        <v>110</v>
      </c>
      <c r="C28" t="s">
        <v>103</v>
      </c>
      <c r="E28" t="s">
        <v>111</v>
      </c>
      <c r="F28">
        <v>9000</v>
      </c>
      <c r="G28">
        <v>60000</v>
      </c>
      <c r="H28" t="s">
        <v>53</v>
      </c>
      <c r="I28" t="s">
        <v>72</v>
      </c>
      <c r="J28" t="s">
        <v>43</v>
      </c>
      <c r="K28" t="s">
        <v>37</v>
      </c>
      <c r="L28" t="s">
        <v>109</v>
      </c>
    </row>
    <row r="29" spans="1:13" x14ac:dyDescent="0.25">
      <c r="A29">
        <v>1316</v>
      </c>
      <c r="B29" t="s">
        <v>112</v>
      </c>
      <c r="C29" t="s">
        <v>61</v>
      </c>
      <c r="D29" t="s">
        <v>52</v>
      </c>
      <c r="E29">
        <v>5540</v>
      </c>
      <c r="F29">
        <v>9000</v>
      </c>
      <c r="G29">
        <v>120000</v>
      </c>
      <c r="H29" t="s">
        <v>58</v>
      </c>
      <c r="I29" t="s">
        <v>42</v>
      </c>
      <c r="J29" t="s">
        <v>43</v>
      </c>
      <c r="K29" t="s">
        <v>48</v>
      </c>
      <c r="L29" t="s">
        <v>90</v>
      </c>
    </row>
    <row r="30" spans="1:13" x14ac:dyDescent="0.25">
      <c r="A30">
        <v>1440</v>
      </c>
      <c r="B30" t="s">
        <v>113</v>
      </c>
      <c r="C30" t="s">
        <v>51</v>
      </c>
      <c r="D30">
        <v>2020</v>
      </c>
      <c r="E30">
        <v>3650</v>
      </c>
      <c r="F30">
        <v>7000</v>
      </c>
      <c r="G30">
        <v>40000</v>
      </c>
      <c r="I30" t="s">
        <v>59</v>
      </c>
      <c r="J30" t="s">
        <v>66</v>
      </c>
      <c r="L30" t="s">
        <v>55</v>
      </c>
      <c r="M30">
        <v>1</v>
      </c>
    </row>
    <row r="31" spans="1:13" x14ac:dyDescent="0.25">
      <c r="A31">
        <v>1230</v>
      </c>
      <c r="B31" t="s">
        <v>114</v>
      </c>
      <c r="C31" t="s">
        <v>75</v>
      </c>
      <c r="D31">
        <v>2018</v>
      </c>
      <c r="E31">
        <v>19076</v>
      </c>
      <c r="F31" t="s">
        <v>115</v>
      </c>
      <c r="G31" t="s">
        <v>76</v>
      </c>
      <c r="J31" t="s">
        <v>36</v>
      </c>
      <c r="K31" t="s">
        <v>116</v>
      </c>
      <c r="L31" t="s">
        <v>98</v>
      </c>
    </row>
    <row r="32" spans="1:13" x14ac:dyDescent="0.25">
      <c r="A32">
        <v>1005</v>
      </c>
      <c r="B32" t="s">
        <v>117</v>
      </c>
      <c r="C32" t="s">
        <v>47</v>
      </c>
      <c r="D32">
        <v>2020</v>
      </c>
      <c r="E32">
        <v>28002</v>
      </c>
      <c r="F32">
        <v>31000</v>
      </c>
      <c r="G32">
        <v>60000</v>
      </c>
      <c r="H32" t="s">
        <v>34</v>
      </c>
      <c r="I32" t="s">
        <v>42</v>
      </c>
      <c r="J32" t="s">
        <v>66</v>
      </c>
      <c r="L32" t="s">
        <v>55</v>
      </c>
      <c r="M32">
        <v>0</v>
      </c>
    </row>
    <row r="33" spans="1:13" x14ac:dyDescent="0.25">
      <c r="A33">
        <v>1572</v>
      </c>
      <c r="B33" t="s">
        <v>118</v>
      </c>
      <c r="C33" t="s">
        <v>119</v>
      </c>
      <c r="D33">
        <v>2015</v>
      </c>
      <c r="E33">
        <v>26194</v>
      </c>
      <c r="F33">
        <v>31000</v>
      </c>
      <c r="G33">
        <v>25000</v>
      </c>
      <c r="H33" t="s">
        <v>34</v>
      </c>
      <c r="J33" t="s">
        <v>43</v>
      </c>
      <c r="K33" t="s">
        <v>100</v>
      </c>
      <c r="L33" t="s">
        <v>55</v>
      </c>
      <c r="M33">
        <v>3</v>
      </c>
    </row>
    <row r="34" spans="1:13" x14ac:dyDescent="0.25">
      <c r="A34">
        <v>1281</v>
      </c>
      <c r="B34" t="s">
        <v>120</v>
      </c>
      <c r="C34" t="s">
        <v>65</v>
      </c>
      <c r="D34">
        <v>2017</v>
      </c>
      <c r="E34">
        <v>13031</v>
      </c>
      <c r="F34">
        <v>18000</v>
      </c>
      <c r="G34" t="s">
        <v>121</v>
      </c>
      <c r="H34" t="s">
        <v>63</v>
      </c>
      <c r="I34" t="s">
        <v>72</v>
      </c>
      <c r="K34" t="s">
        <v>37</v>
      </c>
      <c r="L34" t="s">
        <v>90</v>
      </c>
      <c r="M34">
        <v>1</v>
      </c>
    </row>
    <row r="35" spans="1:13" x14ac:dyDescent="0.25">
      <c r="A35">
        <v>1424</v>
      </c>
      <c r="B35" t="s">
        <v>122</v>
      </c>
      <c r="C35" t="s">
        <v>119</v>
      </c>
      <c r="D35">
        <v>2020</v>
      </c>
      <c r="E35">
        <v>9248</v>
      </c>
      <c r="F35">
        <v>12000</v>
      </c>
      <c r="G35">
        <v>120000</v>
      </c>
      <c r="H35" t="s">
        <v>53</v>
      </c>
      <c r="I35" t="s">
        <v>59</v>
      </c>
      <c r="J35" t="s">
        <v>43</v>
      </c>
      <c r="K35" t="s">
        <v>73</v>
      </c>
      <c r="L35" t="s">
        <v>98</v>
      </c>
      <c r="M35">
        <v>3</v>
      </c>
    </row>
    <row r="36" spans="1:13" x14ac:dyDescent="0.25">
      <c r="A36">
        <v>1559</v>
      </c>
      <c r="B36" t="s">
        <v>123</v>
      </c>
      <c r="C36" t="s">
        <v>40</v>
      </c>
      <c r="D36">
        <v>2019</v>
      </c>
      <c r="E36">
        <v>13568</v>
      </c>
      <c r="F36">
        <v>18000</v>
      </c>
      <c r="G36">
        <v>60000</v>
      </c>
      <c r="H36" t="s">
        <v>69</v>
      </c>
      <c r="I36" t="s">
        <v>59</v>
      </c>
      <c r="J36" t="s">
        <v>43</v>
      </c>
      <c r="K36" t="s">
        <v>73</v>
      </c>
      <c r="L36" t="s">
        <v>98</v>
      </c>
      <c r="M36">
        <v>2</v>
      </c>
    </row>
    <row r="37" spans="1:13" x14ac:dyDescent="0.25">
      <c r="A37">
        <v>1027</v>
      </c>
      <c r="B37" t="s">
        <v>124</v>
      </c>
      <c r="C37" t="s">
        <v>94</v>
      </c>
      <c r="D37">
        <v>2016</v>
      </c>
      <c r="E37">
        <v>24903</v>
      </c>
      <c r="F37">
        <v>31000</v>
      </c>
      <c r="G37">
        <v>25000</v>
      </c>
      <c r="H37" t="s">
        <v>84</v>
      </c>
      <c r="I37" t="s">
        <v>59</v>
      </c>
      <c r="J37" t="s">
        <v>66</v>
      </c>
      <c r="K37" t="s">
        <v>116</v>
      </c>
      <c r="L37" t="s">
        <v>90</v>
      </c>
      <c r="M37">
        <v>0</v>
      </c>
    </row>
    <row r="38" spans="1:13" x14ac:dyDescent="0.25">
      <c r="A38">
        <v>1345</v>
      </c>
      <c r="B38" t="s">
        <v>125</v>
      </c>
      <c r="C38" t="s">
        <v>65</v>
      </c>
      <c r="D38">
        <v>2020</v>
      </c>
      <c r="E38">
        <v>17276</v>
      </c>
      <c r="F38">
        <v>22000</v>
      </c>
      <c r="G38">
        <v>25000</v>
      </c>
      <c r="H38" t="s">
        <v>34</v>
      </c>
      <c r="I38" t="s">
        <v>72</v>
      </c>
      <c r="J38" t="s">
        <v>36</v>
      </c>
      <c r="K38" t="s">
        <v>116</v>
      </c>
      <c r="L38" t="s">
        <v>126</v>
      </c>
    </row>
    <row r="39" spans="1:13" x14ac:dyDescent="0.25">
      <c r="A39">
        <v>1031</v>
      </c>
      <c r="B39" t="s">
        <v>127</v>
      </c>
      <c r="C39" t="s">
        <v>68</v>
      </c>
      <c r="D39">
        <v>2019</v>
      </c>
      <c r="E39">
        <v>13438</v>
      </c>
      <c r="F39">
        <v>15000</v>
      </c>
      <c r="G39" t="s">
        <v>108</v>
      </c>
      <c r="H39" t="s">
        <v>58</v>
      </c>
      <c r="I39" t="s">
        <v>42</v>
      </c>
      <c r="J39" t="s">
        <v>66</v>
      </c>
      <c r="K39" t="s">
        <v>116</v>
      </c>
      <c r="L39" t="s">
        <v>49</v>
      </c>
    </row>
    <row r="40" spans="1:13" x14ac:dyDescent="0.25">
      <c r="A40">
        <v>1167</v>
      </c>
      <c r="B40" t="s">
        <v>128</v>
      </c>
      <c r="C40" t="s">
        <v>47</v>
      </c>
      <c r="D40">
        <v>2021</v>
      </c>
      <c r="E40">
        <v>15626</v>
      </c>
      <c r="F40" t="s">
        <v>129</v>
      </c>
      <c r="G40" t="s">
        <v>130</v>
      </c>
      <c r="H40" t="s">
        <v>69</v>
      </c>
      <c r="J40" t="s">
        <v>43</v>
      </c>
      <c r="K40" t="s">
        <v>48</v>
      </c>
      <c r="L40" t="s">
        <v>38</v>
      </c>
      <c r="M40">
        <v>0</v>
      </c>
    </row>
    <row r="41" spans="1:13" x14ac:dyDescent="0.25">
      <c r="A41">
        <v>1579</v>
      </c>
      <c r="B41" t="s">
        <v>131</v>
      </c>
      <c r="C41" t="s">
        <v>119</v>
      </c>
      <c r="D41">
        <v>2015</v>
      </c>
      <c r="E41">
        <v>12082</v>
      </c>
      <c r="F41">
        <v>18000</v>
      </c>
      <c r="G41">
        <v>120000</v>
      </c>
      <c r="H41" t="s">
        <v>63</v>
      </c>
      <c r="I41" t="s">
        <v>35</v>
      </c>
      <c r="K41" t="s">
        <v>44</v>
      </c>
      <c r="L41" t="s">
        <v>126</v>
      </c>
      <c r="M41">
        <v>3</v>
      </c>
    </row>
    <row r="42" spans="1:13" x14ac:dyDescent="0.25">
      <c r="A42">
        <v>1156</v>
      </c>
      <c r="B42" t="s">
        <v>132</v>
      </c>
      <c r="C42" t="s">
        <v>133</v>
      </c>
      <c r="D42">
        <v>2015</v>
      </c>
      <c r="E42">
        <v>19794</v>
      </c>
      <c r="F42">
        <v>26000</v>
      </c>
      <c r="G42">
        <v>40000</v>
      </c>
      <c r="H42" t="s">
        <v>69</v>
      </c>
      <c r="K42" t="s">
        <v>116</v>
      </c>
      <c r="L42" t="s">
        <v>55</v>
      </c>
      <c r="M42">
        <v>3</v>
      </c>
    </row>
    <row r="43" spans="1:13" x14ac:dyDescent="0.25">
      <c r="A43">
        <v>1249</v>
      </c>
      <c r="B43" t="s">
        <v>134</v>
      </c>
      <c r="C43" t="s">
        <v>65</v>
      </c>
      <c r="D43">
        <v>2019</v>
      </c>
      <c r="E43">
        <v>11716</v>
      </c>
      <c r="F43">
        <v>15000</v>
      </c>
      <c r="G43">
        <v>15000</v>
      </c>
      <c r="H43" t="s">
        <v>63</v>
      </c>
      <c r="I43" t="s">
        <v>35</v>
      </c>
      <c r="J43" t="s">
        <v>43</v>
      </c>
      <c r="K43" t="s">
        <v>44</v>
      </c>
      <c r="L43" t="s">
        <v>90</v>
      </c>
      <c r="M43">
        <v>3</v>
      </c>
    </row>
    <row r="44" spans="1:13" x14ac:dyDescent="0.25">
      <c r="A44">
        <v>1569</v>
      </c>
      <c r="B44" t="s">
        <v>135</v>
      </c>
      <c r="C44" t="s">
        <v>47</v>
      </c>
      <c r="D44">
        <v>2019</v>
      </c>
      <c r="E44" t="s">
        <v>136</v>
      </c>
      <c r="F44">
        <v>18000</v>
      </c>
      <c r="G44" t="s">
        <v>130</v>
      </c>
      <c r="H44" t="s">
        <v>34</v>
      </c>
      <c r="I44" t="s">
        <v>59</v>
      </c>
      <c r="K44" t="s">
        <v>77</v>
      </c>
      <c r="L44" t="s">
        <v>55</v>
      </c>
      <c r="M44">
        <v>3</v>
      </c>
    </row>
    <row r="45" spans="1:13" x14ac:dyDescent="0.25">
      <c r="A45">
        <v>1249</v>
      </c>
      <c r="B45" t="s">
        <v>137</v>
      </c>
      <c r="C45" t="s">
        <v>138</v>
      </c>
      <c r="D45">
        <v>2014</v>
      </c>
      <c r="E45">
        <v>6185</v>
      </c>
      <c r="F45">
        <v>9000</v>
      </c>
      <c r="G45">
        <v>40000</v>
      </c>
      <c r="H45" t="s">
        <v>63</v>
      </c>
      <c r="I45" t="s">
        <v>59</v>
      </c>
      <c r="K45" t="s">
        <v>44</v>
      </c>
      <c r="L45" t="s">
        <v>109</v>
      </c>
      <c r="M45">
        <v>3</v>
      </c>
    </row>
    <row r="46" spans="1:13" x14ac:dyDescent="0.25">
      <c r="A46">
        <v>1323</v>
      </c>
      <c r="B46" t="s">
        <v>139</v>
      </c>
      <c r="C46" t="s">
        <v>65</v>
      </c>
      <c r="D46">
        <v>2018</v>
      </c>
      <c r="E46" t="s">
        <v>140</v>
      </c>
      <c r="F46">
        <v>18000</v>
      </c>
      <c r="G46">
        <v>25000</v>
      </c>
      <c r="H46" t="s">
        <v>58</v>
      </c>
      <c r="I46" t="s">
        <v>42</v>
      </c>
      <c r="J46" t="s">
        <v>66</v>
      </c>
      <c r="K46" t="s">
        <v>116</v>
      </c>
      <c r="L46" t="s">
        <v>45</v>
      </c>
    </row>
    <row r="47" spans="1:13" x14ac:dyDescent="0.25">
      <c r="A47">
        <v>1183</v>
      </c>
      <c r="B47" t="s">
        <v>141</v>
      </c>
      <c r="C47" t="s">
        <v>51</v>
      </c>
      <c r="D47">
        <v>2015</v>
      </c>
      <c r="E47">
        <v>12137</v>
      </c>
      <c r="F47">
        <v>15000</v>
      </c>
      <c r="G47" t="s">
        <v>130</v>
      </c>
      <c r="H47" t="s">
        <v>41</v>
      </c>
      <c r="I47" t="s">
        <v>35</v>
      </c>
      <c r="K47" t="s">
        <v>54</v>
      </c>
      <c r="L47" t="s">
        <v>90</v>
      </c>
      <c r="M47">
        <v>3</v>
      </c>
    </row>
    <row r="48" spans="1:13" x14ac:dyDescent="0.25">
      <c r="A48">
        <v>1348</v>
      </c>
      <c r="B48" t="s">
        <v>142</v>
      </c>
      <c r="C48" t="s">
        <v>32</v>
      </c>
      <c r="D48">
        <v>2014</v>
      </c>
      <c r="E48" t="s">
        <v>143</v>
      </c>
      <c r="F48" t="s">
        <v>129</v>
      </c>
      <c r="G48">
        <v>60000</v>
      </c>
      <c r="I48" t="s">
        <v>35</v>
      </c>
      <c r="J48" t="s">
        <v>36</v>
      </c>
      <c r="K48" t="s">
        <v>48</v>
      </c>
      <c r="L48" t="s">
        <v>55</v>
      </c>
      <c r="M48">
        <v>0</v>
      </c>
    </row>
    <row r="49" spans="1:13" x14ac:dyDescent="0.25">
      <c r="A49">
        <v>1254</v>
      </c>
      <c r="B49" t="s">
        <v>144</v>
      </c>
      <c r="C49" t="s">
        <v>68</v>
      </c>
      <c r="D49">
        <v>2016</v>
      </c>
      <c r="E49" t="s">
        <v>145</v>
      </c>
      <c r="F49">
        <v>12000</v>
      </c>
      <c r="G49">
        <v>80000</v>
      </c>
      <c r="H49" t="s">
        <v>53</v>
      </c>
      <c r="J49" t="s">
        <v>43</v>
      </c>
      <c r="K49" t="s">
        <v>116</v>
      </c>
      <c r="L49" t="s">
        <v>55</v>
      </c>
      <c r="M49">
        <v>2</v>
      </c>
    </row>
    <row r="50" spans="1:13" x14ac:dyDescent="0.25">
      <c r="A50">
        <v>1216</v>
      </c>
      <c r="B50" t="s">
        <v>146</v>
      </c>
      <c r="C50" t="s">
        <v>103</v>
      </c>
      <c r="D50">
        <v>2018</v>
      </c>
      <c r="E50">
        <v>5188</v>
      </c>
      <c r="F50" t="s">
        <v>147</v>
      </c>
      <c r="G50" t="s">
        <v>121</v>
      </c>
      <c r="H50" t="s">
        <v>84</v>
      </c>
      <c r="I50" t="s">
        <v>42</v>
      </c>
      <c r="J50" t="s">
        <v>36</v>
      </c>
      <c r="K50" t="s">
        <v>48</v>
      </c>
      <c r="L50" t="s">
        <v>55</v>
      </c>
    </row>
    <row r="51" spans="1:13" x14ac:dyDescent="0.25">
      <c r="A51">
        <v>1464</v>
      </c>
      <c r="B51" t="s">
        <v>148</v>
      </c>
      <c r="C51" t="s">
        <v>133</v>
      </c>
      <c r="D51">
        <v>2018</v>
      </c>
      <c r="E51" t="s">
        <v>149</v>
      </c>
      <c r="F51">
        <v>7000</v>
      </c>
      <c r="G51">
        <v>25000</v>
      </c>
      <c r="H51" t="s">
        <v>53</v>
      </c>
      <c r="I51" t="s">
        <v>59</v>
      </c>
      <c r="J51" t="s">
        <v>36</v>
      </c>
      <c r="L51" t="s">
        <v>38</v>
      </c>
      <c r="M51">
        <v>1</v>
      </c>
    </row>
    <row r="52" spans="1:13" x14ac:dyDescent="0.25">
      <c r="A52">
        <v>1582</v>
      </c>
      <c r="B52" t="s">
        <v>150</v>
      </c>
      <c r="C52" t="s">
        <v>65</v>
      </c>
      <c r="D52">
        <v>2016</v>
      </c>
      <c r="E52">
        <v>6641</v>
      </c>
      <c r="F52">
        <v>9000</v>
      </c>
      <c r="G52">
        <v>15000</v>
      </c>
      <c r="H52" t="s">
        <v>69</v>
      </c>
      <c r="I52" t="s">
        <v>59</v>
      </c>
      <c r="J52" t="s">
        <v>96</v>
      </c>
      <c r="M52">
        <v>3</v>
      </c>
    </row>
    <row r="53" spans="1:13" x14ac:dyDescent="0.25">
      <c r="A53">
        <v>1026</v>
      </c>
      <c r="B53" t="s">
        <v>151</v>
      </c>
      <c r="C53" t="s">
        <v>138</v>
      </c>
      <c r="D53">
        <v>2015</v>
      </c>
      <c r="E53" t="s">
        <v>152</v>
      </c>
      <c r="F53">
        <v>7000</v>
      </c>
      <c r="G53">
        <v>60000</v>
      </c>
      <c r="H53" t="s">
        <v>41</v>
      </c>
      <c r="I53" t="s">
        <v>72</v>
      </c>
      <c r="K53" t="s">
        <v>73</v>
      </c>
      <c r="L53" t="s">
        <v>90</v>
      </c>
      <c r="M53">
        <v>3</v>
      </c>
    </row>
    <row r="54" spans="1:13" x14ac:dyDescent="0.25">
      <c r="A54">
        <v>1093</v>
      </c>
      <c r="B54" t="s">
        <v>153</v>
      </c>
      <c r="C54" t="s">
        <v>138</v>
      </c>
      <c r="D54">
        <v>2018</v>
      </c>
      <c r="E54">
        <v>7430</v>
      </c>
      <c r="F54">
        <v>12000</v>
      </c>
      <c r="G54">
        <v>80000</v>
      </c>
      <c r="H54" t="s">
        <v>84</v>
      </c>
      <c r="I54" t="s">
        <v>42</v>
      </c>
      <c r="J54" t="s">
        <v>96</v>
      </c>
      <c r="K54" t="s">
        <v>48</v>
      </c>
      <c r="L54" t="s">
        <v>55</v>
      </c>
      <c r="M54">
        <v>2</v>
      </c>
    </row>
    <row r="55" spans="1:13" x14ac:dyDescent="0.25">
      <c r="A55">
        <v>1258</v>
      </c>
      <c r="B55" t="s">
        <v>154</v>
      </c>
      <c r="C55" t="s">
        <v>94</v>
      </c>
      <c r="D55">
        <v>2022</v>
      </c>
      <c r="E55">
        <v>5279</v>
      </c>
      <c r="F55">
        <v>7000</v>
      </c>
      <c r="G55">
        <v>60000</v>
      </c>
      <c r="H55" t="s">
        <v>41</v>
      </c>
      <c r="J55" t="s">
        <v>43</v>
      </c>
      <c r="K55" t="s">
        <v>48</v>
      </c>
      <c r="L55" t="s">
        <v>126</v>
      </c>
      <c r="M55">
        <v>1</v>
      </c>
    </row>
    <row r="56" spans="1:13" x14ac:dyDescent="0.25">
      <c r="A56">
        <v>1208</v>
      </c>
      <c r="B56" t="s">
        <v>155</v>
      </c>
      <c r="C56" t="s">
        <v>79</v>
      </c>
      <c r="E56">
        <v>26379</v>
      </c>
      <c r="F56" t="s">
        <v>87</v>
      </c>
      <c r="G56">
        <v>120000</v>
      </c>
      <c r="I56" t="s">
        <v>35</v>
      </c>
      <c r="J56" t="s">
        <v>36</v>
      </c>
      <c r="K56" t="s">
        <v>77</v>
      </c>
      <c r="L56" t="s">
        <v>90</v>
      </c>
      <c r="M56">
        <v>2</v>
      </c>
    </row>
    <row r="57" spans="1:13" x14ac:dyDescent="0.25">
      <c r="A57">
        <v>1472</v>
      </c>
      <c r="B57" t="s">
        <v>156</v>
      </c>
      <c r="C57" t="s">
        <v>40</v>
      </c>
      <c r="D57">
        <v>2022</v>
      </c>
      <c r="E57">
        <v>23160</v>
      </c>
      <c r="F57">
        <v>26000</v>
      </c>
      <c r="G57" t="s">
        <v>76</v>
      </c>
      <c r="H57" t="s">
        <v>69</v>
      </c>
      <c r="J57" t="s">
        <v>96</v>
      </c>
      <c r="K57" t="s">
        <v>48</v>
      </c>
      <c r="L57" t="s">
        <v>55</v>
      </c>
      <c r="M57">
        <v>3</v>
      </c>
    </row>
    <row r="58" spans="1:13" x14ac:dyDescent="0.25">
      <c r="A58">
        <v>1139</v>
      </c>
      <c r="B58" t="s">
        <v>157</v>
      </c>
      <c r="C58" t="s">
        <v>119</v>
      </c>
      <c r="D58">
        <v>2021</v>
      </c>
      <c r="E58">
        <v>9439</v>
      </c>
      <c r="F58">
        <v>12000</v>
      </c>
      <c r="G58">
        <v>60000</v>
      </c>
      <c r="H58" t="s">
        <v>34</v>
      </c>
      <c r="I58" t="s">
        <v>72</v>
      </c>
      <c r="K58" t="s">
        <v>54</v>
      </c>
      <c r="L58" t="s">
        <v>126</v>
      </c>
      <c r="M58">
        <v>2</v>
      </c>
    </row>
    <row r="59" spans="1:13" x14ac:dyDescent="0.25">
      <c r="A59">
        <v>1495</v>
      </c>
      <c r="B59" t="s">
        <v>64</v>
      </c>
      <c r="C59" t="s">
        <v>51</v>
      </c>
      <c r="E59">
        <v>26342</v>
      </c>
      <c r="F59">
        <v>31000</v>
      </c>
      <c r="G59">
        <v>25000</v>
      </c>
      <c r="I59" t="s">
        <v>72</v>
      </c>
      <c r="J59" t="s">
        <v>66</v>
      </c>
      <c r="K59" t="s">
        <v>77</v>
      </c>
      <c r="L59" t="s">
        <v>98</v>
      </c>
      <c r="M59">
        <v>1</v>
      </c>
    </row>
    <row r="60" spans="1:13" x14ac:dyDescent="0.25">
      <c r="A60">
        <v>1395</v>
      </c>
      <c r="B60" t="s">
        <v>158</v>
      </c>
      <c r="C60" t="s">
        <v>103</v>
      </c>
      <c r="D60">
        <v>2014</v>
      </c>
      <c r="E60">
        <v>17126</v>
      </c>
      <c r="F60">
        <v>22000</v>
      </c>
      <c r="G60">
        <v>120000</v>
      </c>
      <c r="H60" t="s">
        <v>58</v>
      </c>
      <c r="I60" t="s">
        <v>59</v>
      </c>
      <c r="J60" t="s">
        <v>36</v>
      </c>
      <c r="K60" t="s">
        <v>100</v>
      </c>
    </row>
    <row r="61" spans="1:13" x14ac:dyDescent="0.25">
      <c r="A61">
        <v>1015</v>
      </c>
      <c r="B61" t="s">
        <v>159</v>
      </c>
      <c r="C61" t="s">
        <v>61</v>
      </c>
      <c r="D61">
        <v>2015</v>
      </c>
      <c r="E61">
        <v>25692</v>
      </c>
      <c r="F61">
        <v>31000</v>
      </c>
      <c r="G61">
        <v>15000</v>
      </c>
      <c r="H61" t="s">
        <v>58</v>
      </c>
      <c r="I61" t="s">
        <v>35</v>
      </c>
      <c r="J61" t="s">
        <v>43</v>
      </c>
      <c r="K61" t="s">
        <v>54</v>
      </c>
      <c r="L61" t="s">
        <v>109</v>
      </c>
    </row>
    <row r="62" spans="1:13" x14ac:dyDescent="0.25">
      <c r="A62">
        <v>1389</v>
      </c>
      <c r="B62" t="s">
        <v>160</v>
      </c>
      <c r="C62" t="s">
        <v>94</v>
      </c>
      <c r="D62" t="s">
        <v>52</v>
      </c>
      <c r="E62">
        <v>2476</v>
      </c>
      <c r="F62">
        <v>9000</v>
      </c>
      <c r="G62">
        <v>40000</v>
      </c>
      <c r="J62" t="s">
        <v>36</v>
      </c>
      <c r="K62" t="s">
        <v>37</v>
      </c>
      <c r="L62" t="s">
        <v>38</v>
      </c>
      <c r="M62">
        <v>2</v>
      </c>
    </row>
    <row r="63" spans="1:13" x14ac:dyDescent="0.25">
      <c r="A63">
        <v>1454</v>
      </c>
      <c r="B63" t="s">
        <v>161</v>
      </c>
      <c r="C63" t="s">
        <v>119</v>
      </c>
      <c r="D63">
        <v>2015</v>
      </c>
      <c r="E63" t="s">
        <v>162</v>
      </c>
      <c r="F63">
        <v>26000</v>
      </c>
      <c r="G63" t="s">
        <v>76</v>
      </c>
      <c r="H63" t="s">
        <v>63</v>
      </c>
      <c r="I63" t="s">
        <v>35</v>
      </c>
      <c r="J63" t="s">
        <v>96</v>
      </c>
      <c r="K63" t="s">
        <v>44</v>
      </c>
      <c r="L63" t="s">
        <v>109</v>
      </c>
      <c r="M63">
        <v>3</v>
      </c>
    </row>
    <row r="64" spans="1:13" x14ac:dyDescent="0.25">
      <c r="A64">
        <v>1174</v>
      </c>
      <c r="B64" t="s">
        <v>163</v>
      </c>
      <c r="C64" t="s">
        <v>164</v>
      </c>
      <c r="D64">
        <v>2017</v>
      </c>
      <c r="E64" t="s">
        <v>165</v>
      </c>
      <c r="F64">
        <v>26000</v>
      </c>
      <c r="G64">
        <v>80000</v>
      </c>
      <c r="H64" t="s">
        <v>53</v>
      </c>
      <c r="I64" t="s">
        <v>59</v>
      </c>
      <c r="K64" t="s">
        <v>100</v>
      </c>
      <c r="L64" t="s">
        <v>38</v>
      </c>
      <c r="M64">
        <v>3</v>
      </c>
    </row>
    <row r="65" spans="1:13" x14ac:dyDescent="0.25">
      <c r="A65">
        <v>1294</v>
      </c>
      <c r="B65" t="s">
        <v>166</v>
      </c>
      <c r="C65" t="s">
        <v>65</v>
      </c>
      <c r="D65">
        <v>2021</v>
      </c>
      <c r="E65">
        <v>16924</v>
      </c>
      <c r="F65">
        <v>18000</v>
      </c>
      <c r="G65">
        <v>120000</v>
      </c>
      <c r="H65" t="s">
        <v>63</v>
      </c>
      <c r="J65" t="s">
        <v>96</v>
      </c>
      <c r="K65" t="s">
        <v>48</v>
      </c>
      <c r="L65" t="s">
        <v>45</v>
      </c>
      <c r="M65">
        <v>3</v>
      </c>
    </row>
    <row r="66" spans="1:13" x14ac:dyDescent="0.25">
      <c r="A66">
        <v>1390</v>
      </c>
      <c r="B66" t="s">
        <v>167</v>
      </c>
      <c r="C66" t="s">
        <v>51</v>
      </c>
      <c r="D66">
        <v>2017</v>
      </c>
      <c r="E66">
        <v>24127</v>
      </c>
      <c r="F66">
        <v>26000</v>
      </c>
      <c r="G66">
        <v>60000</v>
      </c>
      <c r="H66" t="s">
        <v>69</v>
      </c>
      <c r="I66" t="s">
        <v>35</v>
      </c>
      <c r="J66" t="s">
        <v>43</v>
      </c>
      <c r="K66" t="s">
        <v>54</v>
      </c>
      <c r="L66" t="s">
        <v>126</v>
      </c>
    </row>
    <row r="67" spans="1:13" x14ac:dyDescent="0.25">
      <c r="A67">
        <v>1224</v>
      </c>
      <c r="B67" t="s">
        <v>168</v>
      </c>
      <c r="C67" t="s">
        <v>68</v>
      </c>
      <c r="E67">
        <v>28115</v>
      </c>
      <c r="F67">
        <v>31000</v>
      </c>
      <c r="G67">
        <v>40000</v>
      </c>
      <c r="H67" t="s">
        <v>58</v>
      </c>
      <c r="I67" t="s">
        <v>35</v>
      </c>
      <c r="J67" t="s">
        <v>36</v>
      </c>
      <c r="K67" t="s">
        <v>54</v>
      </c>
      <c r="L67" t="s">
        <v>55</v>
      </c>
      <c r="M67">
        <v>0</v>
      </c>
    </row>
    <row r="68" spans="1:13" x14ac:dyDescent="0.25">
      <c r="A68">
        <v>1179</v>
      </c>
      <c r="B68" t="s">
        <v>169</v>
      </c>
      <c r="C68" t="s">
        <v>79</v>
      </c>
      <c r="D68">
        <v>2016</v>
      </c>
      <c r="E68">
        <v>5324</v>
      </c>
      <c r="F68">
        <v>9000</v>
      </c>
      <c r="G68">
        <v>40000</v>
      </c>
      <c r="H68" t="s">
        <v>63</v>
      </c>
      <c r="K68" t="s">
        <v>54</v>
      </c>
      <c r="L68" t="s">
        <v>90</v>
      </c>
      <c r="M68">
        <v>2</v>
      </c>
    </row>
    <row r="69" spans="1:13" x14ac:dyDescent="0.25">
      <c r="A69">
        <v>1144</v>
      </c>
      <c r="B69" t="s">
        <v>170</v>
      </c>
      <c r="C69" t="s">
        <v>133</v>
      </c>
      <c r="D69">
        <v>2018</v>
      </c>
      <c r="E69">
        <v>17164</v>
      </c>
      <c r="F69">
        <v>22000</v>
      </c>
      <c r="G69">
        <v>15000</v>
      </c>
      <c r="H69" t="s">
        <v>34</v>
      </c>
      <c r="J69" t="s">
        <v>96</v>
      </c>
      <c r="K69" t="s">
        <v>37</v>
      </c>
      <c r="L69" t="s">
        <v>98</v>
      </c>
      <c r="M69">
        <v>0</v>
      </c>
    </row>
    <row r="70" spans="1:13" x14ac:dyDescent="0.25">
      <c r="A70">
        <v>1598</v>
      </c>
      <c r="B70" t="s">
        <v>99</v>
      </c>
      <c r="C70" t="s">
        <v>65</v>
      </c>
      <c r="D70">
        <v>2022</v>
      </c>
      <c r="E70">
        <v>4981</v>
      </c>
      <c r="F70">
        <v>9000</v>
      </c>
      <c r="G70">
        <v>60000</v>
      </c>
      <c r="H70" t="s">
        <v>53</v>
      </c>
      <c r="I70" t="s">
        <v>59</v>
      </c>
      <c r="J70" t="s">
        <v>36</v>
      </c>
      <c r="L70" t="s">
        <v>109</v>
      </c>
    </row>
    <row r="71" spans="1:13" x14ac:dyDescent="0.25">
      <c r="A71">
        <v>1418</v>
      </c>
      <c r="B71" t="s">
        <v>171</v>
      </c>
      <c r="C71" t="s">
        <v>119</v>
      </c>
      <c r="D71" t="s">
        <v>52</v>
      </c>
      <c r="E71" t="s">
        <v>172</v>
      </c>
      <c r="F71" t="s">
        <v>81</v>
      </c>
      <c r="G71" t="s">
        <v>108</v>
      </c>
      <c r="I71" t="s">
        <v>35</v>
      </c>
      <c r="J71" t="s">
        <v>36</v>
      </c>
      <c r="K71" t="s">
        <v>77</v>
      </c>
      <c r="M71">
        <v>1</v>
      </c>
    </row>
    <row r="72" spans="1:13" x14ac:dyDescent="0.25">
      <c r="A72">
        <v>1429</v>
      </c>
      <c r="B72" t="s">
        <v>173</v>
      </c>
      <c r="C72" t="s">
        <v>94</v>
      </c>
      <c r="D72">
        <v>2021</v>
      </c>
      <c r="E72">
        <v>15295</v>
      </c>
      <c r="F72">
        <v>22000</v>
      </c>
      <c r="G72">
        <v>120000</v>
      </c>
      <c r="H72" t="s">
        <v>84</v>
      </c>
      <c r="I72" t="s">
        <v>59</v>
      </c>
      <c r="K72" t="s">
        <v>48</v>
      </c>
      <c r="L72" t="s">
        <v>45</v>
      </c>
      <c r="M72">
        <v>0</v>
      </c>
    </row>
    <row r="73" spans="1:13" x14ac:dyDescent="0.25">
      <c r="A73">
        <v>1101</v>
      </c>
      <c r="B73" t="s">
        <v>174</v>
      </c>
      <c r="C73" t="s">
        <v>79</v>
      </c>
      <c r="D73">
        <v>2017</v>
      </c>
      <c r="E73">
        <v>28066</v>
      </c>
      <c r="F73">
        <v>31000</v>
      </c>
      <c r="G73">
        <v>60000</v>
      </c>
      <c r="H73" t="s">
        <v>63</v>
      </c>
      <c r="I73" t="s">
        <v>35</v>
      </c>
      <c r="J73" t="s">
        <v>43</v>
      </c>
      <c r="K73" t="s">
        <v>54</v>
      </c>
      <c r="L73" t="s">
        <v>38</v>
      </c>
      <c r="M73">
        <v>0</v>
      </c>
    </row>
    <row r="74" spans="1:13" x14ac:dyDescent="0.25">
      <c r="A74">
        <v>1051</v>
      </c>
      <c r="B74" t="s">
        <v>175</v>
      </c>
      <c r="C74" t="s">
        <v>138</v>
      </c>
      <c r="D74">
        <v>2015</v>
      </c>
      <c r="E74">
        <v>8762</v>
      </c>
      <c r="F74">
        <v>15000</v>
      </c>
      <c r="G74" t="s">
        <v>108</v>
      </c>
      <c r="H74" t="s">
        <v>53</v>
      </c>
      <c r="I74" t="s">
        <v>35</v>
      </c>
      <c r="K74" t="s">
        <v>77</v>
      </c>
      <c r="L74" t="s">
        <v>38</v>
      </c>
      <c r="M74">
        <v>1</v>
      </c>
    </row>
    <row r="75" spans="1:13" x14ac:dyDescent="0.25">
      <c r="A75">
        <v>1553</v>
      </c>
      <c r="B75" t="s">
        <v>176</v>
      </c>
      <c r="C75" t="s">
        <v>61</v>
      </c>
      <c r="D75">
        <v>2016</v>
      </c>
      <c r="E75">
        <v>4815</v>
      </c>
      <c r="F75">
        <v>7000</v>
      </c>
      <c r="G75">
        <v>40000</v>
      </c>
      <c r="H75" t="s">
        <v>41</v>
      </c>
      <c r="I75" t="s">
        <v>42</v>
      </c>
      <c r="J75" t="s">
        <v>36</v>
      </c>
      <c r="K75" t="s">
        <v>44</v>
      </c>
      <c r="L75" t="s">
        <v>38</v>
      </c>
    </row>
    <row r="76" spans="1:13" x14ac:dyDescent="0.25">
      <c r="A76">
        <v>1431</v>
      </c>
      <c r="B76" t="s">
        <v>177</v>
      </c>
      <c r="C76" t="s">
        <v>61</v>
      </c>
      <c r="D76">
        <v>2014</v>
      </c>
      <c r="E76">
        <v>10571</v>
      </c>
      <c r="F76">
        <v>12000</v>
      </c>
      <c r="G76">
        <v>40000</v>
      </c>
      <c r="H76" t="s">
        <v>63</v>
      </c>
      <c r="K76" t="s">
        <v>37</v>
      </c>
      <c r="L76" t="s">
        <v>55</v>
      </c>
    </row>
    <row r="77" spans="1:13" x14ac:dyDescent="0.25">
      <c r="A77">
        <v>1308</v>
      </c>
      <c r="B77" t="s">
        <v>178</v>
      </c>
      <c r="C77" t="s">
        <v>119</v>
      </c>
      <c r="E77">
        <v>603</v>
      </c>
      <c r="F77">
        <v>7000</v>
      </c>
      <c r="G77" t="s">
        <v>108</v>
      </c>
      <c r="I77" t="s">
        <v>59</v>
      </c>
      <c r="J77" t="s">
        <v>43</v>
      </c>
      <c r="K77" t="s">
        <v>37</v>
      </c>
      <c r="L77" t="s">
        <v>55</v>
      </c>
      <c r="M77">
        <v>3</v>
      </c>
    </row>
    <row r="78" spans="1:13" x14ac:dyDescent="0.25">
      <c r="A78">
        <v>1129</v>
      </c>
      <c r="B78" t="s">
        <v>179</v>
      </c>
      <c r="C78" t="s">
        <v>75</v>
      </c>
      <c r="D78">
        <v>2015</v>
      </c>
      <c r="E78">
        <v>19785</v>
      </c>
      <c r="F78">
        <v>22000</v>
      </c>
      <c r="G78">
        <v>80000</v>
      </c>
      <c r="H78" t="s">
        <v>63</v>
      </c>
      <c r="I78" t="s">
        <v>59</v>
      </c>
      <c r="L78" t="s">
        <v>45</v>
      </c>
      <c r="M78">
        <v>3</v>
      </c>
    </row>
    <row r="79" spans="1:13" x14ac:dyDescent="0.25">
      <c r="A79">
        <v>1220</v>
      </c>
      <c r="B79" t="s">
        <v>180</v>
      </c>
      <c r="C79" t="s">
        <v>103</v>
      </c>
      <c r="D79">
        <v>2015</v>
      </c>
      <c r="E79">
        <v>2668</v>
      </c>
      <c r="F79">
        <v>9000</v>
      </c>
      <c r="G79">
        <v>120000</v>
      </c>
      <c r="I79" t="s">
        <v>59</v>
      </c>
      <c r="J79" t="s">
        <v>43</v>
      </c>
      <c r="K79" t="s">
        <v>37</v>
      </c>
      <c r="L79" t="s">
        <v>109</v>
      </c>
      <c r="M79">
        <v>3</v>
      </c>
    </row>
    <row r="80" spans="1:13" x14ac:dyDescent="0.25">
      <c r="A80">
        <v>1068</v>
      </c>
      <c r="B80" t="s">
        <v>181</v>
      </c>
      <c r="C80" t="s">
        <v>61</v>
      </c>
      <c r="D80" t="s">
        <v>52</v>
      </c>
      <c r="E80" t="s">
        <v>182</v>
      </c>
      <c r="F80" t="s">
        <v>129</v>
      </c>
      <c r="G80">
        <v>40000</v>
      </c>
      <c r="H80" t="s">
        <v>63</v>
      </c>
      <c r="I80" t="s">
        <v>42</v>
      </c>
      <c r="K80" t="s">
        <v>73</v>
      </c>
    </row>
    <row r="81" spans="1:13" x14ac:dyDescent="0.25">
      <c r="A81">
        <v>1052</v>
      </c>
      <c r="B81" t="s">
        <v>183</v>
      </c>
      <c r="C81" t="s">
        <v>61</v>
      </c>
      <c r="D81" t="s">
        <v>52</v>
      </c>
      <c r="E81">
        <v>5104</v>
      </c>
      <c r="F81">
        <v>9000</v>
      </c>
      <c r="G81">
        <v>60000</v>
      </c>
      <c r="H81" t="s">
        <v>53</v>
      </c>
      <c r="I81" t="s">
        <v>42</v>
      </c>
      <c r="J81" t="s">
        <v>43</v>
      </c>
      <c r="K81" t="s">
        <v>77</v>
      </c>
      <c r="L81" t="s">
        <v>49</v>
      </c>
      <c r="M81">
        <v>2</v>
      </c>
    </row>
    <row r="82" spans="1:13" x14ac:dyDescent="0.25">
      <c r="A82">
        <v>1574</v>
      </c>
      <c r="B82" t="s">
        <v>184</v>
      </c>
      <c r="C82" t="s">
        <v>79</v>
      </c>
      <c r="D82">
        <v>2015</v>
      </c>
      <c r="E82">
        <v>15148</v>
      </c>
      <c r="F82">
        <v>18000</v>
      </c>
      <c r="G82">
        <v>80000</v>
      </c>
      <c r="H82" t="s">
        <v>41</v>
      </c>
      <c r="J82" t="s">
        <v>96</v>
      </c>
      <c r="K82" t="s">
        <v>73</v>
      </c>
      <c r="L82" t="s">
        <v>90</v>
      </c>
      <c r="M82">
        <v>2</v>
      </c>
    </row>
    <row r="83" spans="1:13" x14ac:dyDescent="0.25">
      <c r="A83">
        <v>1579</v>
      </c>
      <c r="B83" t="s">
        <v>185</v>
      </c>
      <c r="C83" t="s">
        <v>51</v>
      </c>
      <c r="D83">
        <v>2019</v>
      </c>
      <c r="E83">
        <v>19514</v>
      </c>
      <c r="F83" t="s">
        <v>115</v>
      </c>
      <c r="G83">
        <v>15000</v>
      </c>
      <c r="H83" t="s">
        <v>41</v>
      </c>
      <c r="I83" t="s">
        <v>35</v>
      </c>
      <c r="K83" t="s">
        <v>77</v>
      </c>
      <c r="L83" t="s">
        <v>98</v>
      </c>
      <c r="M83">
        <v>3</v>
      </c>
    </row>
    <row r="84" spans="1:13" x14ac:dyDescent="0.25">
      <c r="A84">
        <v>1581</v>
      </c>
      <c r="B84" t="s">
        <v>186</v>
      </c>
      <c r="C84" t="s">
        <v>138</v>
      </c>
      <c r="D84">
        <v>2019</v>
      </c>
      <c r="E84">
        <v>8448</v>
      </c>
      <c r="F84">
        <v>12000</v>
      </c>
      <c r="G84" t="s">
        <v>130</v>
      </c>
      <c r="H84" t="s">
        <v>41</v>
      </c>
      <c r="I84" t="s">
        <v>35</v>
      </c>
      <c r="J84" t="s">
        <v>96</v>
      </c>
      <c r="K84" t="s">
        <v>116</v>
      </c>
      <c r="L84" t="s">
        <v>98</v>
      </c>
      <c r="M84">
        <v>3</v>
      </c>
    </row>
    <row r="85" spans="1:13" x14ac:dyDescent="0.25">
      <c r="A85">
        <v>1353</v>
      </c>
      <c r="B85" t="s">
        <v>187</v>
      </c>
      <c r="C85" t="s">
        <v>138</v>
      </c>
      <c r="D85">
        <v>2020</v>
      </c>
      <c r="E85">
        <v>12803</v>
      </c>
      <c r="F85">
        <v>18000</v>
      </c>
      <c r="G85">
        <v>25000</v>
      </c>
      <c r="J85" t="s">
        <v>96</v>
      </c>
      <c r="K85" t="s">
        <v>73</v>
      </c>
      <c r="L85" t="s">
        <v>38</v>
      </c>
      <c r="M85">
        <v>3</v>
      </c>
    </row>
    <row r="86" spans="1:13" x14ac:dyDescent="0.25">
      <c r="A86">
        <v>1261</v>
      </c>
      <c r="B86" t="s">
        <v>188</v>
      </c>
      <c r="C86" t="s">
        <v>68</v>
      </c>
      <c r="D86">
        <v>2014</v>
      </c>
      <c r="E86">
        <v>12270</v>
      </c>
      <c r="F86" t="s">
        <v>89</v>
      </c>
      <c r="G86">
        <v>40000</v>
      </c>
      <c r="H86" t="s">
        <v>34</v>
      </c>
      <c r="I86" t="s">
        <v>42</v>
      </c>
      <c r="J86" t="s">
        <v>66</v>
      </c>
      <c r="K86" t="s">
        <v>48</v>
      </c>
      <c r="M86">
        <v>1</v>
      </c>
    </row>
    <row r="87" spans="1:13" x14ac:dyDescent="0.25">
      <c r="A87">
        <v>1019</v>
      </c>
      <c r="B87" t="s">
        <v>189</v>
      </c>
      <c r="C87" t="s">
        <v>79</v>
      </c>
      <c r="D87">
        <v>2015</v>
      </c>
      <c r="E87">
        <v>24654</v>
      </c>
      <c r="F87" t="s">
        <v>83</v>
      </c>
      <c r="G87">
        <v>120000</v>
      </c>
      <c r="H87" t="s">
        <v>34</v>
      </c>
      <c r="J87" t="s">
        <v>43</v>
      </c>
      <c r="K87" t="s">
        <v>48</v>
      </c>
      <c r="L87" t="s">
        <v>45</v>
      </c>
      <c r="M87">
        <v>0</v>
      </c>
    </row>
    <row r="88" spans="1:13" x14ac:dyDescent="0.25">
      <c r="A88">
        <v>1370</v>
      </c>
      <c r="B88" t="s">
        <v>190</v>
      </c>
      <c r="C88" t="s">
        <v>94</v>
      </c>
      <c r="D88">
        <v>2014</v>
      </c>
      <c r="E88" t="s">
        <v>191</v>
      </c>
      <c r="F88">
        <v>22000</v>
      </c>
      <c r="G88" t="s">
        <v>33</v>
      </c>
      <c r="H88" t="s">
        <v>34</v>
      </c>
      <c r="J88" t="s">
        <v>36</v>
      </c>
      <c r="K88" t="s">
        <v>48</v>
      </c>
      <c r="L88" t="s">
        <v>45</v>
      </c>
      <c r="M88">
        <v>2</v>
      </c>
    </row>
    <row r="89" spans="1:13" x14ac:dyDescent="0.25">
      <c r="A89">
        <v>1543</v>
      </c>
      <c r="B89" t="s">
        <v>187</v>
      </c>
      <c r="C89" t="s">
        <v>119</v>
      </c>
      <c r="D89">
        <v>2019</v>
      </c>
      <c r="E89">
        <v>6819</v>
      </c>
      <c r="F89">
        <v>12000</v>
      </c>
      <c r="G89">
        <v>15000</v>
      </c>
      <c r="H89" t="s">
        <v>58</v>
      </c>
      <c r="I89" t="s">
        <v>42</v>
      </c>
      <c r="J89" t="s">
        <v>36</v>
      </c>
      <c r="K89" t="s">
        <v>100</v>
      </c>
      <c r="L89" t="s">
        <v>45</v>
      </c>
      <c r="M89">
        <v>1</v>
      </c>
    </row>
    <row r="90" spans="1:13" x14ac:dyDescent="0.25">
      <c r="A90">
        <v>1505</v>
      </c>
      <c r="B90" t="s">
        <v>102</v>
      </c>
      <c r="C90" t="s">
        <v>57</v>
      </c>
      <c r="E90">
        <v>10383</v>
      </c>
      <c r="F90">
        <v>12000</v>
      </c>
      <c r="G90">
        <v>120000</v>
      </c>
      <c r="H90" t="s">
        <v>63</v>
      </c>
      <c r="I90" t="s">
        <v>72</v>
      </c>
      <c r="J90" t="s">
        <v>66</v>
      </c>
      <c r="K90" t="s">
        <v>116</v>
      </c>
      <c r="L90" t="s">
        <v>49</v>
      </c>
      <c r="M90">
        <v>3</v>
      </c>
    </row>
    <row r="91" spans="1:13" x14ac:dyDescent="0.25">
      <c r="A91">
        <v>1360</v>
      </c>
      <c r="B91" t="s">
        <v>192</v>
      </c>
      <c r="C91" t="s">
        <v>138</v>
      </c>
      <c r="D91" t="s">
        <v>52</v>
      </c>
      <c r="E91">
        <v>12156</v>
      </c>
      <c r="F91">
        <v>18000</v>
      </c>
      <c r="G91">
        <v>40000</v>
      </c>
      <c r="H91" t="s">
        <v>41</v>
      </c>
      <c r="I91" t="s">
        <v>72</v>
      </c>
      <c r="J91" t="s">
        <v>96</v>
      </c>
      <c r="K91" t="s">
        <v>37</v>
      </c>
      <c r="L91" t="s">
        <v>49</v>
      </c>
    </row>
    <row r="92" spans="1:13" x14ac:dyDescent="0.25">
      <c r="A92">
        <v>1329</v>
      </c>
      <c r="B92" t="s">
        <v>193</v>
      </c>
      <c r="C92" t="s">
        <v>94</v>
      </c>
      <c r="D92">
        <v>2021</v>
      </c>
      <c r="E92">
        <v>1317</v>
      </c>
      <c r="F92">
        <v>7000</v>
      </c>
      <c r="G92">
        <v>60000</v>
      </c>
      <c r="I92" t="s">
        <v>35</v>
      </c>
      <c r="J92" t="s">
        <v>96</v>
      </c>
      <c r="K92" t="s">
        <v>37</v>
      </c>
      <c r="M92">
        <v>1</v>
      </c>
    </row>
    <row r="93" spans="1:13" x14ac:dyDescent="0.25">
      <c r="A93">
        <v>1162</v>
      </c>
      <c r="B93" t="s">
        <v>194</v>
      </c>
      <c r="C93" t="s">
        <v>68</v>
      </c>
      <c r="D93">
        <v>2017</v>
      </c>
      <c r="E93">
        <v>25707</v>
      </c>
      <c r="F93">
        <v>31000</v>
      </c>
      <c r="G93">
        <v>60000</v>
      </c>
      <c r="H93" t="s">
        <v>63</v>
      </c>
      <c r="J93" t="s">
        <v>36</v>
      </c>
      <c r="K93" t="s">
        <v>44</v>
      </c>
      <c r="L93" t="s">
        <v>49</v>
      </c>
      <c r="M93">
        <v>2</v>
      </c>
    </row>
    <row r="94" spans="1:13" x14ac:dyDescent="0.25">
      <c r="A94">
        <v>1341</v>
      </c>
      <c r="B94" t="s">
        <v>195</v>
      </c>
      <c r="C94" t="s">
        <v>32</v>
      </c>
      <c r="D94">
        <v>2022</v>
      </c>
      <c r="E94" t="s">
        <v>196</v>
      </c>
      <c r="F94">
        <v>26000</v>
      </c>
      <c r="G94">
        <v>40000</v>
      </c>
      <c r="H94" t="s">
        <v>69</v>
      </c>
      <c r="I94" t="s">
        <v>59</v>
      </c>
      <c r="J94" t="s">
        <v>66</v>
      </c>
      <c r="K94" t="s">
        <v>37</v>
      </c>
      <c r="L94" t="s">
        <v>45</v>
      </c>
    </row>
    <row r="95" spans="1:13" x14ac:dyDescent="0.25">
      <c r="A95">
        <v>1095</v>
      </c>
      <c r="B95" t="s">
        <v>197</v>
      </c>
      <c r="C95" t="s">
        <v>94</v>
      </c>
      <c r="D95" t="s">
        <v>52</v>
      </c>
      <c r="E95">
        <v>15511</v>
      </c>
      <c r="F95">
        <v>22000</v>
      </c>
      <c r="G95">
        <v>25000</v>
      </c>
      <c r="H95" t="s">
        <v>63</v>
      </c>
      <c r="I95" t="s">
        <v>72</v>
      </c>
      <c r="J95" t="s">
        <v>66</v>
      </c>
      <c r="K95" t="s">
        <v>77</v>
      </c>
      <c r="L95" t="s">
        <v>109</v>
      </c>
      <c r="M95">
        <v>3</v>
      </c>
    </row>
    <row r="96" spans="1:13" x14ac:dyDescent="0.25">
      <c r="A96">
        <v>1103</v>
      </c>
      <c r="B96" t="s">
        <v>198</v>
      </c>
      <c r="C96" t="s">
        <v>47</v>
      </c>
      <c r="D96">
        <v>2017</v>
      </c>
      <c r="E96">
        <v>10368</v>
      </c>
      <c r="F96">
        <v>12000</v>
      </c>
      <c r="G96">
        <v>25000</v>
      </c>
      <c r="H96" t="s">
        <v>41</v>
      </c>
      <c r="I96" t="s">
        <v>72</v>
      </c>
      <c r="K96" t="s">
        <v>100</v>
      </c>
      <c r="L96" t="s">
        <v>98</v>
      </c>
      <c r="M96">
        <v>1</v>
      </c>
    </row>
    <row r="97" spans="1:13" x14ac:dyDescent="0.25">
      <c r="A97">
        <v>1420</v>
      </c>
      <c r="B97" t="s">
        <v>199</v>
      </c>
      <c r="C97" t="s">
        <v>57</v>
      </c>
      <c r="D97">
        <v>2016</v>
      </c>
      <c r="E97">
        <v>7415</v>
      </c>
      <c r="F97">
        <v>12000</v>
      </c>
      <c r="G97">
        <v>120000</v>
      </c>
      <c r="H97" t="s">
        <v>69</v>
      </c>
      <c r="I97" t="s">
        <v>59</v>
      </c>
      <c r="J97" t="s">
        <v>66</v>
      </c>
      <c r="L97" t="s">
        <v>38</v>
      </c>
      <c r="M97">
        <v>2</v>
      </c>
    </row>
    <row r="98" spans="1:13" x14ac:dyDescent="0.25">
      <c r="A98">
        <v>1472</v>
      </c>
      <c r="B98" t="s">
        <v>142</v>
      </c>
      <c r="C98" t="s">
        <v>133</v>
      </c>
      <c r="D98">
        <v>2017</v>
      </c>
      <c r="E98">
        <v>16328</v>
      </c>
      <c r="F98">
        <v>22000</v>
      </c>
      <c r="G98">
        <v>120000</v>
      </c>
      <c r="H98" t="s">
        <v>34</v>
      </c>
      <c r="I98" t="s">
        <v>42</v>
      </c>
      <c r="J98" t="s">
        <v>66</v>
      </c>
      <c r="K98" t="s">
        <v>100</v>
      </c>
      <c r="L98" t="s">
        <v>45</v>
      </c>
      <c r="M98">
        <v>0</v>
      </c>
    </row>
    <row r="99" spans="1:13" x14ac:dyDescent="0.25">
      <c r="A99">
        <v>1291</v>
      </c>
      <c r="B99" t="s">
        <v>200</v>
      </c>
      <c r="C99" t="s">
        <v>133</v>
      </c>
      <c r="D99">
        <v>2019</v>
      </c>
      <c r="E99" t="s">
        <v>201</v>
      </c>
      <c r="F99">
        <v>9000</v>
      </c>
      <c r="G99">
        <v>120000</v>
      </c>
      <c r="H99" t="s">
        <v>58</v>
      </c>
      <c r="I99" t="s">
        <v>59</v>
      </c>
      <c r="J99" t="s">
        <v>36</v>
      </c>
      <c r="K99" t="s">
        <v>77</v>
      </c>
      <c r="L99" t="s">
        <v>55</v>
      </c>
      <c r="M99">
        <v>2</v>
      </c>
    </row>
    <row r="100" spans="1:13" x14ac:dyDescent="0.25">
      <c r="A100">
        <v>1241</v>
      </c>
      <c r="B100" t="s">
        <v>202</v>
      </c>
      <c r="C100" t="s">
        <v>40</v>
      </c>
      <c r="D100">
        <v>2020</v>
      </c>
      <c r="E100">
        <v>1888</v>
      </c>
      <c r="F100" t="s">
        <v>147</v>
      </c>
      <c r="G100" t="s">
        <v>92</v>
      </c>
      <c r="H100" t="s">
        <v>63</v>
      </c>
      <c r="I100" t="s">
        <v>35</v>
      </c>
      <c r="J100" t="s">
        <v>96</v>
      </c>
      <c r="K100" t="s">
        <v>100</v>
      </c>
      <c r="L100" t="s">
        <v>90</v>
      </c>
      <c r="M100">
        <v>0</v>
      </c>
    </row>
    <row r="101" spans="1:13" x14ac:dyDescent="0.25">
      <c r="A101">
        <v>1005</v>
      </c>
      <c r="B101" t="s">
        <v>203</v>
      </c>
      <c r="C101" t="s">
        <v>51</v>
      </c>
      <c r="D101">
        <v>2021</v>
      </c>
      <c r="E101">
        <v>7158</v>
      </c>
      <c r="F101" t="s">
        <v>204</v>
      </c>
      <c r="G101" t="s">
        <v>108</v>
      </c>
      <c r="H101" t="s">
        <v>58</v>
      </c>
      <c r="L101" t="s">
        <v>98</v>
      </c>
      <c r="M101">
        <v>0</v>
      </c>
    </row>
    <row r="102" spans="1:13" x14ac:dyDescent="0.25">
      <c r="A102">
        <v>1429</v>
      </c>
      <c r="B102" t="s">
        <v>205</v>
      </c>
      <c r="C102" t="s">
        <v>51</v>
      </c>
      <c r="D102">
        <v>2017</v>
      </c>
      <c r="E102">
        <v>16609</v>
      </c>
      <c r="F102">
        <v>18000</v>
      </c>
      <c r="G102" t="s">
        <v>76</v>
      </c>
      <c r="K102" t="s">
        <v>73</v>
      </c>
    </row>
    <row r="103" spans="1:13" x14ac:dyDescent="0.25">
      <c r="A103">
        <v>1246</v>
      </c>
      <c r="B103" t="s">
        <v>206</v>
      </c>
      <c r="C103" t="s">
        <v>119</v>
      </c>
      <c r="D103">
        <v>2016</v>
      </c>
      <c r="E103">
        <v>16988</v>
      </c>
      <c r="F103">
        <v>18000</v>
      </c>
      <c r="G103">
        <v>60000</v>
      </c>
      <c r="H103" t="s">
        <v>63</v>
      </c>
      <c r="I103" t="s">
        <v>35</v>
      </c>
    </row>
    <row r="104" spans="1:13" x14ac:dyDescent="0.25">
      <c r="A104">
        <v>1382</v>
      </c>
      <c r="B104" t="s">
        <v>207</v>
      </c>
      <c r="C104" t="s">
        <v>40</v>
      </c>
      <c r="D104">
        <v>2020</v>
      </c>
      <c r="E104">
        <v>24793</v>
      </c>
      <c r="F104" t="s">
        <v>87</v>
      </c>
      <c r="G104">
        <v>15000</v>
      </c>
      <c r="H104" t="s">
        <v>63</v>
      </c>
      <c r="I104" t="s">
        <v>42</v>
      </c>
      <c r="J104" t="s">
        <v>36</v>
      </c>
      <c r="K104" t="s">
        <v>44</v>
      </c>
      <c r="L104" t="s">
        <v>90</v>
      </c>
      <c r="M104">
        <v>0</v>
      </c>
    </row>
    <row r="105" spans="1:13" x14ac:dyDescent="0.25">
      <c r="A105">
        <v>1490</v>
      </c>
      <c r="B105" t="s">
        <v>208</v>
      </c>
      <c r="C105" t="s">
        <v>79</v>
      </c>
      <c r="D105">
        <v>2022</v>
      </c>
      <c r="E105">
        <v>19566</v>
      </c>
      <c r="F105">
        <v>22000</v>
      </c>
      <c r="G105" t="s">
        <v>108</v>
      </c>
      <c r="I105" t="s">
        <v>35</v>
      </c>
      <c r="J105" t="s">
        <v>96</v>
      </c>
      <c r="K105" t="s">
        <v>77</v>
      </c>
      <c r="L105" t="s">
        <v>126</v>
      </c>
      <c r="M105">
        <v>1</v>
      </c>
    </row>
    <row r="106" spans="1:13" x14ac:dyDescent="0.25">
      <c r="A106">
        <v>1484</v>
      </c>
      <c r="B106" t="s">
        <v>209</v>
      </c>
      <c r="C106" t="s">
        <v>68</v>
      </c>
      <c r="D106">
        <v>2019</v>
      </c>
      <c r="E106">
        <v>13738</v>
      </c>
      <c r="F106">
        <v>18000</v>
      </c>
      <c r="G106" t="s">
        <v>121</v>
      </c>
      <c r="H106" t="s">
        <v>63</v>
      </c>
      <c r="I106" t="s">
        <v>35</v>
      </c>
      <c r="J106" t="s">
        <v>96</v>
      </c>
      <c r="K106" t="s">
        <v>54</v>
      </c>
      <c r="L106" t="s">
        <v>49</v>
      </c>
      <c r="M106">
        <v>2</v>
      </c>
    </row>
    <row r="107" spans="1:13" x14ac:dyDescent="0.25">
      <c r="A107">
        <v>1508</v>
      </c>
      <c r="B107" t="s">
        <v>210</v>
      </c>
      <c r="C107" t="s">
        <v>103</v>
      </c>
      <c r="D107">
        <v>2020</v>
      </c>
      <c r="E107">
        <v>27223</v>
      </c>
      <c r="F107">
        <v>31000</v>
      </c>
      <c r="G107">
        <v>60000</v>
      </c>
      <c r="H107" t="s">
        <v>69</v>
      </c>
      <c r="I107" t="s">
        <v>35</v>
      </c>
      <c r="J107" t="s">
        <v>43</v>
      </c>
      <c r="K107" t="s">
        <v>37</v>
      </c>
      <c r="L107" t="s">
        <v>98</v>
      </c>
    </row>
    <row r="108" spans="1:13" x14ac:dyDescent="0.25">
      <c r="A108">
        <v>1335</v>
      </c>
      <c r="B108" t="s">
        <v>211</v>
      </c>
      <c r="C108" t="s">
        <v>57</v>
      </c>
      <c r="D108">
        <v>2022</v>
      </c>
      <c r="E108">
        <v>16160</v>
      </c>
      <c r="F108">
        <v>18000</v>
      </c>
      <c r="G108">
        <v>40000</v>
      </c>
      <c r="H108" t="s">
        <v>34</v>
      </c>
      <c r="I108" t="s">
        <v>42</v>
      </c>
      <c r="J108" t="s">
        <v>43</v>
      </c>
      <c r="K108" t="s">
        <v>44</v>
      </c>
      <c r="L108" t="s">
        <v>55</v>
      </c>
      <c r="M108">
        <v>0</v>
      </c>
    </row>
    <row r="109" spans="1:13" x14ac:dyDescent="0.25">
      <c r="A109">
        <v>1076</v>
      </c>
      <c r="B109" t="s">
        <v>212</v>
      </c>
      <c r="C109" t="s">
        <v>79</v>
      </c>
      <c r="E109">
        <v>19762</v>
      </c>
      <c r="F109">
        <v>26000</v>
      </c>
      <c r="G109">
        <v>40000</v>
      </c>
      <c r="H109" t="s">
        <v>58</v>
      </c>
      <c r="I109" t="s">
        <v>35</v>
      </c>
      <c r="J109" t="s">
        <v>66</v>
      </c>
      <c r="K109" t="s">
        <v>116</v>
      </c>
      <c r="L109" t="s">
        <v>126</v>
      </c>
      <c r="M109">
        <v>1</v>
      </c>
    </row>
    <row r="110" spans="1:13" x14ac:dyDescent="0.25">
      <c r="A110">
        <v>1033</v>
      </c>
      <c r="B110" t="s">
        <v>213</v>
      </c>
      <c r="C110" t="s">
        <v>75</v>
      </c>
      <c r="D110">
        <v>2017</v>
      </c>
      <c r="E110">
        <v>17864</v>
      </c>
      <c r="F110">
        <v>22000</v>
      </c>
      <c r="G110">
        <v>40000</v>
      </c>
      <c r="H110" t="s">
        <v>63</v>
      </c>
      <c r="I110" t="s">
        <v>59</v>
      </c>
      <c r="J110" t="s">
        <v>36</v>
      </c>
      <c r="K110" t="s">
        <v>100</v>
      </c>
      <c r="M110">
        <v>2</v>
      </c>
    </row>
    <row r="111" spans="1:13" x14ac:dyDescent="0.25">
      <c r="A111">
        <v>1190</v>
      </c>
      <c r="B111" t="s">
        <v>214</v>
      </c>
      <c r="C111" t="s">
        <v>94</v>
      </c>
      <c r="D111">
        <v>2019</v>
      </c>
      <c r="E111">
        <v>16071</v>
      </c>
      <c r="F111">
        <v>18000</v>
      </c>
      <c r="G111">
        <v>25000</v>
      </c>
      <c r="H111" t="s">
        <v>69</v>
      </c>
      <c r="I111" t="s">
        <v>72</v>
      </c>
      <c r="J111" t="s">
        <v>43</v>
      </c>
      <c r="K111" t="s">
        <v>77</v>
      </c>
      <c r="L111" t="s">
        <v>45</v>
      </c>
      <c r="M111">
        <v>3</v>
      </c>
    </row>
    <row r="112" spans="1:13" x14ac:dyDescent="0.25">
      <c r="A112">
        <v>1455</v>
      </c>
      <c r="B112" t="s">
        <v>215</v>
      </c>
      <c r="C112" t="s">
        <v>47</v>
      </c>
      <c r="D112">
        <v>2015</v>
      </c>
      <c r="E112">
        <v>7297</v>
      </c>
      <c r="F112">
        <v>12000</v>
      </c>
      <c r="G112">
        <v>15000</v>
      </c>
      <c r="H112" t="s">
        <v>63</v>
      </c>
      <c r="I112" t="s">
        <v>72</v>
      </c>
      <c r="J112" t="s">
        <v>36</v>
      </c>
      <c r="M112">
        <v>2</v>
      </c>
    </row>
    <row r="113" spans="1:13" x14ac:dyDescent="0.25">
      <c r="A113">
        <v>1124</v>
      </c>
      <c r="B113" t="s">
        <v>216</v>
      </c>
      <c r="C113" t="s">
        <v>51</v>
      </c>
      <c r="D113">
        <v>2016</v>
      </c>
      <c r="E113">
        <v>6833</v>
      </c>
      <c r="F113">
        <v>12000</v>
      </c>
      <c r="G113" t="s">
        <v>130</v>
      </c>
      <c r="I113" t="s">
        <v>35</v>
      </c>
      <c r="J113" t="s">
        <v>96</v>
      </c>
      <c r="L113" t="s">
        <v>109</v>
      </c>
      <c r="M113">
        <v>3</v>
      </c>
    </row>
    <row r="114" spans="1:13" x14ac:dyDescent="0.25">
      <c r="A114">
        <v>1490</v>
      </c>
      <c r="B114" t="s">
        <v>217</v>
      </c>
      <c r="C114" t="s">
        <v>164</v>
      </c>
      <c r="E114">
        <v>5467</v>
      </c>
      <c r="F114">
        <v>9000</v>
      </c>
      <c r="G114">
        <v>15000</v>
      </c>
      <c r="H114" t="s">
        <v>84</v>
      </c>
      <c r="I114" t="s">
        <v>42</v>
      </c>
      <c r="J114" t="s">
        <v>96</v>
      </c>
      <c r="K114" t="s">
        <v>37</v>
      </c>
      <c r="L114" t="s">
        <v>55</v>
      </c>
      <c r="M114">
        <v>3</v>
      </c>
    </row>
    <row r="115" spans="1:13" x14ac:dyDescent="0.25">
      <c r="A115">
        <v>1056</v>
      </c>
      <c r="B115" t="s">
        <v>218</v>
      </c>
      <c r="C115" t="s">
        <v>79</v>
      </c>
      <c r="D115">
        <v>2016</v>
      </c>
      <c r="E115">
        <v>7456</v>
      </c>
      <c r="F115">
        <v>12000</v>
      </c>
      <c r="G115">
        <v>25000</v>
      </c>
      <c r="H115" t="s">
        <v>58</v>
      </c>
      <c r="I115" t="s">
        <v>72</v>
      </c>
      <c r="J115" t="s">
        <v>66</v>
      </c>
      <c r="K115" t="s">
        <v>44</v>
      </c>
      <c r="M115">
        <v>2</v>
      </c>
    </row>
    <row r="116" spans="1:13" x14ac:dyDescent="0.25">
      <c r="A116">
        <v>1128</v>
      </c>
      <c r="B116" t="s">
        <v>219</v>
      </c>
      <c r="C116" t="s">
        <v>75</v>
      </c>
      <c r="D116">
        <v>2018</v>
      </c>
      <c r="E116">
        <v>9488</v>
      </c>
      <c r="F116">
        <v>15000</v>
      </c>
      <c r="G116" t="s">
        <v>108</v>
      </c>
      <c r="H116" t="s">
        <v>58</v>
      </c>
      <c r="K116" t="s">
        <v>100</v>
      </c>
      <c r="L116" t="s">
        <v>90</v>
      </c>
    </row>
    <row r="117" spans="1:13" x14ac:dyDescent="0.25">
      <c r="A117">
        <v>1590</v>
      </c>
      <c r="B117" t="s">
        <v>220</v>
      </c>
      <c r="C117" t="s">
        <v>61</v>
      </c>
      <c r="E117">
        <v>5335</v>
      </c>
      <c r="F117">
        <v>7000</v>
      </c>
      <c r="G117">
        <v>15000</v>
      </c>
      <c r="H117" t="s">
        <v>41</v>
      </c>
      <c r="I117" t="s">
        <v>59</v>
      </c>
      <c r="K117" t="s">
        <v>54</v>
      </c>
      <c r="L117" t="s">
        <v>45</v>
      </c>
      <c r="M117">
        <v>3</v>
      </c>
    </row>
    <row r="118" spans="1:13" x14ac:dyDescent="0.25">
      <c r="A118">
        <v>1061</v>
      </c>
      <c r="B118" t="s">
        <v>221</v>
      </c>
      <c r="C118" t="s">
        <v>119</v>
      </c>
      <c r="D118" t="s">
        <v>52</v>
      </c>
      <c r="E118" t="s">
        <v>222</v>
      </c>
      <c r="F118">
        <v>26000</v>
      </c>
      <c r="G118">
        <v>40000</v>
      </c>
      <c r="H118" t="s">
        <v>63</v>
      </c>
      <c r="J118" t="s">
        <v>66</v>
      </c>
      <c r="K118" t="s">
        <v>44</v>
      </c>
      <c r="L118" t="s">
        <v>109</v>
      </c>
      <c r="M118">
        <v>2</v>
      </c>
    </row>
    <row r="119" spans="1:13" x14ac:dyDescent="0.25">
      <c r="A119">
        <v>1326</v>
      </c>
      <c r="B119" t="s">
        <v>223</v>
      </c>
      <c r="C119" t="s">
        <v>94</v>
      </c>
      <c r="D119">
        <v>2016</v>
      </c>
      <c r="E119">
        <v>16399</v>
      </c>
      <c r="F119" t="s">
        <v>115</v>
      </c>
      <c r="G119">
        <v>80000</v>
      </c>
      <c r="H119" t="s">
        <v>58</v>
      </c>
      <c r="I119" t="s">
        <v>35</v>
      </c>
      <c r="J119" t="s">
        <v>36</v>
      </c>
      <c r="K119" t="s">
        <v>54</v>
      </c>
      <c r="L119" t="s">
        <v>98</v>
      </c>
    </row>
    <row r="120" spans="1:13" x14ac:dyDescent="0.25">
      <c r="A120">
        <v>1194</v>
      </c>
      <c r="B120" t="s">
        <v>224</v>
      </c>
      <c r="C120" t="s">
        <v>103</v>
      </c>
      <c r="D120">
        <v>2017</v>
      </c>
      <c r="E120">
        <v>6268</v>
      </c>
      <c r="F120">
        <v>12000</v>
      </c>
      <c r="G120">
        <v>40000</v>
      </c>
      <c r="I120" t="s">
        <v>72</v>
      </c>
      <c r="J120" t="s">
        <v>43</v>
      </c>
      <c r="K120" t="s">
        <v>73</v>
      </c>
      <c r="L120" t="s">
        <v>49</v>
      </c>
      <c r="M120">
        <v>3</v>
      </c>
    </row>
    <row r="121" spans="1:13" x14ac:dyDescent="0.25">
      <c r="A121">
        <v>1051</v>
      </c>
      <c r="B121" t="s">
        <v>225</v>
      </c>
      <c r="C121" t="s">
        <v>138</v>
      </c>
      <c r="D121">
        <v>2017</v>
      </c>
      <c r="E121">
        <v>11110</v>
      </c>
      <c r="F121">
        <v>15000</v>
      </c>
      <c r="G121">
        <v>80000</v>
      </c>
      <c r="I121" t="s">
        <v>72</v>
      </c>
      <c r="K121" t="s">
        <v>73</v>
      </c>
      <c r="L121" t="s">
        <v>49</v>
      </c>
      <c r="M121">
        <v>3</v>
      </c>
    </row>
    <row r="122" spans="1:13" x14ac:dyDescent="0.25">
      <c r="A122">
        <v>1410</v>
      </c>
      <c r="B122" t="s">
        <v>226</v>
      </c>
      <c r="C122" t="s">
        <v>164</v>
      </c>
      <c r="D122">
        <v>2018</v>
      </c>
      <c r="E122" t="s">
        <v>227</v>
      </c>
      <c r="F122">
        <v>22000</v>
      </c>
      <c r="G122">
        <v>60000</v>
      </c>
      <c r="H122" t="s">
        <v>69</v>
      </c>
      <c r="I122" t="s">
        <v>35</v>
      </c>
      <c r="J122" t="s">
        <v>43</v>
      </c>
      <c r="L122" t="s">
        <v>55</v>
      </c>
    </row>
    <row r="123" spans="1:13" x14ac:dyDescent="0.25">
      <c r="A123">
        <v>1382</v>
      </c>
      <c r="B123" t="s">
        <v>228</v>
      </c>
      <c r="C123" t="s">
        <v>65</v>
      </c>
      <c r="E123">
        <v>7208</v>
      </c>
      <c r="F123">
        <v>9000</v>
      </c>
      <c r="G123">
        <v>25000</v>
      </c>
      <c r="H123" t="s">
        <v>58</v>
      </c>
      <c r="I123" t="s">
        <v>42</v>
      </c>
      <c r="L123" t="s">
        <v>98</v>
      </c>
    </row>
    <row r="124" spans="1:13" x14ac:dyDescent="0.25">
      <c r="A124">
        <v>1485</v>
      </c>
      <c r="B124" t="s">
        <v>229</v>
      </c>
      <c r="C124" t="s">
        <v>68</v>
      </c>
      <c r="D124">
        <v>2014</v>
      </c>
      <c r="E124">
        <v>155</v>
      </c>
      <c r="F124" t="s">
        <v>147</v>
      </c>
      <c r="G124">
        <v>25000</v>
      </c>
      <c r="H124" t="s">
        <v>58</v>
      </c>
      <c r="I124" t="s">
        <v>72</v>
      </c>
      <c r="K124" t="s">
        <v>44</v>
      </c>
      <c r="L124" t="s">
        <v>90</v>
      </c>
      <c r="M124">
        <v>3</v>
      </c>
    </row>
    <row r="125" spans="1:13" x14ac:dyDescent="0.25">
      <c r="A125">
        <v>1501</v>
      </c>
      <c r="B125" t="s">
        <v>230</v>
      </c>
      <c r="C125" t="s">
        <v>51</v>
      </c>
      <c r="E125">
        <v>16825</v>
      </c>
      <c r="F125">
        <v>22000</v>
      </c>
      <c r="G125">
        <v>80000</v>
      </c>
      <c r="H125" t="s">
        <v>63</v>
      </c>
      <c r="I125" t="s">
        <v>72</v>
      </c>
      <c r="J125" t="s">
        <v>36</v>
      </c>
      <c r="K125" t="s">
        <v>48</v>
      </c>
      <c r="L125" t="s">
        <v>45</v>
      </c>
      <c r="M125">
        <v>0</v>
      </c>
    </row>
    <row r="126" spans="1:13" x14ac:dyDescent="0.25">
      <c r="A126">
        <v>1491</v>
      </c>
      <c r="B126" t="s">
        <v>231</v>
      </c>
      <c r="C126" t="s">
        <v>133</v>
      </c>
      <c r="D126">
        <v>2018</v>
      </c>
      <c r="E126" t="s">
        <v>232</v>
      </c>
      <c r="F126">
        <v>15000</v>
      </c>
      <c r="G126">
        <v>120000</v>
      </c>
      <c r="H126" t="s">
        <v>34</v>
      </c>
      <c r="I126" t="s">
        <v>42</v>
      </c>
      <c r="J126" t="s">
        <v>66</v>
      </c>
      <c r="K126" t="s">
        <v>73</v>
      </c>
      <c r="L126" t="s">
        <v>49</v>
      </c>
      <c r="M126">
        <v>1</v>
      </c>
    </row>
    <row r="127" spans="1:13" x14ac:dyDescent="0.25">
      <c r="A127">
        <v>1208</v>
      </c>
      <c r="B127" t="s">
        <v>233</v>
      </c>
      <c r="C127" t="s">
        <v>40</v>
      </c>
      <c r="D127">
        <v>2021</v>
      </c>
      <c r="E127">
        <v>19760</v>
      </c>
      <c r="F127">
        <v>22000</v>
      </c>
      <c r="G127">
        <v>60000</v>
      </c>
      <c r="H127" t="s">
        <v>41</v>
      </c>
      <c r="I127" t="s">
        <v>42</v>
      </c>
      <c r="K127" t="s">
        <v>77</v>
      </c>
      <c r="M127">
        <v>2</v>
      </c>
    </row>
    <row r="128" spans="1:13" x14ac:dyDescent="0.25">
      <c r="A128">
        <v>1545</v>
      </c>
      <c r="B128" t="s">
        <v>132</v>
      </c>
      <c r="C128" t="s">
        <v>133</v>
      </c>
      <c r="D128">
        <v>2022</v>
      </c>
      <c r="E128">
        <v>23582</v>
      </c>
      <c r="F128">
        <v>26000</v>
      </c>
      <c r="G128">
        <v>40000</v>
      </c>
      <c r="H128" t="s">
        <v>69</v>
      </c>
      <c r="J128" t="s">
        <v>43</v>
      </c>
      <c r="K128" t="s">
        <v>77</v>
      </c>
      <c r="L128" t="s">
        <v>38</v>
      </c>
      <c r="M128">
        <v>2</v>
      </c>
    </row>
    <row r="129" spans="1:13" x14ac:dyDescent="0.25">
      <c r="A129">
        <v>1500</v>
      </c>
      <c r="B129" t="s">
        <v>234</v>
      </c>
      <c r="C129" t="s">
        <v>51</v>
      </c>
      <c r="D129">
        <v>2017</v>
      </c>
      <c r="E129">
        <v>11226</v>
      </c>
      <c r="F129">
        <v>18000</v>
      </c>
      <c r="G129">
        <v>40000</v>
      </c>
      <c r="H129" t="s">
        <v>69</v>
      </c>
      <c r="I129" t="s">
        <v>72</v>
      </c>
      <c r="J129" t="s">
        <v>36</v>
      </c>
      <c r="L129" t="s">
        <v>98</v>
      </c>
      <c r="M129">
        <v>3</v>
      </c>
    </row>
    <row r="130" spans="1:13" x14ac:dyDescent="0.25">
      <c r="A130">
        <v>1354</v>
      </c>
      <c r="B130" t="s">
        <v>235</v>
      </c>
      <c r="C130" t="s">
        <v>79</v>
      </c>
      <c r="D130">
        <v>2016</v>
      </c>
      <c r="E130">
        <v>14644</v>
      </c>
      <c r="F130">
        <v>18000</v>
      </c>
      <c r="G130">
        <v>15000</v>
      </c>
      <c r="H130" t="s">
        <v>53</v>
      </c>
      <c r="I130" t="s">
        <v>42</v>
      </c>
      <c r="K130" t="s">
        <v>54</v>
      </c>
      <c r="M130">
        <v>2</v>
      </c>
    </row>
    <row r="131" spans="1:13" x14ac:dyDescent="0.25">
      <c r="A131">
        <v>1231</v>
      </c>
      <c r="B131" t="s">
        <v>118</v>
      </c>
      <c r="C131" t="s">
        <v>164</v>
      </c>
      <c r="D131">
        <v>2015</v>
      </c>
      <c r="E131">
        <v>13585</v>
      </c>
      <c r="F131" t="s">
        <v>89</v>
      </c>
      <c r="G131">
        <v>25000</v>
      </c>
      <c r="I131" t="s">
        <v>35</v>
      </c>
      <c r="J131" t="s">
        <v>66</v>
      </c>
      <c r="K131" t="s">
        <v>73</v>
      </c>
      <c r="M131">
        <v>1</v>
      </c>
    </row>
    <row r="132" spans="1:13" x14ac:dyDescent="0.25">
      <c r="A132">
        <v>1294</v>
      </c>
      <c r="B132" t="s">
        <v>236</v>
      </c>
      <c r="C132" t="s">
        <v>103</v>
      </c>
      <c r="D132" t="s">
        <v>52</v>
      </c>
      <c r="E132">
        <v>24671</v>
      </c>
      <c r="F132">
        <v>31000</v>
      </c>
      <c r="G132">
        <v>60000</v>
      </c>
      <c r="H132" t="s">
        <v>84</v>
      </c>
      <c r="J132" t="s">
        <v>66</v>
      </c>
      <c r="L132" t="s">
        <v>126</v>
      </c>
      <c r="M132">
        <v>1</v>
      </c>
    </row>
    <row r="133" spans="1:13" x14ac:dyDescent="0.25">
      <c r="A133">
        <v>1296</v>
      </c>
      <c r="B133" t="s">
        <v>237</v>
      </c>
      <c r="C133" t="s">
        <v>103</v>
      </c>
      <c r="D133">
        <v>2016</v>
      </c>
      <c r="E133">
        <v>1942</v>
      </c>
      <c r="F133" t="s">
        <v>147</v>
      </c>
      <c r="G133">
        <v>60000</v>
      </c>
      <c r="H133" t="s">
        <v>84</v>
      </c>
      <c r="I133" t="s">
        <v>72</v>
      </c>
      <c r="J133" t="s">
        <v>96</v>
      </c>
      <c r="K133" t="s">
        <v>116</v>
      </c>
    </row>
    <row r="134" spans="1:13" x14ac:dyDescent="0.25">
      <c r="A134">
        <v>1338</v>
      </c>
      <c r="B134" t="s">
        <v>238</v>
      </c>
      <c r="C134" t="s">
        <v>133</v>
      </c>
      <c r="D134">
        <v>2016</v>
      </c>
      <c r="E134" t="s">
        <v>239</v>
      </c>
      <c r="F134">
        <v>31000</v>
      </c>
      <c r="G134">
        <v>40000</v>
      </c>
      <c r="H134" t="s">
        <v>58</v>
      </c>
      <c r="I134" t="s">
        <v>35</v>
      </c>
      <c r="J134" t="s">
        <v>96</v>
      </c>
      <c r="K134" t="s">
        <v>54</v>
      </c>
      <c r="L134" t="s">
        <v>38</v>
      </c>
      <c r="M134">
        <v>1</v>
      </c>
    </row>
    <row r="135" spans="1:13" x14ac:dyDescent="0.25">
      <c r="A135">
        <v>1189</v>
      </c>
      <c r="B135" t="s">
        <v>240</v>
      </c>
      <c r="C135" t="s">
        <v>94</v>
      </c>
      <c r="D135">
        <v>2020</v>
      </c>
      <c r="E135">
        <v>17717</v>
      </c>
      <c r="F135">
        <v>22000</v>
      </c>
      <c r="G135">
        <v>15000</v>
      </c>
      <c r="H135" t="s">
        <v>41</v>
      </c>
      <c r="I135" t="s">
        <v>72</v>
      </c>
      <c r="J135" t="s">
        <v>43</v>
      </c>
      <c r="K135" t="s">
        <v>77</v>
      </c>
      <c r="L135" t="s">
        <v>55</v>
      </c>
      <c r="M135">
        <v>2</v>
      </c>
    </row>
    <row r="136" spans="1:13" x14ac:dyDescent="0.25">
      <c r="A136">
        <v>1241</v>
      </c>
      <c r="B136" t="s">
        <v>241</v>
      </c>
      <c r="C136" t="s">
        <v>61</v>
      </c>
      <c r="D136">
        <v>2018</v>
      </c>
      <c r="E136" t="s">
        <v>242</v>
      </c>
      <c r="F136" t="s">
        <v>147</v>
      </c>
      <c r="G136">
        <v>40000</v>
      </c>
      <c r="H136" t="s">
        <v>34</v>
      </c>
      <c r="J136" t="s">
        <v>96</v>
      </c>
      <c r="K136" t="s">
        <v>37</v>
      </c>
      <c r="L136" t="s">
        <v>45</v>
      </c>
      <c r="M136">
        <v>2</v>
      </c>
    </row>
    <row r="137" spans="1:13" x14ac:dyDescent="0.25">
      <c r="A137">
        <v>1382</v>
      </c>
      <c r="B137" t="s">
        <v>243</v>
      </c>
      <c r="C137" t="s">
        <v>119</v>
      </c>
      <c r="D137">
        <v>2017</v>
      </c>
      <c r="E137">
        <v>9746</v>
      </c>
      <c r="F137">
        <v>12000</v>
      </c>
      <c r="G137">
        <v>60000</v>
      </c>
      <c r="H137" t="s">
        <v>53</v>
      </c>
      <c r="I137" t="s">
        <v>42</v>
      </c>
      <c r="K137" t="s">
        <v>37</v>
      </c>
      <c r="M137">
        <v>3</v>
      </c>
    </row>
    <row r="138" spans="1:13" x14ac:dyDescent="0.25">
      <c r="A138">
        <v>1207</v>
      </c>
      <c r="B138" t="s">
        <v>244</v>
      </c>
      <c r="C138" t="s">
        <v>79</v>
      </c>
      <c r="D138">
        <v>2015</v>
      </c>
      <c r="E138">
        <v>3514</v>
      </c>
      <c r="F138" t="s">
        <v>81</v>
      </c>
      <c r="G138">
        <v>15000</v>
      </c>
      <c r="I138" t="s">
        <v>35</v>
      </c>
      <c r="J138" t="s">
        <v>66</v>
      </c>
      <c r="K138" t="s">
        <v>116</v>
      </c>
      <c r="L138" t="s">
        <v>49</v>
      </c>
    </row>
    <row r="139" spans="1:13" x14ac:dyDescent="0.25">
      <c r="A139">
        <v>1467</v>
      </c>
      <c r="B139" t="s">
        <v>169</v>
      </c>
      <c r="C139" t="s">
        <v>138</v>
      </c>
      <c r="D139">
        <v>2014</v>
      </c>
      <c r="E139">
        <v>25796</v>
      </c>
      <c r="F139">
        <v>31000</v>
      </c>
      <c r="G139">
        <v>25000</v>
      </c>
      <c r="H139" t="s">
        <v>69</v>
      </c>
      <c r="I139" t="s">
        <v>35</v>
      </c>
      <c r="J139" t="s">
        <v>43</v>
      </c>
      <c r="K139" t="s">
        <v>54</v>
      </c>
      <c r="L139" t="s">
        <v>126</v>
      </c>
      <c r="M139">
        <v>1</v>
      </c>
    </row>
    <row r="140" spans="1:13" x14ac:dyDescent="0.25">
      <c r="A140">
        <v>1554</v>
      </c>
      <c r="B140" t="s">
        <v>245</v>
      </c>
      <c r="C140" t="s">
        <v>75</v>
      </c>
      <c r="D140">
        <v>2014</v>
      </c>
      <c r="E140">
        <v>19263</v>
      </c>
      <c r="F140">
        <v>26000</v>
      </c>
      <c r="G140" t="s">
        <v>130</v>
      </c>
      <c r="I140" t="s">
        <v>35</v>
      </c>
      <c r="J140" t="s">
        <v>96</v>
      </c>
      <c r="K140" t="s">
        <v>48</v>
      </c>
      <c r="L140" t="s">
        <v>90</v>
      </c>
      <c r="M140">
        <v>1</v>
      </c>
    </row>
    <row r="141" spans="1:13" x14ac:dyDescent="0.25">
      <c r="A141">
        <v>1082</v>
      </c>
      <c r="B141" t="s">
        <v>246</v>
      </c>
      <c r="C141" t="s">
        <v>103</v>
      </c>
      <c r="D141">
        <v>2019</v>
      </c>
      <c r="E141">
        <v>21908</v>
      </c>
      <c r="F141">
        <v>26000</v>
      </c>
      <c r="G141">
        <v>60000</v>
      </c>
      <c r="H141" t="s">
        <v>63</v>
      </c>
      <c r="I141" t="s">
        <v>35</v>
      </c>
      <c r="J141" t="s">
        <v>66</v>
      </c>
      <c r="L141" t="s">
        <v>98</v>
      </c>
    </row>
    <row r="142" spans="1:13" x14ac:dyDescent="0.25">
      <c r="A142">
        <v>1557</v>
      </c>
      <c r="B142" t="s">
        <v>247</v>
      </c>
      <c r="C142" t="s">
        <v>164</v>
      </c>
      <c r="D142">
        <v>2017</v>
      </c>
      <c r="E142">
        <v>3556</v>
      </c>
      <c r="F142">
        <v>7000</v>
      </c>
      <c r="G142" t="s">
        <v>76</v>
      </c>
      <c r="I142" t="s">
        <v>72</v>
      </c>
      <c r="J142" t="s">
        <v>66</v>
      </c>
      <c r="K142" t="s">
        <v>54</v>
      </c>
      <c r="L142" t="s">
        <v>38</v>
      </c>
      <c r="M142">
        <v>0</v>
      </c>
    </row>
    <row r="143" spans="1:13" x14ac:dyDescent="0.25">
      <c r="A143">
        <v>1211</v>
      </c>
      <c r="B143" t="s">
        <v>248</v>
      </c>
      <c r="C143" t="s">
        <v>68</v>
      </c>
      <c r="D143" t="s">
        <v>52</v>
      </c>
      <c r="E143" t="s">
        <v>249</v>
      </c>
      <c r="F143">
        <v>26000</v>
      </c>
      <c r="G143">
        <v>80000</v>
      </c>
      <c r="H143" t="s">
        <v>41</v>
      </c>
      <c r="I143" t="s">
        <v>42</v>
      </c>
      <c r="J143" t="s">
        <v>36</v>
      </c>
      <c r="K143" t="s">
        <v>48</v>
      </c>
      <c r="L143" t="s">
        <v>55</v>
      </c>
      <c r="M143">
        <v>1</v>
      </c>
    </row>
    <row r="144" spans="1:13" x14ac:dyDescent="0.25">
      <c r="A144">
        <v>1589</v>
      </c>
      <c r="B144" t="s">
        <v>250</v>
      </c>
      <c r="C144" t="s">
        <v>47</v>
      </c>
      <c r="D144">
        <v>2014</v>
      </c>
      <c r="E144">
        <v>8631</v>
      </c>
      <c r="F144">
        <v>12000</v>
      </c>
      <c r="G144">
        <v>80000</v>
      </c>
      <c r="H144" t="s">
        <v>63</v>
      </c>
      <c r="I144" t="s">
        <v>42</v>
      </c>
      <c r="J144" t="s">
        <v>96</v>
      </c>
      <c r="K144" t="s">
        <v>100</v>
      </c>
      <c r="M144">
        <v>1</v>
      </c>
    </row>
    <row r="145" spans="1:13" x14ac:dyDescent="0.25">
      <c r="A145">
        <v>1437</v>
      </c>
      <c r="B145" t="s">
        <v>251</v>
      </c>
      <c r="C145" t="s">
        <v>103</v>
      </c>
      <c r="D145">
        <v>2018</v>
      </c>
      <c r="E145">
        <v>12440</v>
      </c>
      <c r="F145" t="s">
        <v>129</v>
      </c>
      <c r="G145">
        <v>15000</v>
      </c>
      <c r="H145" t="s">
        <v>34</v>
      </c>
      <c r="J145" t="s">
        <v>96</v>
      </c>
      <c r="K145" t="s">
        <v>48</v>
      </c>
      <c r="L145" t="s">
        <v>98</v>
      </c>
      <c r="M145">
        <v>1</v>
      </c>
    </row>
    <row r="146" spans="1:13" x14ac:dyDescent="0.25">
      <c r="A146">
        <v>1230</v>
      </c>
      <c r="B146" t="s">
        <v>252</v>
      </c>
      <c r="C146" t="s">
        <v>51</v>
      </c>
      <c r="D146">
        <v>2020</v>
      </c>
      <c r="E146">
        <v>7121</v>
      </c>
      <c r="F146">
        <v>12000</v>
      </c>
      <c r="G146">
        <v>80000</v>
      </c>
      <c r="H146" t="s">
        <v>41</v>
      </c>
      <c r="J146" t="s">
        <v>43</v>
      </c>
      <c r="K146" t="s">
        <v>48</v>
      </c>
    </row>
    <row r="147" spans="1:13" x14ac:dyDescent="0.25">
      <c r="A147">
        <v>1080</v>
      </c>
      <c r="B147" t="s">
        <v>253</v>
      </c>
      <c r="C147" t="s">
        <v>164</v>
      </c>
      <c r="D147">
        <v>2020</v>
      </c>
      <c r="E147">
        <v>12335</v>
      </c>
      <c r="F147">
        <v>15000</v>
      </c>
      <c r="G147" t="s">
        <v>130</v>
      </c>
      <c r="H147" t="s">
        <v>53</v>
      </c>
      <c r="I147" t="s">
        <v>35</v>
      </c>
      <c r="J147" t="s">
        <v>96</v>
      </c>
      <c r="K147" t="s">
        <v>48</v>
      </c>
      <c r="L147" t="s">
        <v>126</v>
      </c>
      <c r="M147">
        <v>0</v>
      </c>
    </row>
    <row r="148" spans="1:13" x14ac:dyDescent="0.25">
      <c r="A148">
        <v>1310</v>
      </c>
      <c r="B148" t="s">
        <v>254</v>
      </c>
      <c r="C148" t="s">
        <v>47</v>
      </c>
      <c r="E148">
        <v>12289</v>
      </c>
      <c r="F148" t="s">
        <v>89</v>
      </c>
      <c r="G148">
        <v>60000</v>
      </c>
      <c r="H148" t="s">
        <v>84</v>
      </c>
      <c r="I148" t="s">
        <v>59</v>
      </c>
      <c r="J148" t="s">
        <v>66</v>
      </c>
      <c r="K148" t="s">
        <v>77</v>
      </c>
      <c r="L148" t="s">
        <v>98</v>
      </c>
      <c r="M148">
        <v>1</v>
      </c>
    </row>
    <row r="149" spans="1:13" x14ac:dyDescent="0.25">
      <c r="A149">
        <v>1315</v>
      </c>
      <c r="B149" t="s">
        <v>255</v>
      </c>
      <c r="C149" t="s">
        <v>61</v>
      </c>
      <c r="D149">
        <v>2018</v>
      </c>
      <c r="E149">
        <v>20629</v>
      </c>
      <c r="F149">
        <v>26000</v>
      </c>
      <c r="G149">
        <v>60000</v>
      </c>
      <c r="H149" t="s">
        <v>84</v>
      </c>
      <c r="I149" t="s">
        <v>59</v>
      </c>
      <c r="J149" t="s">
        <v>96</v>
      </c>
      <c r="K149" t="s">
        <v>77</v>
      </c>
      <c r="L149" t="s">
        <v>109</v>
      </c>
      <c r="M149">
        <v>2</v>
      </c>
    </row>
    <row r="150" spans="1:13" x14ac:dyDescent="0.25">
      <c r="A150">
        <v>1267</v>
      </c>
      <c r="B150" t="s">
        <v>256</v>
      </c>
      <c r="C150" t="s">
        <v>103</v>
      </c>
      <c r="D150">
        <v>2014</v>
      </c>
      <c r="E150">
        <v>12805</v>
      </c>
      <c r="F150">
        <v>15000</v>
      </c>
      <c r="G150">
        <v>120000</v>
      </c>
      <c r="H150" t="s">
        <v>69</v>
      </c>
      <c r="I150" t="s">
        <v>42</v>
      </c>
      <c r="J150" t="s">
        <v>66</v>
      </c>
      <c r="K150" t="s">
        <v>44</v>
      </c>
      <c r="L150" t="s">
        <v>38</v>
      </c>
      <c r="M150">
        <v>3</v>
      </c>
    </row>
    <row r="151" spans="1:13" x14ac:dyDescent="0.25">
      <c r="A151">
        <v>1471</v>
      </c>
      <c r="B151" t="s">
        <v>257</v>
      </c>
      <c r="C151" t="s">
        <v>119</v>
      </c>
      <c r="D151">
        <v>2021</v>
      </c>
      <c r="E151" t="s">
        <v>258</v>
      </c>
      <c r="F151">
        <v>22000</v>
      </c>
      <c r="G151" t="s">
        <v>130</v>
      </c>
      <c r="I151" t="s">
        <v>42</v>
      </c>
      <c r="K151" t="s">
        <v>73</v>
      </c>
      <c r="M151">
        <v>0</v>
      </c>
    </row>
    <row r="152" spans="1:13" x14ac:dyDescent="0.25">
      <c r="A152">
        <v>1236</v>
      </c>
      <c r="B152" t="s">
        <v>188</v>
      </c>
      <c r="C152" t="s">
        <v>75</v>
      </c>
      <c r="D152" t="s">
        <v>52</v>
      </c>
      <c r="E152" t="s">
        <v>259</v>
      </c>
      <c r="F152">
        <v>7000</v>
      </c>
      <c r="G152" t="s">
        <v>76</v>
      </c>
      <c r="I152" t="s">
        <v>72</v>
      </c>
      <c r="J152" t="s">
        <v>36</v>
      </c>
      <c r="K152" t="s">
        <v>116</v>
      </c>
      <c r="L152" t="s">
        <v>55</v>
      </c>
      <c r="M152">
        <v>0</v>
      </c>
    </row>
    <row r="153" spans="1:13" x14ac:dyDescent="0.25">
      <c r="A153">
        <v>1281</v>
      </c>
      <c r="B153" t="s">
        <v>260</v>
      </c>
      <c r="C153" t="s">
        <v>40</v>
      </c>
      <c r="D153">
        <v>2022</v>
      </c>
      <c r="E153">
        <v>24863</v>
      </c>
      <c r="F153">
        <v>26000</v>
      </c>
      <c r="G153">
        <v>15000</v>
      </c>
      <c r="H153" t="s">
        <v>34</v>
      </c>
      <c r="I153" t="s">
        <v>42</v>
      </c>
      <c r="J153" t="s">
        <v>36</v>
      </c>
      <c r="K153" t="s">
        <v>37</v>
      </c>
      <c r="M153">
        <v>1</v>
      </c>
    </row>
    <row r="154" spans="1:13" x14ac:dyDescent="0.25">
      <c r="A154">
        <v>1080</v>
      </c>
      <c r="B154" t="s">
        <v>261</v>
      </c>
      <c r="C154" t="s">
        <v>119</v>
      </c>
      <c r="D154">
        <v>2017</v>
      </c>
      <c r="E154">
        <v>14811</v>
      </c>
      <c r="F154">
        <v>18000</v>
      </c>
      <c r="G154">
        <v>40000</v>
      </c>
      <c r="H154" t="s">
        <v>53</v>
      </c>
      <c r="I154" t="s">
        <v>72</v>
      </c>
      <c r="J154" t="s">
        <v>36</v>
      </c>
      <c r="K154" t="s">
        <v>73</v>
      </c>
      <c r="L154" t="s">
        <v>49</v>
      </c>
      <c r="M154">
        <v>3</v>
      </c>
    </row>
    <row r="155" spans="1:13" x14ac:dyDescent="0.25">
      <c r="A155">
        <v>1175</v>
      </c>
      <c r="B155" t="s">
        <v>262</v>
      </c>
      <c r="C155" t="s">
        <v>94</v>
      </c>
      <c r="D155">
        <v>2020</v>
      </c>
      <c r="E155" t="s">
        <v>263</v>
      </c>
      <c r="F155">
        <v>31000</v>
      </c>
      <c r="G155">
        <v>15000</v>
      </c>
      <c r="H155" t="s">
        <v>63</v>
      </c>
      <c r="J155" t="s">
        <v>36</v>
      </c>
      <c r="L155" t="s">
        <v>126</v>
      </c>
      <c r="M155">
        <v>1</v>
      </c>
    </row>
    <row r="156" spans="1:13" x14ac:dyDescent="0.25">
      <c r="A156">
        <v>1287</v>
      </c>
      <c r="B156" t="s">
        <v>264</v>
      </c>
      <c r="C156" t="s">
        <v>47</v>
      </c>
      <c r="E156">
        <v>29619</v>
      </c>
      <c r="F156">
        <v>31000</v>
      </c>
      <c r="G156" t="s">
        <v>130</v>
      </c>
      <c r="H156" t="s">
        <v>63</v>
      </c>
      <c r="I156" t="s">
        <v>35</v>
      </c>
      <c r="J156" t="s">
        <v>66</v>
      </c>
      <c r="K156" t="s">
        <v>100</v>
      </c>
      <c r="L156" t="s">
        <v>98</v>
      </c>
      <c r="M156">
        <v>0</v>
      </c>
    </row>
    <row r="157" spans="1:13" x14ac:dyDescent="0.25">
      <c r="A157">
        <v>1339</v>
      </c>
      <c r="B157" t="s">
        <v>265</v>
      </c>
      <c r="C157" t="s">
        <v>51</v>
      </c>
      <c r="D157">
        <v>2016</v>
      </c>
      <c r="E157">
        <v>10813</v>
      </c>
      <c r="F157">
        <v>15000</v>
      </c>
      <c r="G157">
        <v>80000</v>
      </c>
      <c r="H157" t="s">
        <v>84</v>
      </c>
      <c r="J157" t="s">
        <v>96</v>
      </c>
      <c r="K157" t="s">
        <v>73</v>
      </c>
      <c r="L157" t="s">
        <v>49</v>
      </c>
      <c r="M157">
        <v>3</v>
      </c>
    </row>
    <row r="158" spans="1:13" x14ac:dyDescent="0.25">
      <c r="A158">
        <v>1334</v>
      </c>
      <c r="B158" t="s">
        <v>261</v>
      </c>
      <c r="C158" t="s">
        <v>119</v>
      </c>
      <c r="D158">
        <v>2015</v>
      </c>
      <c r="E158" t="s">
        <v>266</v>
      </c>
      <c r="F158">
        <v>22000</v>
      </c>
      <c r="G158">
        <v>80000</v>
      </c>
      <c r="I158" t="s">
        <v>42</v>
      </c>
      <c r="J158" t="s">
        <v>96</v>
      </c>
      <c r="L158" t="s">
        <v>98</v>
      </c>
      <c r="M158">
        <v>3</v>
      </c>
    </row>
    <row r="159" spans="1:13" x14ac:dyDescent="0.25">
      <c r="A159">
        <v>1252</v>
      </c>
      <c r="B159" t="s">
        <v>267</v>
      </c>
      <c r="C159" t="s">
        <v>57</v>
      </c>
      <c r="D159" t="s">
        <v>52</v>
      </c>
      <c r="E159">
        <v>19933</v>
      </c>
      <c r="F159" t="s">
        <v>83</v>
      </c>
      <c r="G159" t="s">
        <v>76</v>
      </c>
      <c r="H159" t="s">
        <v>58</v>
      </c>
      <c r="I159" t="s">
        <v>59</v>
      </c>
      <c r="J159" t="s">
        <v>96</v>
      </c>
      <c r="K159" t="s">
        <v>44</v>
      </c>
      <c r="L159" t="s">
        <v>49</v>
      </c>
      <c r="M159">
        <v>0</v>
      </c>
    </row>
    <row r="160" spans="1:13" x14ac:dyDescent="0.25">
      <c r="A160">
        <v>1135</v>
      </c>
      <c r="B160" t="s">
        <v>268</v>
      </c>
      <c r="C160" t="s">
        <v>40</v>
      </c>
      <c r="D160">
        <v>2018</v>
      </c>
      <c r="E160" t="s">
        <v>269</v>
      </c>
      <c r="F160">
        <v>31000</v>
      </c>
      <c r="G160">
        <v>40000</v>
      </c>
      <c r="H160" t="s">
        <v>34</v>
      </c>
      <c r="I160" t="s">
        <v>35</v>
      </c>
      <c r="J160" t="s">
        <v>36</v>
      </c>
      <c r="K160" t="s">
        <v>37</v>
      </c>
      <c r="L160" t="s">
        <v>109</v>
      </c>
    </row>
    <row r="161" spans="1:13" x14ac:dyDescent="0.25">
      <c r="A161">
        <v>1423</v>
      </c>
      <c r="B161" t="s">
        <v>270</v>
      </c>
      <c r="C161" t="s">
        <v>75</v>
      </c>
      <c r="E161">
        <v>20899</v>
      </c>
      <c r="F161" t="s">
        <v>115</v>
      </c>
      <c r="G161">
        <v>60000</v>
      </c>
      <c r="H161" t="s">
        <v>53</v>
      </c>
      <c r="K161" t="s">
        <v>100</v>
      </c>
      <c r="L161" t="s">
        <v>98</v>
      </c>
      <c r="M161">
        <v>1</v>
      </c>
    </row>
    <row r="162" spans="1:13" x14ac:dyDescent="0.25">
      <c r="A162">
        <v>1064</v>
      </c>
      <c r="B162" t="s">
        <v>271</v>
      </c>
      <c r="C162" t="s">
        <v>164</v>
      </c>
      <c r="D162">
        <v>2018</v>
      </c>
      <c r="E162" t="s">
        <v>272</v>
      </c>
      <c r="F162">
        <v>18000</v>
      </c>
      <c r="G162">
        <v>40000</v>
      </c>
      <c r="H162" t="s">
        <v>84</v>
      </c>
      <c r="I162" t="s">
        <v>72</v>
      </c>
      <c r="J162" t="s">
        <v>96</v>
      </c>
      <c r="K162" t="s">
        <v>77</v>
      </c>
      <c r="L162" t="s">
        <v>55</v>
      </c>
    </row>
    <row r="163" spans="1:13" x14ac:dyDescent="0.25">
      <c r="A163">
        <v>1405</v>
      </c>
      <c r="B163" t="s">
        <v>273</v>
      </c>
      <c r="C163" t="s">
        <v>47</v>
      </c>
      <c r="D163">
        <v>2021</v>
      </c>
      <c r="E163">
        <v>5505</v>
      </c>
      <c r="F163">
        <v>9000</v>
      </c>
      <c r="G163">
        <v>25000</v>
      </c>
      <c r="H163" t="s">
        <v>63</v>
      </c>
      <c r="I163" t="s">
        <v>59</v>
      </c>
      <c r="J163" t="s">
        <v>96</v>
      </c>
      <c r="K163" t="s">
        <v>48</v>
      </c>
      <c r="L163" t="s">
        <v>90</v>
      </c>
      <c r="M163">
        <v>2</v>
      </c>
    </row>
    <row r="164" spans="1:13" x14ac:dyDescent="0.25">
      <c r="A164">
        <v>1407</v>
      </c>
      <c r="B164" t="s">
        <v>274</v>
      </c>
      <c r="C164" t="s">
        <v>61</v>
      </c>
      <c r="E164">
        <v>11427</v>
      </c>
      <c r="F164">
        <v>15000</v>
      </c>
      <c r="G164">
        <v>60000</v>
      </c>
      <c r="J164" t="s">
        <v>66</v>
      </c>
      <c r="K164" t="s">
        <v>44</v>
      </c>
      <c r="L164" t="s">
        <v>98</v>
      </c>
      <c r="M164">
        <v>2</v>
      </c>
    </row>
    <row r="165" spans="1:13" x14ac:dyDescent="0.25">
      <c r="A165">
        <v>1184</v>
      </c>
      <c r="B165" t="s">
        <v>275</v>
      </c>
      <c r="C165" t="s">
        <v>94</v>
      </c>
      <c r="D165">
        <v>2019</v>
      </c>
      <c r="E165">
        <v>6364</v>
      </c>
      <c r="F165">
        <v>9000</v>
      </c>
      <c r="G165">
        <v>80000</v>
      </c>
      <c r="I165" t="s">
        <v>42</v>
      </c>
      <c r="J165" t="s">
        <v>43</v>
      </c>
      <c r="K165" t="s">
        <v>54</v>
      </c>
      <c r="L165" t="s">
        <v>49</v>
      </c>
      <c r="M165">
        <v>3</v>
      </c>
    </row>
    <row r="166" spans="1:13" x14ac:dyDescent="0.25">
      <c r="A166">
        <v>1433</v>
      </c>
      <c r="B166" t="s">
        <v>276</v>
      </c>
      <c r="C166" t="s">
        <v>133</v>
      </c>
      <c r="D166">
        <v>2016</v>
      </c>
      <c r="E166">
        <v>14931</v>
      </c>
      <c r="F166" t="s">
        <v>129</v>
      </c>
      <c r="G166">
        <v>25000</v>
      </c>
      <c r="J166" t="s">
        <v>43</v>
      </c>
      <c r="M166">
        <v>3</v>
      </c>
    </row>
    <row r="167" spans="1:13" x14ac:dyDescent="0.25">
      <c r="A167">
        <v>1170</v>
      </c>
      <c r="B167" t="s">
        <v>277</v>
      </c>
      <c r="C167" t="s">
        <v>68</v>
      </c>
      <c r="D167">
        <v>2019</v>
      </c>
      <c r="E167">
        <v>5967</v>
      </c>
      <c r="F167" t="s">
        <v>81</v>
      </c>
      <c r="G167">
        <v>15000</v>
      </c>
      <c r="H167" t="s">
        <v>34</v>
      </c>
      <c r="I167" t="s">
        <v>72</v>
      </c>
      <c r="J167" t="s">
        <v>43</v>
      </c>
      <c r="K167" t="s">
        <v>37</v>
      </c>
      <c r="L167" t="s">
        <v>126</v>
      </c>
      <c r="M167">
        <v>0</v>
      </c>
    </row>
    <row r="168" spans="1:13" x14ac:dyDescent="0.25">
      <c r="A168">
        <v>1474</v>
      </c>
      <c r="B168" t="s">
        <v>278</v>
      </c>
      <c r="C168" t="s">
        <v>65</v>
      </c>
      <c r="D168">
        <v>2017</v>
      </c>
      <c r="E168">
        <v>10936</v>
      </c>
      <c r="F168">
        <v>15000</v>
      </c>
      <c r="G168">
        <v>60000</v>
      </c>
      <c r="H168" t="s">
        <v>63</v>
      </c>
      <c r="I168" t="s">
        <v>35</v>
      </c>
      <c r="J168" t="s">
        <v>43</v>
      </c>
      <c r="K168" t="s">
        <v>37</v>
      </c>
      <c r="L168" t="s">
        <v>45</v>
      </c>
      <c r="M168">
        <v>3</v>
      </c>
    </row>
    <row r="169" spans="1:13" x14ac:dyDescent="0.25">
      <c r="A169">
        <v>1466</v>
      </c>
      <c r="B169" t="s">
        <v>279</v>
      </c>
      <c r="C169" t="s">
        <v>75</v>
      </c>
      <c r="D169">
        <v>2015</v>
      </c>
      <c r="E169">
        <v>8445</v>
      </c>
      <c r="F169">
        <v>12000</v>
      </c>
      <c r="G169">
        <v>40000</v>
      </c>
      <c r="H169" t="s">
        <v>84</v>
      </c>
      <c r="I169" t="s">
        <v>59</v>
      </c>
      <c r="J169" t="s">
        <v>43</v>
      </c>
      <c r="K169" t="s">
        <v>44</v>
      </c>
      <c r="L169" t="s">
        <v>49</v>
      </c>
      <c r="M169">
        <v>2</v>
      </c>
    </row>
    <row r="170" spans="1:13" x14ac:dyDescent="0.25">
      <c r="A170">
        <v>1168</v>
      </c>
      <c r="B170" t="s">
        <v>280</v>
      </c>
      <c r="C170" t="s">
        <v>68</v>
      </c>
      <c r="D170">
        <v>2015</v>
      </c>
      <c r="E170">
        <v>692</v>
      </c>
      <c r="F170">
        <v>7000</v>
      </c>
      <c r="G170">
        <v>40000</v>
      </c>
      <c r="H170" t="s">
        <v>58</v>
      </c>
      <c r="I170" t="s">
        <v>72</v>
      </c>
      <c r="K170" t="s">
        <v>48</v>
      </c>
      <c r="L170" t="s">
        <v>55</v>
      </c>
      <c r="M170">
        <v>1</v>
      </c>
    </row>
    <row r="171" spans="1:13" x14ac:dyDescent="0.25">
      <c r="A171">
        <v>1405</v>
      </c>
      <c r="B171" t="s">
        <v>281</v>
      </c>
      <c r="C171" t="s">
        <v>94</v>
      </c>
      <c r="D171" t="s">
        <v>52</v>
      </c>
      <c r="E171" t="s">
        <v>282</v>
      </c>
      <c r="F171">
        <v>12000</v>
      </c>
      <c r="G171" t="s">
        <v>33</v>
      </c>
      <c r="H171" t="s">
        <v>34</v>
      </c>
      <c r="I171" t="s">
        <v>59</v>
      </c>
      <c r="J171" t="s">
        <v>36</v>
      </c>
      <c r="K171" t="s">
        <v>77</v>
      </c>
      <c r="L171" t="s">
        <v>38</v>
      </c>
      <c r="M171">
        <v>2</v>
      </c>
    </row>
    <row r="172" spans="1:13" x14ac:dyDescent="0.25">
      <c r="A172">
        <v>1333</v>
      </c>
      <c r="B172" t="s">
        <v>283</v>
      </c>
      <c r="C172" t="s">
        <v>75</v>
      </c>
      <c r="E172" t="s">
        <v>284</v>
      </c>
      <c r="F172" t="s">
        <v>81</v>
      </c>
      <c r="G172">
        <v>80000</v>
      </c>
      <c r="J172" t="s">
        <v>96</v>
      </c>
      <c r="K172" t="s">
        <v>48</v>
      </c>
      <c r="L172" t="s">
        <v>98</v>
      </c>
    </row>
    <row r="173" spans="1:13" x14ac:dyDescent="0.25">
      <c r="A173">
        <v>1304</v>
      </c>
      <c r="B173" t="s">
        <v>215</v>
      </c>
      <c r="C173" t="s">
        <v>32</v>
      </c>
      <c r="D173">
        <v>2019</v>
      </c>
      <c r="E173">
        <v>15943</v>
      </c>
      <c r="F173">
        <v>22000</v>
      </c>
      <c r="G173">
        <v>60000</v>
      </c>
      <c r="H173" t="s">
        <v>63</v>
      </c>
      <c r="I173" t="s">
        <v>35</v>
      </c>
      <c r="J173" t="s">
        <v>66</v>
      </c>
      <c r="K173" t="s">
        <v>54</v>
      </c>
      <c r="L173" t="s">
        <v>49</v>
      </c>
      <c r="M173">
        <v>1</v>
      </c>
    </row>
    <row r="174" spans="1:13" x14ac:dyDescent="0.25">
      <c r="A174">
        <v>1588</v>
      </c>
      <c r="B174" t="s">
        <v>285</v>
      </c>
      <c r="C174" t="s">
        <v>79</v>
      </c>
      <c r="D174">
        <v>2016</v>
      </c>
      <c r="E174">
        <v>20115</v>
      </c>
      <c r="F174">
        <v>26000</v>
      </c>
      <c r="G174">
        <v>60000</v>
      </c>
      <c r="H174" t="s">
        <v>58</v>
      </c>
      <c r="J174" t="s">
        <v>66</v>
      </c>
      <c r="K174" t="s">
        <v>116</v>
      </c>
      <c r="L174" t="s">
        <v>45</v>
      </c>
      <c r="M174">
        <v>1</v>
      </c>
    </row>
    <row r="175" spans="1:13" x14ac:dyDescent="0.25">
      <c r="A175">
        <v>1009</v>
      </c>
      <c r="B175" t="s">
        <v>255</v>
      </c>
      <c r="C175" t="s">
        <v>57</v>
      </c>
      <c r="D175">
        <v>2019</v>
      </c>
      <c r="E175">
        <v>29561</v>
      </c>
      <c r="F175">
        <v>31000</v>
      </c>
      <c r="G175">
        <v>80000</v>
      </c>
      <c r="I175" t="s">
        <v>59</v>
      </c>
      <c r="J175" t="s">
        <v>43</v>
      </c>
      <c r="K175" t="s">
        <v>48</v>
      </c>
      <c r="L175" t="s">
        <v>55</v>
      </c>
      <c r="M175">
        <v>3</v>
      </c>
    </row>
    <row r="176" spans="1:13" x14ac:dyDescent="0.25">
      <c r="A176">
        <v>1281</v>
      </c>
      <c r="B176" t="s">
        <v>286</v>
      </c>
      <c r="C176" t="s">
        <v>57</v>
      </c>
      <c r="D176">
        <v>2015</v>
      </c>
      <c r="E176">
        <v>3608</v>
      </c>
      <c r="F176">
        <v>7000</v>
      </c>
      <c r="G176">
        <v>25000</v>
      </c>
      <c r="K176" t="s">
        <v>37</v>
      </c>
      <c r="L176" t="s">
        <v>49</v>
      </c>
      <c r="M176">
        <v>2</v>
      </c>
    </row>
    <row r="177" spans="1:13" x14ac:dyDescent="0.25">
      <c r="A177">
        <v>1223</v>
      </c>
      <c r="B177" t="s">
        <v>287</v>
      </c>
      <c r="C177" t="s">
        <v>79</v>
      </c>
      <c r="D177">
        <v>2022</v>
      </c>
      <c r="E177">
        <v>2385</v>
      </c>
      <c r="F177" t="s">
        <v>147</v>
      </c>
      <c r="G177">
        <v>120000</v>
      </c>
      <c r="H177" t="s">
        <v>53</v>
      </c>
      <c r="I177" t="s">
        <v>72</v>
      </c>
      <c r="J177" t="s">
        <v>36</v>
      </c>
      <c r="K177" t="s">
        <v>116</v>
      </c>
      <c r="L177" t="s">
        <v>45</v>
      </c>
      <c r="M177">
        <v>2</v>
      </c>
    </row>
    <row r="178" spans="1:13" x14ac:dyDescent="0.25">
      <c r="A178">
        <v>1438</v>
      </c>
      <c r="B178" t="s">
        <v>288</v>
      </c>
      <c r="C178" t="s">
        <v>75</v>
      </c>
      <c r="D178">
        <v>2021</v>
      </c>
      <c r="E178" t="s">
        <v>289</v>
      </c>
      <c r="F178" t="s">
        <v>81</v>
      </c>
      <c r="G178" t="s">
        <v>33</v>
      </c>
      <c r="H178" t="s">
        <v>53</v>
      </c>
      <c r="I178" t="s">
        <v>35</v>
      </c>
      <c r="K178" t="s">
        <v>44</v>
      </c>
      <c r="M178">
        <v>2</v>
      </c>
    </row>
    <row r="179" spans="1:13" x14ac:dyDescent="0.25">
      <c r="A179">
        <v>1526</v>
      </c>
      <c r="B179" t="s">
        <v>290</v>
      </c>
      <c r="C179" t="s">
        <v>57</v>
      </c>
      <c r="D179">
        <v>2019</v>
      </c>
      <c r="E179">
        <v>12309</v>
      </c>
      <c r="F179">
        <v>18000</v>
      </c>
      <c r="G179" t="s">
        <v>130</v>
      </c>
      <c r="H179" t="s">
        <v>34</v>
      </c>
      <c r="I179" t="s">
        <v>35</v>
      </c>
      <c r="J179" t="s">
        <v>96</v>
      </c>
      <c r="K179" t="s">
        <v>100</v>
      </c>
      <c r="L179" t="s">
        <v>90</v>
      </c>
      <c r="M179">
        <v>1</v>
      </c>
    </row>
    <row r="180" spans="1:13" x14ac:dyDescent="0.25">
      <c r="A180">
        <v>1145</v>
      </c>
      <c r="B180" t="s">
        <v>291</v>
      </c>
      <c r="C180" t="s">
        <v>164</v>
      </c>
      <c r="D180">
        <v>2019</v>
      </c>
      <c r="E180">
        <v>10783</v>
      </c>
      <c r="F180">
        <v>15000</v>
      </c>
      <c r="G180">
        <v>120000</v>
      </c>
      <c r="I180" t="s">
        <v>35</v>
      </c>
      <c r="J180" t="s">
        <v>36</v>
      </c>
      <c r="K180" t="s">
        <v>48</v>
      </c>
      <c r="M180">
        <v>2</v>
      </c>
    </row>
    <row r="181" spans="1:13" x14ac:dyDescent="0.25">
      <c r="A181">
        <v>1095</v>
      </c>
      <c r="B181" t="s">
        <v>292</v>
      </c>
      <c r="C181" t="s">
        <v>79</v>
      </c>
      <c r="D181">
        <v>2021</v>
      </c>
      <c r="E181">
        <v>25233</v>
      </c>
      <c r="F181">
        <v>31000</v>
      </c>
      <c r="G181">
        <v>40000</v>
      </c>
      <c r="H181" t="s">
        <v>63</v>
      </c>
      <c r="I181" t="s">
        <v>35</v>
      </c>
      <c r="K181" t="s">
        <v>48</v>
      </c>
      <c r="L181" t="s">
        <v>38</v>
      </c>
      <c r="M181">
        <v>3</v>
      </c>
    </row>
    <row r="182" spans="1:13" x14ac:dyDescent="0.25">
      <c r="A182">
        <v>1560</v>
      </c>
      <c r="B182" t="s">
        <v>293</v>
      </c>
      <c r="C182" t="s">
        <v>47</v>
      </c>
      <c r="D182">
        <v>2021</v>
      </c>
      <c r="E182">
        <v>14677</v>
      </c>
      <c r="F182">
        <v>18000</v>
      </c>
      <c r="G182">
        <v>40000</v>
      </c>
      <c r="H182" t="s">
        <v>63</v>
      </c>
      <c r="I182" t="s">
        <v>35</v>
      </c>
      <c r="J182" t="s">
        <v>36</v>
      </c>
      <c r="K182" t="s">
        <v>37</v>
      </c>
      <c r="L182" t="s">
        <v>55</v>
      </c>
      <c r="M182">
        <v>0</v>
      </c>
    </row>
    <row r="183" spans="1:13" x14ac:dyDescent="0.25">
      <c r="A183">
        <v>1207</v>
      </c>
      <c r="B183" t="s">
        <v>294</v>
      </c>
      <c r="C183" t="s">
        <v>32</v>
      </c>
      <c r="D183">
        <v>2016</v>
      </c>
      <c r="E183">
        <v>29995</v>
      </c>
      <c r="F183">
        <v>31000</v>
      </c>
      <c r="G183">
        <v>60000</v>
      </c>
      <c r="H183" t="s">
        <v>69</v>
      </c>
      <c r="I183" t="s">
        <v>42</v>
      </c>
      <c r="J183" t="s">
        <v>96</v>
      </c>
      <c r="K183" t="s">
        <v>37</v>
      </c>
      <c r="L183" t="s">
        <v>109</v>
      </c>
      <c r="M183">
        <v>2</v>
      </c>
    </row>
    <row r="184" spans="1:13" x14ac:dyDescent="0.25">
      <c r="A184">
        <v>1239</v>
      </c>
      <c r="B184" t="s">
        <v>295</v>
      </c>
      <c r="C184" t="s">
        <v>75</v>
      </c>
      <c r="D184">
        <v>2019</v>
      </c>
      <c r="E184">
        <v>7754</v>
      </c>
      <c r="F184" t="s">
        <v>204</v>
      </c>
      <c r="G184" t="s">
        <v>76</v>
      </c>
      <c r="H184" t="s">
        <v>53</v>
      </c>
      <c r="I184" t="s">
        <v>59</v>
      </c>
      <c r="J184" t="s">
        <v>36</v>
      </c>
      <c r="K184" t="s">
        <v>100</v>
      </c>
      <c r="L184" t="s">
        <v>38</v>
      </c>
    </row>
    <row r="185" spans="1:13" x14ac:dyDescent="0.25">
      <c r="A185">
        <v>1432</v>
      </c>
      <c r="B185" t="s">
        <v>296</v>
      </c>
      <c r="C185" t="s">
        <v>138</v>
      </c>
      <c r="D185">
        <v>2014</v>
      </c>
      <c r="E185">
        <v>3186</v>
      </c>
      <c r="F185">
        <v>7000</v>
      </c>
      <c r="G185" t="s">
        <v>108</v>
      </c>
      <c r="H185" t="s">
        <v>84</v>
      </c>
      <c r="I185" t="s">
        <v>35</v>
      </c>
      <c r="J185" t="s">
        <v>36</v>
      </c>
      <c r="K185" t="s">
        <v>44</v>
      </c>
      <c r="L185" t="s">
        <v>109</v>
      </c>
      <c r="M185">
        <v>2</v>
      </c>
    </row>
    <row r="186" spans="1:13" x14ac:dyDescent="0.25">
      <c r="A186">
        <v>1070</v>
      </c>
      <c r="B186" t="s">
        <v>297</v>
      </c>
      <c r="C186" t="s">
        <v>164</v>
      </c>
      <c r="D186">
        <v>2020</v>
      </c>
      <c r="E186">
        <v>5453</v>
      </c>
      <c r="F186" t="s">
        <v>204</v>
      </c>
      <c r="G186">
        <v>120000</v>
      </c>
      <c r="I186" t="s">
        <v>72</v>
      </c>
      <c r="J186" t="s">
        <v>66</v>
      </c>
      <c r="K186" t="s">
        <v>100</v>
      </c>
      <c r="L186" t="s">
        <v>98</v>
      </c>
    </row>
    <row r="187" spans="1:13" x14ac:dyDescent="0.25">
      <c r="A187">
        <v>1393</v>
      </c>
      <c r="B187" t="s">
        <v>298</v>
      </c>
      <c r="C187" t="s">
        <v>138</v>
      </c>
      <c r="D187">
        <v>2017</v>
      </c>
      <c r="E187">
        <v>6854</v>
      </c>
      <c r="F187">
        <v>9000</v>
      </c>
      <c r="G187">
        <v>15000</v>
      </c>
      <c r="H187" t="s">
        <v>53</v>
      </c>
      <c r="I187" t="s">
        <v>72</v>
      </c>
      <c r="J187" t="s">
        <v>36</v>
      </c>
      <c r="K187" t="s">
        <v>77</v>
      </c>
    </row>
    <row r="188" spans="1:13" x14ac:dyDescent="0.25">
      <c r="A188">
        <v>1193</v>
      </c>
      <c r="B188" t="s">
        <v>299</v>
      </c>
      <c r="C188" t="s">
        <v>51</v>
      </c>
      <c r="D188">
        <v>2014</v>
      </c>
      <c r="E188">
        <v>12759</v>
      </c>
      <c r="F188">
        <v>18000</v>
      </c>
      <c r="G188" t="s">
        <v>33</v>
      </c>
      <c r="H188" t="s">
        <v>53</v>
      </c>
      <c r="I188" t="s">
        <v>59</v>
      </c>
      <c r="J188" t="s">
        <v>43</v>
      </c>
      <c r="K188" t="s">
        <v>37</v>
      </c>
      <c r="L188" t="s">
        <v>38</v>
      </c>
      <c r="M188">
        <v>3</v>
      </c>
    </row>
    <row r="189" spans="1:13" x14ac:dyDescent="0.25">
      <c r="A189">
        <v>1396</v>
      </c>
      <c r="B189" t="s">
        <v>300</v>
      </c>
      <c r="C189" t="s">
        <v>75</v>
      </c>
      <c r="D189">
        <v>2022</v>
      </c>
      <c r="E189">
        <v>3408</v>
      </c>
      <c r="F189">
        <v>7000</v>
      </c>
      <c r="G189">
        <v>40000</v>
      </c>
      <c r="H189" t="s">
        <v>58</v>
      </c>
      <c r="I189" t="s">
        <v>59</v>
      </c>
      <c r="J189" t="s">
        <v>36</v>
      </c>
      <c r="K189" t="s">
        <v>73</v>
      </c>
      <c r="L189" t="s">
        <v>49</v>
      </c>
      <c r="M189">
        <v>0</v>
      </c>
    </row>
    <row r="190" spans="1:13" x14ac:dyDescent="0.25">
      <c r="A190">
        <v>1293</v>
      </c>
      <c r="B190" t="s">
        <v>301</v>
      </c>
      <c r="C190" t="s">
        <v>65</v>
      </c>
      <c r="D190">
        <v>2017</v>
      </c>
      <c r="E190">
        <v>2740</v>
      </c>
      <c r="F190">
        <v>7000</v>
      </c>
      <c r="G190">
        <v>15000</v>
      </c>
      <c r="H190" t="s">
        <v>34</v>
      </c>
      <c r="I190" t="s">
        <v>35</v>
      </c>
      <c r="L190" t="s">
        <v>90</v>
      </c>
      <c r="M190">
        <v>2</v>
      </c>
    </row>
    <row r="191" spans="1:13" x14ac:dyDescent="0.25">
      <c r="A191">
        <v>1549</v>
      </c>
      <c r="B191" t="s">
        <v>302</v>
      </c>
      <c r="C191" t="s">
        <v>75</v>
      </c>
      <c r="D191">
        <v>2018</v>
      </c>
      <c r="E191">
        <v>6336</v>
      </c>
      <c r="F191">
        <v>9000</v>
      </c>
      <c r="G191">
        <v>80000</v>
      </c>
      <c r="H191" t="s">
        <v>84</v>
      </c>
      <c r="I191" t="s">
        <v>72</v>
      </c>
      <c r="J191" t="s">
        <v>43</v>
      </c>
      <c r="K191" t="s">
        <v>77</v>
      </c>
      <c r="L191" t="s">
        <v>126</v>
      </c>
      <c r="M191">
        <v>1</v>
      </c>
    </row>
    <row r="192" spans="1:13" x14ac:dyDescent="0.25">
      <c r="A192">
        <v>1316</v>
      </c>
      <c r="B192" t="s">
        <v>303</v>
      </c>
      <c r="C192" t="s">
        <v>75</v>
      </c>
      <c r="D192">
        <v>2020</v>
      </c>
      <c r="E192">
        <v>2985</v>
      </c>
      <c r="F192">
        <v>9000</v>
      </c>
      <c r="G192" t="s">
        <v>92</v>
      </c>
      <c r="H192" t="s">
        <v>41</v>
      </c>
      <c r="I192" t="s">
        <v>42</v>
      </c>
      <c r="J192" t="s">
        <v>36</v>
      </c>
      <c r="K192" t="s">
        <v>100</v>
      </c>
      <c r="L192" t="s">
        <v>55</v>
      </c>
      <c r="M192">
        <v>2</v>
      </c>
    </row>
    <row r="193" spans="1:13" x14ac:dyDescent="0.25">
      <c r="A193">
        <v>1030</v>
      </c>
      <c r="B193" t="s">
        <v>304</v>
      </c>
      <c r="C193" t="s">
        <v>65</v>
      </c>
      <c r="D193">
        <v>2016</v>
      </c>
      <c r="E193">
        <v>18799</v>
      </c>
      <c r="F193">
        <v>22000</v>
      </c>
      <c r="G193">
        <v>25000</v>
      </c>
      <c r="H193" t="s">
        <v>69</v>
      </c>
      <c r="J193" t="s">
        <v>36</v>
      </c>
      <c r="K193" t="s">
        <v>116</v>
      </c>
      <c r="L193" t="s">
        <v>55</v>
      </c>
    </row>
    <row r="194" spans="1:13" x14ac:dyDescent="0.25">
      <c r="A194">
        <v>1161</v>
      </c>
      <c r="B194" t="s">
        <v>305</v>
      </c>
      <c r="C194" t="s">
        <v>79</v>
      </c>
      <c r="D194">
        <v>2014</v>
      </c>
      <c r="E194">
        <v>28633</v>
      </c>
      <c r="F194" t="s">
        <v>87</v>
      </c>
      <c r="G194">
        <v>80000</v>
      </c>
      <c r="H194" t="s">
        <v>84</v>
      </c>
      <c r="I194" t="s">
        <v>42</v>
      </c>
      <c r="K194" t="s">
        <v>73</v>
      </c>
      <c r="L194" t="s">
        <v>126</v>
      </c>
      <c r="M194">
        <v>0</v>
      </c>
    </row>
    <row r="195" spans="1:13" x14ac:dyDescent="0.25">
      <c r="A195">
        <v>1183</v>
      </c>
      <c r="B195" t="s">
        <v>195</v>
      </c>
      <c r="C195" t="s">
        <v>119</v>
      </c>
      <c r="D195">
        <v>2014</v>
      </c>
      <c r="E195">
        <v>26863</v>
      </c>
      <c r="F195">
        <v>31000</v>
      </c>
      <c r="G195">
        <v>40000</v>
      </c>
      <c r="H195" t="s">
        <v>34</v>
      </c>
      <c r="I195" t="s">
        <v>42</v>
      </c>
      <c r="J195" t="s">
        <v>96</v>
      </c>
      <c r="K195" t="s">
        <v>77</v>
      </c>
      <c r="L195" t="s">
        <v>98</v>
      </c>
      <c r="M195">
        <v>2</v>
      </c>
    </row>
    <row r="196" spans="1:13" x14ac:dyDescent="0.25">
      <c r="A196">
        <v>1183</v>
      </c>
      <c r="B196" t="s">
        <v>306</v>
      </c>
      <c r="C196" t="s">
        <v>65</v>
      </c>
      <c r="D196">
        <v>2015</v>
      </c>
      <c r="E196">
        <v>16888</v>
      </c>
      <c r="F196">
        <v>22000</v>
      </c>
      <c r="G196" t="s">
        <v>76</v>
      </c>
      <c r="H196" t="s">
        <v>34</v>
      </c>
      <c r="I196" t="s">
        <v>35</v>
      </c>
      <c r="J196" t="s">
        <v>43</v>
      </c>
      <c r="K196" t="s">
        <v>54</v>
      </c>
      <c r="L196" t="s">
        <v>45</v>
      </c>
      <c r="M196">
        <v>2</v>
      </c>
    </row>
    <row r="197" spans="1:13" x14ac:dyDescent="0.25">
      <c r="A197">
        <v>1298</v>
      </c>
      <c r="B197" t="s">
        <v>307</v>
      </c>
      <c r="C197" t="s">
        <v>75</v>
      </c>
      <c r="D197">
        <v>2022</v>
      </c>
      <c r="E197">
        <v>26978</v>
      </c>
      <c r="F197">
        <v>31000</v>
      </c>
      <c r="G197">
        <v>15000</v>
      </c>
      <c r="I197" t="s">
        <v>72</v>
      </c>
      <c r="K197" t="s">
        <v>116</v>
      </c>
      <c r="L197" t="s">
        <v>38</v>
      </c>
    </row>
    <row r="198" spans="1:13" x14ac:dyDescent="0.25">
      <c r="A198">
        <v>1554</v>
      </c>
      <c r="B198" t="s">
        <v>308</v>
      </c>
      <c r="C198" t="s">
        <v>119</v>
      </c>
      <c r="D198">
        <v>2016</v>
      </c>
      <c r="E198">
        <v>5805</v>
      </c>
      <c r="F198">
        <v>7000</v>
      </c>
      <c r="G198">
        <v>60000</v>
      </c>
      <c r="H198" t="s">
        <v>63</v>
      </c>
      <c r="I198" t="s">
        <v>35</v>
      </c>
      <c r="J198" t="s">
        <v>43</v>
      </c>
      <c r="K198" t="s">
        <v>54</v>
      </c>
      <c r="L198" t="s">
        <v>49</v>
      </c>
      <c r="M198">
        <v>1</v>
      </c>
    </row>
    <row r="199" spans="1:13" x14ac:dyDescent="0.25">
      <c r="A199">
        <v>1095</v>
      </c>
      <c r="B199" t="s">
        <v>309</v>
      </c>
      <c r="C199" t="s">
        <v>119</v>
      </c>
      <c r="D199">
        <v>2020</v>
      </c>
      <c r="E199" t="s">
        <v>310</v>
      </c>
      <c r="F199">
        <v>31000</v>
      </c>
      <c r="G199">
        <v>15000</v>
      </c>
      <c r="H199" t="s">
        <v>34</v>
      </c>
      <c r="I199" t="s">
        <v>72</v>
      </c>
      <c r="J199" t="s">
        <v>43</v>
      </c>
      <c r="K199" t="s">
        <v>37</v>
      </c>
      <c r="L199" t="s">
        <v>49</v>
      </c>
    </row>
    <row r="200" spans="1:13" x14ac:dyDescent="0.25">
      <c r="A200">
        <v>1063</v>
      </c>
      <c r="B200" t="s">
        <v>311</v>
      </c>
      <c r="C200" t="s">
        <v>164</v>
      </c>
      <c r="D200" t="s">
        <v>52</v>
      </c>
      <c r="E200">
        <v>20152</v>
      </c>
      <c r="F200">
        <v>26000</v>
      </c>
      <c r="G200" t="s">
        <v>76</v>
      </c>
      <c r="H200" t="s">
        <v>69</v>
      </c>
      <c r="I200" t="s">
        <v>72</v>
      </c>
      <c r="J200" t="s">
        <v>43</v>
      </c>
      <c r="K200" t="s">
        <v>44</v>
      </c>
      <c r="L200" t="s">
        <v>109</v>
      </c>
      <c r="M200">
        <v>3</v>
      </c>
    </row>
    <row r="201" spans="1:13" x14ac:dyDescent="0.25">
      <c r="A201">
        <v>1111</v>
      </c>
      <c r="B201" t="s">
        <v>312</v>
      </c>
      <c r="C201" t="s">
        <v>65</v>
      </c>
      <c r="D201">
        <v>2017</v>
      </c>
      <c r="E201" t="s">
        <v>313</v>
      </c>
      <c r="F201">
        <v>9000</v>
      </c>
      <c r="G201">
        <v>25000</v>
      </c>
      <c r="H201" t="s">
        <v>34</v>
      </c>
      <c r="I201" t="s">
        <v>35</v>
      </c>
      <c r="K201" t="s">
        <v>44</v>
      </c>
      <c r="L201" t="s">
        <v>38</v>
      </c>
      <c r="M201">
        <v>3</v>
      </c>
    </row>
    <row r="202" spans="1:13" x14ac:dyDescent="0.25">
      <c r="A202">
        <v>1311</v>
      </c>
      <c r="B202" t="s">
        <v>314</v>
      </c>
      <c r="C202" t="s">
        <v>51</v>
      </c>
      <c r="D202">
        <v>2021</v>
      </c>
      <c r="E202">
        <v>16260</v>
      </c>
      <c r="F202">
        <v>18000</v>
      </c>
      <c r="G202" t="s">
        <v>76</v>
      </c>
      <c r="H202" t="s">
        <v>63</v>
      </c>
      <c r="I202" t="s">
        <v>42</v>
      </c>
      <c r="J202" t="s">
        <v>36</v>
      </c>
      <c r="K202" t="s">
        <v>77</v>
      </c>
      <c r="L202" t="s">
        <v>109</v>
      </c>
      <c r="M202">
        <v>3</v>
      </c>
    </row>
    <row r="203" spans="1:13" x14ac:dyDescent="0.25">
      <c r="A203">
        <v>1414</v>
      </c>
      <c r="B203" t="s">
        <v>315</v>
      </c>
      <c r="C203" t="s">
        <v>68</v>
      </c>
      <c r="D203" t="s">
        <v>52</v>
      </c>
      <c r="E203">
        <v>15576</v>
      </c>
      <c r="F203">
        <v>18000</v>
      </c>
      <c r="G203">
        <v>40000</v>
      </c>
      <c r="H203" t="s">
        <v>84</v>
      </c>
      <c r="I203" t="s">
        <v>59</v>
      </c>
      <c r="J203" t="s">
        <v>36</v>
      </c>
      <c r="K203" t="s">
        <v>100</v>
      </c>
      <c r="L203" t="s">
        <v>49</v>
      </c>
      <c r="M203">
        <v>0</v>
      </c>
    </row>
    <row r="204" spans="1:13" x14ac:dyDescent="0.25">
      <c r="A204">
        <v>1086</v>
      </c>
      <c r="B204" t="s">
        <v>316</v>
      </c>
      <c r="C204" t="s">
        <v>68</v>
      </c>
      <c r="D204">
        <v>2017</v>
      </c>
      <c r="E204">
        <v>7719</v>
      </c>
      <c r="F204">
        <v>12000</v>
      </c>
      <c r="G204">
        <v>25000</v>
      </c>
      <c r="H204" t="s">
        <v>41</v>
      </c>
      <c r="I204" t="s">
        <v>35</v>
      </c>
      <c r="J204" t="s">
        <v>66</v>
      </c>
      <c r="K204" t="s">
        <v>116</v>
      </c>
      <c r="L204" t="s">
        <v>90</v>
      </c>
      <c r="M204">
        <v>0</v>
      </c>
    </row>
    <row r="205" spans="1:13" x14ac:dyDescent="0.25">
      <c r="A205">
        <v>1587</v>
      </c>
      <c r="B205" t="s">
        <v>317</v>
      </c>
      <c r="C205" t="s">
        <v>61</v>
      </c>
      <c r="D205">
        <v>2015</v>
      </c>
      <c r="E205">
        <v>5586</v>
      </c>
      <c r="F205">
        <v>7000</v>
      </c>
      <c r="G205">
        <v>60000</v>
      </c>
      <c r="H205" t="s">
        <v>34</v>
      </c>
      <c r="I205" t="s">
        <v>59</v>
      </c>
      <c r="J205" t="s">
        <v>66</v>
      </c>
      <c r="K205" t="s">
        <v>44</v>
      </c>
      <c r="L205" t="s">
        <v>38</v>
      </c>
      <c r="M205">
        <v>1</v>
      </c>
    </row>
    <row r="206" spans="1:13" x14ac:dyDescent="0.25">
      <c r="A206">
        <v>1302</v>
      </c>
      <c r="B206" t="s">
        <v>318</v>
      </c>
      <c r="C206" t="s">
        <v>65</v>
      </c>
      <c r="D206">
        <v>2018</v>
      </c>
      <c r="E206">
        <v>29717</v>
      </c>
      <c r="F206">
        <v>31000</v>
      </c>
      <c r="G206">
        <v>25000</v>
      </c>
      <c r="H206" t="s">
        <v>84</v>
      </c>
      <c r="I206" t="s">
        <v>72</v>
      </c>
      <c r="J206" t="s">
        <v>43</v>
      </c>
      <c r="K206" t="s">
        <v>100</v>
      </c>
      <c r="L206" t="s">
        <v>98</v>
      </c>
      <c r="M206">
        <v>1</v>
      </c>
    </row>
    <row r="207" spans="1:13" x14ac:dyDescent="0.25">
      <c r="A207">
        <v>1491</v>
      </c>
      <c r="B207" t="s">
        <v>255</v>
      </c>
      <c r="C207" t="s">
        <v>119</v>
      </c>
      <c r="D207" t="s">
        <v>52</v>
      </c>
      <c r="E207">
        <v>157</v>
      </c>
      <c r="F207">
        <v>7000</v>
      </c>
      <c r="G207">
        <v>60000</v>
      </c>
      <c r="H207" t="s">
        <v>63</v>
      </c>
      <c r="I207" t="s">
        <v>59</v>
      </c>
      <c r="J207" t="s">
        <v>96</v>
      </c>
      <c r="K207" t="s">
        <v>100</v>
      </c>
      <c r="L207" t="s">
        <v>126</v>
      </c>
      <c r="M207">
        <v>2</v>
      </c>
    </row>
    <row r="208" spans="1:13" x14ac:dyDescent="0.25">
      <c r="A208">
        <v>1366</v>
      </c>
      <c r="B208" t="s">
        <v>260</v>
      </c>
      <c r="C208" t="s">
        <v>119</v>
      </c>
      <c r="D208">
        <v>2014</v>
      </c>
      <c r="E208">
        <v>13136</v>
      </c>
      <c r="F208">
        <v>18000</v>
      </c>
      <c r="G208">
        <v>15000</v>
      </c>
      <c r="H208" t="s">
        <v>84</v>
      </c>
      <c r="I208" t="s">
        <v>42</v>
      </c>
      <c r="J208" t="s">
        <v>66</v>
      </c>
      <c r="K208" t="s">
        <v>54</v>
      </c>
      <c r="M208">
        <v>0</v>
      </c>
    </row>
    <row r="209" spans="1:13" x14ac:dyDescent="0.25">
      <c r="A209">
        <v>1242</v>
      </c>
      <c r="B209" t="s">
        <v>319</v>
      </c>
      <c r="C209" t="s">
        <v>119</v>
      </c>
      <c r="E209">
        <v>23577</v>
      </c>
      <c r="F209">
        <v>26000</v>
      </c>
      <c r="G209">
        <v>40000</v>
      </c>
      <c r="H209" t="s">
        <v>41</v>
      </c>
      <c r="I209" t="s">
        <v>72</v>
      </c>
      <c r="K209" t="s">
        <v>100</v>
      </c>
      <c r="L209" t="s">
        <v>38</v>
      </c>
      <c r="M209">
        <v>3</v>
      </c>
    </row>
    <row r="210" spans="1:13" x14ac:dyDescent="0.25">
      <c r="A210">
        <v>1238</v>
      </c>
      <c r="B210" t="s">
        <v>192</v>
      </c>
      <c r="C210" t="s">
        <v>51</v>
      </c>
      <c r="D210">
        <v>2016</v>
      </c>
      <c r="E210">
        <v>29261</v>
      </c>
      <c r="F210" t="s">
        <v>87</v>
      </c>
      <c r="G210">
        <v>15000</v>
      </c>
      <c r="H210" t="s">
        <v>63</v>
      </c>
      <c r="J210" t="s">
        <v>66</v>
      </c>
      <c r="K210" t="s">
        <v>100</v>
      </c>
      <c r="L210" t="s">
        <v>109</v>
      </c>
      <c r="M210">
        <v>1</v>
      </c>
    </row>
    <row r="211" spans="1:13" x14ac:dyDescent="0.25">
      <c r="A211">
        <v>1113</v>
      </c>
      <c r="B211" t="s">
        <v>320</v>
      </c>
      <c r="C211" t="s">
        <v>61</v>
      </c>
      <c r="D211">
        <v>2014</v>
      </c>
      <c r="E211">
        <v>1195</v>
      </c>
      <c r="F211">
        <v>7000</v>
      </c>
      <c r="G211">
        <v>25000</v>
      </c>
      <c r="H211" t="s">
        <v>63</v>
      </c>
      <c r="I211" t="s">
        <v>59</v>
      </c>
      <c r="K211" t="s">
        <v>37</v>
      </c>
      <c r="L211" t="s">
        <v>109</v>
      </c>
      <c r="M211">
        <v>2</v>
      </c>
    </row>
    <row r="212" spans="1:13" x14ac:dyDescent="0.25">
      <c r="A212">
        <v>1324</v>
      </c>
      <c r="B212" t="s">
        <v>321</v>
      </c>
      <c r="C212" t="s">
        <v>61</v>
      </c>
      <c r="D212">
        <v>2016</v>
      </c>
      <c r="E212" t="s">
        <v>322</v>
      </c>
      <c r="F212">
        <v>12000</v>
      </c>
      <c r="G212">
        <v>120000</v>
      </c>
      <c r="H212" t="s">
        <v>63</v>
      </c>
      <c r="I212" t="s">
        <v>42</v>
      </c>
      <c r="K212" t="s">
        <v>100</v>
      </c>
      <c r="L212" t="s">
        <v>98</v>
      </c>
      <c r="M212">
        <v>2</v>
      </c>
    </row>
    <row r="213" spans="1:13" x14ac:dyDescent="0.25">
      <c r="A213">
        <v>1400</v>
      </c>
      <c r="B213" t="s">
        <v>323</v>
      </c>
      <c r="C213" t="s">
        <v>51</v>
      </c>
      <c r="D213">
        <v>2016</v>
      </c>
      <c r="E213">
        <v>10986</v>
      </c>
      <c r="F213">
        <v>12000</v>
      </c>
      <c r="G213">
        <v>120000</v>
      </c>
      <c r="H213" t="s">
        <v>58</v>
      </c>
      <c r="J213" t="s">
        <v>96</v>
      </c>
      <c r="K213" t="s">
        <v>77</v>
      </c>
      <c r="L213" t="s">
        <v>49</v>
      </c>
      <c r="M213">
        <v>3</v>
      </c>
    </row>
    <row r="214" spans="1:13" x14ac:dyDescent="0.25">
      <c r="A214">
        <v>1171</v>
      </c>
      <c r="B214" t="s">
        <v>324</v>
      </c>
      <c r="C214" t="s">
        <v>164</v>
      </c>
      <c r="D214">
        <v>2019</v>
      </c>
      <c r="E214">
        <v>5159</v>
      </c>
      <c r="F214">
        <v>9000</v>
      </c>
      <c r="G214">
        <v>25000</v>
      </c>
      <c r="H214" t="s">
        <v>63</v>
      </c>
      <c r="I214" t="s">
        <v>59</v>
      </c>
      <c r="J214" t="s">
        <v>36</v>
      </c>
      <c r="K214" t="s">
        <v>54</v>
      </c>
      <c r="L214" t="s">
        <v>38</v>
      </c>
      <c r="M214">
        <v>1</v>
      </c>
    </row>
    <row r="215" spans="1:13" x14ac:dyDescent="0.25">
      <c r="A215">
        <v>1049</v>
      </c>
      <c r="B215" t="s">
        <v>325</v>
      </c>
      <c r="C215" t="s">
        <v>75</v>
      </c>
      <c r="D215">
        <v>2019</v>
      </c>
      <c r="E215">
        <v>11099</v>
      </c>
      <c r="F215">
        <v>18000</v>
      </c>
      <c r="G215">
        <v>15000</v>
      </c>
      <c r="H215" t="s">
        <v>34</v>
      </c>
      <c r="I215" t="s">
        <v>59</v>
      </c>
      <c r="J215" t="s">
        <v>43</v>
      </c>
      <c r="K215" t="s">
        <v>44</v>
      </c>
      <c r="M215">
        <v>3</v>
      </c>
    </row>
    <row r="216" spans="1:13" x14ac:dyDescent="0.25">
      <c r="A216">
        <v>1034</v>
      </c>
      <c r="B216" t="s">
        <v>326</v>
      </c>
      <c r="C216" t="s">
        <v>32</v>
      </c>
      <c r="D216">
        <v>2021</v>
      </c>
      <c r="E216">
        <v>10304</v>
      </c>
      <c r="F216">
        <v>15000</v>
      </c>
      <c r="G216">
        <v>25000</v>
      </c>
      <c r="H216" t="s">
        <v>84</v>
      </c>
      <c r="I216" t="s">
        <v>72</v>
      </c>
      <c r="J216" t="s">
        <v>66</v>
      </c>
      <c r="K216" t="s">
        <v>48</v>
      </c>
      <c r="L216" t="s">
        <v>90</v>
      </c>
      <c r="M216">
        <v>0</v>
      </c>
    </row>
    <row r="217" spans="1:13" x14ac:dyDescent="0.25">
      <c r="A217">
        <v>1168</v>
      </c>
      <c r="B217" t="s">
        <v>327</v>
      </c>
      <c r="C217" t="s">
        <v>75</v>
      </c>
      <c r="D217">
        <v>2019</v>
      </c>
      <c r="E217">
        <v>29747</v>
      </c>
      <c r="F217">
        <v>31000</v>
      </c>
      <c r="G217" t="s">
        <v>108</v>
      </c>
      <c r="H217" t="s">
        <v>63</v>
      </c>
      <c r="I217" t="s">
        <v>42</v>
      </c>
      <c r="J217" t="s">
        <v>66</v>
      </c>
      <c r="K217" t="s">
        <v>48</v>
      </c>
    </row>
    <row r="218" spans="1:13" x14ac:dyDescent="0.25">
      <c r="A218">
        <v>1050</v>
      </c>
      <c r="B218" t="s">
        <v>328</v>
      </c>
      <c r="C218" t="s">
        <v>65</v>
      </c>
      <c r="D218" t="s">
        <v>52</v>
      </c>
      <c r="E218">
        <v>15055</v>
      </c>
      <c r="F218">
        <v>18000</v>
      </c>
      <c r="G218">
        <v>40000</v>
      </c>
      <c r="H218" t="s">
        <v>41</v>
      </c>
      <c r="I218" t="s">
        <v>72</v>
      </c>
      <c r="J218" t="s">
        <v>36</v>
      </c>
      <c r="K218" t="s">
        <v>48</v>
      </c>
      <c r="L218" t="s">
        <v>49</v>
      </c>
      <c r="M218">
        <v>2</v>
      </c>
    </row>
    <row r="219" spans="1:13" x14ac:dyDescent="0.25">
      <c r="A219">
        <v>1298</v>
      </c>
      <c r="B219" t="s">
        <v>329</v>
      </c>
      <c r="C219" t="s">
        <v>133</v>
      </c>
      <c r="D219">
        <v>2017</v>
      </c>
      <c r="E219">
        <v>6305</v>
      </c>
      <c r="F219">
        <v>9000</v>
      </c>
      <c r="G219" t="s">
        <v>76</v>
      </c>
      <c r="H219" t="s">
        <v>34</v>
      </c>
      <c r="I219" t="s">
        <v>59</v>
      </c>
      <c r="J219" t="s">
        <v>43</v>
      </c>
      <c r="K219" t="s">
        <v>54</v>
      </c>
      <c r="L219" t="s">
        <v>49</v>
      </c>
    </row>
    <row r="220" spans="1:13" x14ac:dyDescent="0.25">
      <c r="A220">
        <v>1456</v>
      </c>
      <c r="B220" t="s">
        <v>210</v>
      </c>
      <c r="C220" t="s">
        <v>94</v>
      </c>
      <c r="D220">
        <v>2016</v>
      </c>
      <c r="E220" t="s">
        <v>330</v>
      </c>
      <c r="F220">
        <v>22000</v>
      </c>
      <c r="G220">
        <v>60000</v>
      </c>
      <c r="H220" t="s">
        <v>69</v>
      </c>
      <c r="J220" t="s">
        <v>36</v>
      </c>
      <c r="K220" t="s">
        <v>100</v>
      </c>
      <c r="L220" t="s">
        <v>49</v>
      </c>
      <c r="M220">
        <v>0</v>
      </c>
    </row>
    <row r="221" spans="1:13" x14ac:dyDescent="0.25">
      <c r="A221">
        <v>1062</v>
      </c>
      <c r="B221" t="s">
        <v>331</v>
      </c>
      <c r="C221" t="s">
        <v>79</v>
      </c>
      <c r="D221">
        <v>2022</v>
      </c>
      <c r="E221">
        <v>23137</v>
      </c>
      <c r="F221">
        <v>26000</v>
      </c>
      <c r="G221">
        <v>80000</v>
      </c>
      <c r="J221" t="s">
        <v>66</v>
      </c>
      <c r="K221" t="s">
        <v>116</v>
      </c>
      <c r="L221" t="s">
        <v>45</v>
      </c>
      <c r="M221">
        <v>0</v>
      </c>
    </row>
    <row r="222" spans="1:13" x14ac:dyDescent="0.25">
      <c r="A222">
        <v>1171</v>
      </c>
      <c r="B222" t="s">
        <v>332</v>
      </c>
      <c r="C222" t="s">
        <v>94</v>
      </c>
      <c r="D222">
        <v>2014</v>
      </c>
      <c r="E222">
        <v>7322</v>
      </c>
      <c r="F222">
        <v>12000</v>
      </c>
      <c r="G222" t="s">
        <v>76</v>
      </c>
      <c r="H222" t="s">
        <v>34</v>
      </c>
      <c r="I222" t="s">
        <v>35</v>
      </c>
      <c r="J222" t="s">
        <v>43</v>
      </c>
      <c r="K222" t="s">
        <v>77</v>
      </c>
      <c r="L222" t="s">
        <v>90</v>
      </c>
    </row>
    <row r="223" spans="1:13" x14ac:dyDescent="0.25">
      <c r="A223">
        <v>1406</v>
      </c>
      <c r="B223" t="s">
        <v>333</v>
      </c>
      <c r="C223" t="s">
        <v>65</v>
      </c>
      <c r="D223">
        <v>2019</v>
      </c>
      <c r="E223">
        <v>4821</v>
      </c>
      <c r="F223">
        <v>9000</v>
      </c>
      <c r="G223">
        <v>15000</v>
      </c>
      <c r="H223" t="s">
        <v>41</v>
      </c>
      <c r="L223" t="s">
        <v>98</v>
      </c>
      <c r="M223">
        <v>0</v>
      </c>
    </row>
    <row r="224" spans="1:13" x14ac:dyDescent="0.25">
      <c r="A224">
        <v>1102</v>
      </c>
      <c r="B224" t="s">
        <v>334</v>
      </c>
      <c r="C224" t="s">
        <v>103</v>
      </c>
      <c r="D224">
        <v>2016</v>
      </c>
      <c r="E224">
        <v>6184</v>
      </c>
      <c r="F224">
        <v>12000</v>
      </c>
      <c r="G224" t="s">
        <v>121</v>
      </c>
      <c r="H224" t="s">
        <v>69</v>
      </c>
      <c r="J224" t="s">
        <v>96</v>
      </c>
      <c r="K224" t="s">
        <v>48</v>
      </c>
      <c r="L224" t="s">
        <v>45</v>
      </c>
      <c r="M224">
        <v>3</v>
      </c>
    </row>
    <row r="225" spans="1:13" x14ac:dyDescent="0.25">
      <c r="A225">
        <v>1412</v>
      </c>
      <c r="B225" t="s">
        <v>335</v>
      </c>
      <c r="C225" t="s">
        <v>133</v>
      </c>
      <c r="E225" t="s">
        <v>336</v>
      </c>
      <c r="F225">
        <v>31000</v>
      </c>
      <c r="G225">
        <v>15000</v>
      </c>
      <c r="H225" t="s">
        <v>41</v>
      </c>
      <c r="I225" t="s">
        <v>59</v>
      </c>
      <c r="J225" t="s">
        <v>96</v>
      </c>
      <c r="K225" t="s">
        <v>77</v>
      </c>
      <c r="L225" t="s">
        <v>126</v>
      </c>
      <c r="M225">
        <v>3</v>
      </c>
    </row>
    <row r="226" spans="1:13" x14ac:dyDescent="0.25">
      <c r="A226">
        <v>1287</v>
      </c>
      <c r="B226" t="s">
        <v>337</v>
      </c>
      <c r="C226" t="s">
        <v>65</v>
      </c>
      <c r="D226">
        <v>2019</v>
      </c>
      <c r="E226">
        <v>3518</v>
      </c>
      <c r="F226">
        <v>7000</v>
      </c>
      <c r="G226">
        <v>40000</v>
      </c>
      <c r="H226" t="s">
        <v>53</v>
      </c>
      <c r="I226" t="s">
        <v>42</v>
      </c>
      <c r="J226" t="s">
        <v>96</v>
      </c>
      <c r="K226" t="s">
        <v>116</v>
      </c>
      <c r="L226" t="s">
        <v>109</v>
      </c>
      <c r="M226">
        <v>2</v>
      </c>
    </row>
    <row r="227" spans="1:13" x14ac:dyDescent="0.25">
      <c r="A227">
        <v>1416</v>
      </c>
      <c r="B227" t="s">
        <v>338</v>
      </c>
      <c r="C227" t="s">
        <v>103</v>
      </c>
      <c r="E227">
        <v>4382</v>
      </c>
      <c r="F227">
        <v>9000</v>
      </c>
      <c r="G227">
        <v>25000</v>
      </c>
      <c r="H227" t="s">
        <v>41</v>
      </c>
      <c r="J227" t="s">
        <v>66</v>
      </c>
      <c r="K227" t="s">
        <v>37</v>
      </c>
      <c r="L227" t="s">
        <v>45</v>
      </c>
    </row>
    <row r="228" spans="1:13" x14ac:dyDescent="0.25">
      <c r="A228">
        <v>1059</v>
      </c>
      <c r="B228" t="s">
        <v>339</v>
      </c>
      <c r="C228" t="s">
        <v>94</v>
      </c>
      <c r="D228">
        <v>2016</v>
      </c>
      <c r="E228">
        <v>4421</v>
      </c>
      <c r="F228">
        <v>7000</v>
      </c>
      <c r="G228">
        <v>25000</v>
      </c>
      <c r="H228" t="s">
        <v>53</v>
      </c>
      <c r="I228" t="s">
        <v>72</v>
      </c>
      <c r="J228" t="s">
        <v>96</v>
      </c>
      <c r="K228" t="s">
        <v>116</v>
      </c>
      <c r="M228">
        <v>3</v>
      </c>
    </row>
    <row r="229" spans="1:13" x14ac:dyDescent="0.25">
      <c r="A229">
        <v>1456</v>
      </c>
      <c r="B229" t="s">
        <v>340</v>
      </c>
      <c r="C229" t="s">
        <v>32</v>
      </c>
      <c r="D229" t="s">
        <v>52</v>
      </c>
      <c r="E229" t="s">
        <v>341</v>
      </c>
      <c r="F229">
        <v>7000</v>
      </c>
      <c r="G229">
        <v>25000</v>
      </c>
      <c r="H229" t="s">
        <v>63</v>
      </c>
      <c r="I229" t="s">
        <v>72</v>
      </c>
      <c r="J229" t="s">
        <v>66</v>
      </c>
      <c r="K229" t="s">
        <v>54</v>
      </c>
      <c r="L229" t="s">
        <v>49</v>
      </c>
      <c r="M229">
        <v>2</v>
      </c>
    </row>
    <row r="230" spans="1:13" x14ac:dyDescent="0.25">
      <c r="A230">
        <v>1226</v>
      </c>
      <c r="B230" t="s">
        <v>342</v>
      </c>
      <c r="C230" t="s">
        <v>40</v>
      </c>
      <c r="D230">
        <v>2020</v>
      </c>
      <c r="E230">
        <v>1313</v>
      </c>
      <c r="F230">
        <v>7000</v>
      </c>
      <c r="G230">
        <v>25000</v>
      </c>
      <c r="H230" t="s">
        <v>34</v>
      </c>
      <c r="J230" t="s">
        <v>36</v>
      </c>
      <c r="K230" t="s">
        <v>73</v>
      </c>
      <c r="L230" t="s">
        <v>55</v>
      </c>
      <c r="M230">
        <v>1</v>
      </c>
    </row>
    <row r="231" spans="1:13" x14ac:dyDescent="0.25">
      <c r="A231">
        <v>1281</v>
      </c>
      <c r="B231" t="s">
        <v>295</v>
      </c>
      <c r="C231" t="s">
        <v>57</v>
      </c>
      <c r="E231">
        <v>3933</v>
      </c>
      <c r="F231">
        <v>7000</v>
      </c>
      <c r="G231">
        <v>25000</v>
      </c>
      <c r="H231" t="s">
        <v>69</v>
      </c>
      <c r="I231" t="s">
        <v>42</v>
      </c>
      <c r="J231" t="s">
        <v>43</v>
      </c>
      <c r="K231" t="s">
        <v>54</v>
      </c>
    </row>
    <row r="232" spans="1:13" x14ac:dyDescent="0.25">
      <c r="A232">
        <v>1574</v>
      </c>
      <c r="B232" t="s">
        <v>343</v>
      </c>
      <c r="C232" t="s">
        <v>94</v>
      </c>
      <c r="E232">
        <v>3810</v>
      </c>
      <c r="F232">
        <v>9000</v>
      </c>
      <c r="G232">
        <v>15000</v>
      </c>
      <c r="H232" t="s">
        <v>84</v>
      </c>
      <c r="I232" t="s">
        <v>59</v>
      </c>
      <c r="J232" t="s">
        <v>36</v>
      </c>
      <c r="K232" t="s">
        <v>44</v>
      </c>
      <c r="L232" t="s">
        <v>45</v>
      </c>
      <c r="M232">
        <v>2</v>
      </c>
    </row>
    <row r="233" spans="1:13" x14ac:dyDescent="0.25">
      <c r="A233">
        <v>1246</v>
      </c>
      <c r="B233" t="s">
        <v>344</v>
      </c>
      <c r="C233" t="s">
        <v>65</v>
      </c>
      <c r="D233">
        <v>2018</v>
      </c>
      <c r="E233">
        <v>15772</v>
      </c>
      <c r="F233">
        <v>18000</v>
      </c>
      <c r="G233">
        <v>25000</v>
      </c>
      <c r="H233" t="s">
        <v>34</v>
      </c>
      <c r="I233" t="s">
        <v>72</v>
      </c>
      <c r="J233" t="s">
        <v>66</v>
      </c>
      <c r="K233" t="s">
        <v>73</v>
      </c>
      <c r="L233" t="s">
        <v>55</v>
      </c>
      <c r="M233">
        <v>2</v>
      </c>
    </row>
    <row r="234" spans="1:13" x14ac:dyDescent="0.25">
      <c r="A234">
        <v>1585</v>
      </c>
      <c r="B234" t="s">
        <v>345</v>
      </c>
      <c r="C234" t="s">
        <v>65</v>
      </c>
      <c r="D234">
        <v>2020</v>
      </c>
      <c r="E234">
        <v>24711</v>
      </c>
      <c r="F234">
        <v>26000</v>
      </c>
      <c r="G234">
        <v>60000</v>
      </c>
      <c r="I234" t="s">
        <v>72</v>
      </c>
      <c r="K234" t="s">
        <v>54</v>
      </c>
      <c r="L234" t="s">
        <v>90</v>
      </c>
    </row>
    <row r="235" spans="1:13" x14ac:dyDescent="0.25">
      <c r="A235">
        <v>1572</v>
      </c>
      <c r="B235" t="s">
        <v>346</v>
      </c>
      <c r="C235" t="s">
        <v>57</v>
      </c>
      <c r="D235">
        <v>2018</v>
      </c>
      <c r="E235">
        <v>6952</v>
      </c>
      <c r="F235">
        <v>9000</v>
      </c>
      <c r="G235">
        <v>60000</v>
      </c>
      <c r="H235" t="s">
        <v>63</v>
      </c>
      <c r="I235" t="s">
        <v>35</v>
      </c>
      <c r="J235" t="s">
        <v>66</v>
      </c>
      <c r="K235" t="s">
        <v>44</v>
      </c>
      <c r="L235" t="s">
        <v>38</v>
      </c>
      <c r="M235">
        <v>2</v>
      </c>
    </row>
    <row r="236" spans="1:13" x14ac:dyDescent="0.25">
      <c r="A236">
        <v>1474</v>
      </c>
      <c r="B236" t="s">
        <v>347</v>
      </c>
      <c r="C236" t="s">
        <v>103</v>
      </c>
      <c r="D236">
        <v>2019</v>
      </c>
      <c r="E236">
        <v>16204</v>
      </c>
      <c r="F236">
        <v>22000</v>
      </c>
      <c r="G236">
        <v>40000</v>
      </c>
      <c r="H236" t="s">
        <v>84</v>
      </c>
      <c r="I236" t="s">
        <v>59</v>
      </c>
      <c r="J236" t="s">
        <v>66</v>
      </c>
      <c r="L236" t="s">
        <v>49</v>
      </c>
      <c r="M236">
        <v>3</v>
      </c>
    </row>
    <row r="237" spans="1:13" x14ac:dyDescent="0.25">
      <c r="A237">
        <v>1350</v>
      </c>
      <c r="B237" t="s">
        <v>307</v>
      </c>
      <c r="C237" t="s">
        <v>51</v>
      </c>
      <c r="D237">
        <v>2020</v>
      </c>
      <c r="E237">
        <v>4875</v>
      </c>
      <c r="F237">
        <v>7000</v>
      </c>
      <c r="G237">
        <v>25000</v>
      </c>
      <c r="I237" t="s">
        <v>42</v>
      </c>
      <c r="J237" t="s">
        <v>96</v>
      </c>
      <c r="K237" t="s">
        <v>100</v>
      </c>
      <c r="L237" t="s">
        <v>49</v>
      </c>
      <c r="M237">
        <v>3</v>
      </c>
    </row>
    <row r="238" spans="1:13" x14ac:dyDescent="0.25">
      <c r="A238">
        <v>1004</v>
      </c>
      <c r="B238" t="s">
        <v>348</v>
      </c>
      <c r="C238" t="s">
        <v>61</v>
      </c>
      <c r="D238" t="s">
        <v>52</v>
      </c>
      <c r="E238">
        <v>5803</v>
      </c>
      <c r="F238">
        <v>12000</v>
      </c>
      <c r="G238">
        <v>40000</v>
      </c>
      <c r="H238" t="s">
        <v>58</v>
      </c>
      <c r="I238" t="s">
        <v>59</v>
      </c>
      <c r="J238" t="s">
        <v>36</v>
      </c>
      <c r="K238" t="s">
        <v>100</v>
      </c>
      <c r="L238" t="s">
        <v>98</v>
      </c>
      <c r="M238">
        <v>3</v>
      </c>
    </row>
    <row r="239" spans="1:13" x14ac:dyDescent="0.25">
      <c r="A239">
        <v>1546</v>
      </c>
      <c r="B239" t="s">
        <v>349</v>
      </c>
      <c r="C239" t="s">
        <v>94</v>
      </c>
      <c r="D239">
        <v>2020</v>
      </c>
      <c r="E239" t="s">
        <v>350</v>
      </c>
      <c r="F239">
        <v>31000</v>
      </c>
      <c r="G239" t="s">
        <v>92</v>
      </c>
      <c r="H239" t="s">
        <v>63</v>
      </c>
      <c r="J239" t="s">
        <v>66</v>
      </c>
      <c r="K239" t="s">
        <v>73</v>
      </c>
      <c r="L239" t="s">
        <v>126</v>
      </c>
      <c r="M239">
        <v>1</v>
      </c>
    </row>
    <row r="240" spans="1:13" x14ac:dyDescent="0.25">
      <c r="A240">
        <v>1515</v>
      </c>
      <c r="B240" t="s">
        <v>351</v>
      </c>
      <c r="C240" t="s">
        <v>119</v>
      </c>
      <c r="D240">
        <v>2019</v>
      </c>
      <c r="E240">
        <v>16159</v>
      </c>
      <c r="F240">
        <v>18000</v>
      </c>
      <c r="G240">
        <v>25000</v>
      </c>
      <c r="H240" t="s">
        <v>69</v>
      </c>
      <c r="I240" t="s">
        <v>72</v>
      </c>
      <c r="J240" t="s">
        <v>43</v>
      </c>
      <c r="M240">
        <v>2</v>
      </c>
    </row>
    <row r="241" spans="1:13" x14ac:dyDescent="0.25">
      <c r="A241">
        <v>1192</v>
      </c>
      <c r="B241" t="s">
        <v>255</v>
      </c>
      <c r="C241" t="s">
        <v>103</v>
      </c>
      <c r="D241" t="s">
        <v>52</v>
      </c>
      <c r="E241" t="s">
        <v>352</v>
      </c>
      <c r="F241">
        <v>12000</v>
      </c>
      <c r="G241">
        <v>40000</v>
      </c>
      <c r="H241" t="s">
        <v>41</v>
      </c>
      <c r="I241" t="s">
        <v>42</v>
      </c>
      <c r="J241" t="s">
        <v>66</v>
      </c>
      <c r="K241" t="s">
        <v>100</v>
      </c>
      <c r="L241" t="s">
        <v>38</v>
      </c>
      <c r="M241">
        <v>0</v>
      </c>
    </row>
    <row r="242" spans="1:13" x14ac:dyDescent="0.25">
      <c r="A242">
        <v>1384</v>
      </c>
      <c r="B242" t="s">
        <v>353</v>
      </c>
      <c r="C242" t="s">
        <v>57</v>
      </c>
      <c r="D242">
        <v>2015</v>
      </c>
      <c r="E242">
        <v>15671</v>
      </c>
      <c r="F242">
        <v>22000</v>
      </c>
      <c r="G242">
        <v>120000</v>
      </c>
      <c r="H242" t="s">
        <v>41</v>
      </c>
      <c r="J242" t="s">
        <v>36</v>
      </c>
      <c r="K242" t="s">
        <v>37</v>
      </c>
      <c r="L242" t="s">
        <v>126</v>
      </c>
      <c r="M242">
        <v>0</v>
      </c>
    </row>
    <row r="243" spans="1:13" x14ac:dyDescent="0.25">
      <c r="A243">
        <v>1258</v>
      </c>
      <c r="B243" t="s">
        <v>354</v>
      </c>
      <c r="C243" t="s">
        <v>32</v>
      </c>
      <c r="D243">
        <v>2020</v>
      </c>
      <c r="E243">
        <v>28988</v>
      </c>
      <c r="F243">
        <v>31000</v>
      </c>
      <c r="G243">
        <v>60000</v>
      </c>
      <c r="H243" t="s">
        <v>41</v>
      </c>
      <c r="I243" t="s">
        <v>72</v>
      </c>
      <c r="J243" t="s">
        <v>43</v>
      </c>
      <c r="K243" t="s">
        <v>37</v>
      </c>
      <c r="M243">
        <v>2</v>
      </c>
    </row>
    <row r="244" spans="1:13" x14ac:dyDescent="0.25">
      <c r="A244">
        <v>1289</v>
      </c>
      <c r="B244" t="s">
        <v>304</v>
      </c>
      <c r="C244" t="s">
        <v>164</v>
      </c>
      <c r="D244">
        <v>2020</v>
      </c>
      <c r="E244" t="s">
        <v>355</v>
      </c>
      <c r="F244" t="s">
        <v>81</v>
      </c>
      <c r="G244" t="s">
        <v>121</v>
      </c>
      <c r="H244" t="s">
        <v>53</v>
      </c>
      <c r="I244" t="s">
        <v>72</v>
      </c>
      <c r="K244" t="s">
        <v>77</v>
      </c>
      <c r="L244" t="s">
        <v>109</v>
      </c>
      <c r="M244">
        <v>3</v>
      </c>
    </row>
    <row r="245" spans="1:13" x14ac:dyDescent="0.25">
      <c r="A245">
        <v>1492</v>
      </c>
      <c r="B245" t="s">
        <v>146</v>
      </c>
      <c r="C245" t="s">
        <v>51</v>
      </c>
      <c r="D245">
        <v>2016</v>
      </c>
      <c r="E245">
        <v>1934</v>
      </c>
      <c r="F245" t="s">
        <v>147</v>
      </c>
      <c r="G245">
        <v>80000</v>
      </c>
      <c r="H245" t="s">
        <v>84</v>
      </c>
      <c r="J245" t="s">
        <v>43</v>
      </c>
      <c r="K245" t="s">
        <v>100</v>
      </c>
      <c r="L245" t="s">
        <v>49</v>
      </c>
    </row>
    <row r="246" spans="1:13" x14ac:dyDescent="0.25">
      <c r="A246">
        <v>1303</v>
      </c>
      <c r="B246" t="s">
        <v>159</v>
      </c>
      <c r="C246" t="s">
        <v>75</v>
      </c>
      <c r="D246">
        <v>2015</v>
      </c>
      <c r="E246">
        <v>15107</v>
      </c>
      <c r="F246" t="s">
        <v>129</v>
      </c>
      <c r="G246">
        <v>120000</v>
      </c>
      <c r="H246" t="s">
        <v>41</v>
      </c>
      <c r="I246" t="s">
        <v>72</v>
      </c>
      <c r="J246" t="s">
        <v>96</v>
      </c>
      <c r="K246" t="s">
        <v>44</v>
      </c>
      <c r="L246" t="s">
        <v>98</v>
      </c>
      <c r="M246">
        <v>0</v>
      </c>
    </row>
    <row r="247" spans="1:13" x14ac:dyDescent="0.25">
      <c r="A247">
        <v>1336</v>
      </c>
      <c r="B247" t="s">
        <v>329</v>
      </c>
      <c r="C247" t="s">
        <v>32</v>
      </c>
      <c r="D247">
        <v>2014</v>
      </c>
      <c r="E247">
        <v>566</v>
      </c>
      <c r="F247">
        <v>7000</v>
      </c>
      <c r="G247">
        <v>25000</v>
      </c>
      <c r="H247" t="s">
        <v>84</v>
      </c>
      <c r="I247" t="s">
        <v>72</v>
      </c>
      <c r="J247" t="s">
        <v>96</v>
      </c>
      <c r="K247" t="s">
        <v>100</v>
      </c>
      <c r="L247" t="s">
        <v>49</v>
      </c>
      <c r="M247">
        <v>3</v>
      </c>
    </row>
    <row r="248" spans="1:13" x14ac:dyDescent="0.25">
      <c r="A248">
        <v>1431</v>
      </c>
      <c r="B248" t="s">
        <v>356</v>
      </c>
      <c r="C248" t="s">
        <v>94</v>
      </c>
      <c r="D248">
        <v>2021</v>
      </c>
      <c r="E248">
        <v>11349</v>
      </c>
      <c r="F248">
        <v>18000</v>
      </c>
      <c r="G248" t="s">
        <v>92</v>
      </c>
      <c r="H248" t="s">
        <v>41</v>
      </c>
      <c r="I248" t="s">
        <v>42</v>
      </c>
      <c r="J248" t="s">
        <v>36</v>
      </c>
      <c r="K248" t="s">
        <v>48</v>
      </c>
      <c r="L248" t="s">
        <v>55</v>
      </c>
    </row>
    <row r="249" spans="1:13" x14ac:dyDescent="0.25">
      <c r="A249">
        <v>1133</v>
      </c>
      <c r="B249" t="s">
        <v>357</v>
      </c>
      <c r="C249" t="s">
        <v>138</v>
      </c>
      <c r="D249">
        <v>2016</v>
      </c>
      <c r="E249">
        <v>19992</v>
      </c>
      <c r="F249">
        <v>26000</v>
      </c>
      <c r="G249">
        <v>40000</v>
      </c>
      <c r="I249" t="s">
        <v>35</v>
      </c>
      <c r="J249" t="s">
        <v>36</v>
      </c>
      <c r="K249" t="s">
        <v>54</v>
      </c>
      <c r="L249" t="s">
        <v>109</v>
      </c>
      <c r="M249">
        <v>0</v>
      </c>
    </row>
    <row r="250" spans="1:13" x14ac:dyDescent="0.25">
      <c r="A250">
        <v>1443</v>
      </c>
      <c r="B250" t="s">
        <v>240</v>
      </c>
      <c r="C250" t="s">
        <v>119</v>
      </c>
      <c r="D250" t="s">
        <v>52</v>
      </c>
      <c r="E250">
        <v>16715</v>
      </c>
      <c r="F250">
        <v>22000</v>
      </c>
      <c r="G250">
        <v>80000</v>
      </c>
      <c r="H250" t="s">
        <v>34</v>
      </c>
      <c r="I250" t="s">
        <v>42</v>
      </c>
      <c r="K250" t="s">
        <v>73</v>
      </c>
      <c r="L250" t="s">
        <v>126</v>
      </c>
      <c r="M250">
        <v>1</v>
      </c>
    </row>
    <row r="251" spans="1:13" x14ac:dyDescent="0.25">
      <c r="A251">
        <v>1246</v>
      </c>
      <c r="B251" t="s">
        <v>358</v>
      </c>
      <c r="C251" t="s">
        <v>133</v>
      </c>
      <c r="D251">
        <v>2021</v>
      </c>
      <c r="E251">
        <v>6973</v>
      </c>
      <c r="F251">
        <v>12000</v>
      </c>
      <c r="G251">
        <v>15000</v>
      </c>
      <c r="H251" t="s">
        <v>34</v>
      </c>
      <c r="I251" t="s">
        <v>59</v>
      </c>
      <c r="J251" t="s">
        <v>66</v>
      </c>
      <c r="K251" t="s">
        <v>37</v>
      </c>
      <c r="L251" t="s">
        <v>55</v>
      </c>
      <c r="M251">
        <v>3</v>
      </c>
    </row>
    <row r="252" spans="1:13" x14ac:dyDescent="0.25">
      <c r="A252">
        <v>1509</v>
      </c>
      <c r="B252" t="s">
        <v>359</v>
      </c>
      <c r="C252" t="s">
        <v>138</v>
      </c>
      <c r="D252">
        <v>2015</v>
      </c>
      <c r="E252">
        <v>27411</v>
      </c>
      <c r="F252" t="s">
        <v>87</v>
      </c>
      <c r="G252">
        <v>60000</v>
      </c>
      <c r="H252" t="s">
        <v>41</v>
      </c>
      <c r="K252" t="s">
        <v>73</v>
      </c>
      <c r="L252" t="s">
        <v>49</v>
      </c>
    </row>
    <row r="253" spans="1:13" x14ac:dyDescent="0.25">
      <c r="A253">
        <v>1349</v>
      </c>
      <c r="B253" t="s">
        <v>360</v>
      </c>
      <c r="C253" t="s">
        <v>51</v>
      </c>
      <c r="D253">
        <v>2022</v>
      </c>
      <c r="E253">
        <v>8500</v>
      </c>
      <c r="F253" t="s">
        <v>89</v>
      </c>
      <c r="G253" t="s">
        <v>108</v>
      </c>
      <c r="I253" t="s">
        <v>72</v>
      </c>
      <c r="K253" t="s">
        <v>116</v>
      </c>
      <c r="L253" t="s">
        <v>109</v>
      </c>
      <c r="M253">
        <v>3</v>
      </c>
    </row>
    <row r="254" spans="1:13" x14ac:dyDescent="0.25">
      <c r="A254">
        <v>1298</v>
      </c>
      <c r="B254" t="s">
        <v>277</v>
      </c>
      <c r="C254" t="s">
        <v>32</v>
      </c>
      <c r="D254">
        <v>2015</v>
      </c>
      <c r="E254">
        <v>11204</v>
      </c>
      <c r="F254">
        <v>15000</v>
      </c>
      <c r="G254" t="s">
        <v>76</v>
      </c>
      <c r="H254" t="s">
        <v>58</v>
      </c>
      <c r="I254" t="s">
        <v>59</v>
      </c>
      <c r="J254" t="s">
        <v>66</v>
      </c>
      <c r="K254" t="s">
        <v>48</v>
      </c>
      <c r="L254" t="s">
        <v>49</v>
      </c>
      <c r="M254">
        <v>2</v>
      </c>
    </row>
    <row r="255" spans="1:13" x14ac:dyDescent="0.25">
      <c r="A255">
        <v>1195</v>
      </c>
      <c r="B255" t="s">
        <v>361</v>
      </c>
      <c r="C255" t="s">
        <v>47</v>
      </c>
      <c r="D255">
        <v>2017</v>
      </c>
      <c r="E255">
        <v>6234</v>
      </c>
      <c r="F255" t="s">
        <v>81</v>
      </c>
      <c r="G255">
        <v>60000</v>
      </c>
      <c r="H255" t="s">
        <v>84</v>
      </c>
      <c r="I255" t="s">
        <v>59</v>
      </c>
      <c r="J255" t="s">
        <v>43</v>
      </c>
      <c r="L255" t="s">
        <v>90</v>
      </c>
      <c r="M255">
        <v>3</v>
      </c>
    </row>
    <row r="256" spans="1:13" x14ac:dyDescent="0.25">
      <c r="A256">
        <v>1494</v>
      </c>
      <c r="B256" t="s">
        <v>362</v>
      </c>
      <c r="C256" t="s">
        <v>40</v>
      </c>
      <c r="D256">
        <v>2022</v>
      </c>
      <c r="E256">
        <v>2455</v>
      </c>
      <c r="F256">
        <v>7000</v>
      </c>
      <c r="G256">
        <v>80000</v>
      </c>
      <c r="H256" t="s">
        <v>58</v>
      </c>
      <c r="I256" t="s">
        <v>42</v>
      </c>
      <c r="J256" t="s">
        <v>36</v>
      </c>
      <c r="K256" t="s">
        <v>48</v>
      </c>
      <c r="L256" t="s">
        <v>109</v>
      </c>
    </row>
    <row r="257" spans="1:13" x14ac:dyDescent="0.25">
      <c r="A257">
        <v>1301</v>
      </c>
      <c r="B257" t="s">
        <v>279</v>
      </c>
      <c r="C257" t="s">
        <v>94</v>
      </c>
      <c r="D257">
        <v>2020</v>
      </c>
      <c r="E257">
        <v>10741</v>
      </c>
      <c r="F257" t="s">
        <v>89</v>
      </c>
      <c r="G257">
        <v>40000</v>
      </c>
      <c r="H257" t="s">
        <v>69</v>
      </c>
      <c r="J257" t="s">
        <v>96</v>
      </c>
      <c r="L257" t="s">
        <v>38</v>
      </c>
      <c r="M257">
        <v>1</v>
      </c>
    </row>
    <row r="258" spans="1:13" x14ac:dyDescent="0.25">
      <c r="A258">
        <v>1182</v>
      </c>
      <c r="B258" t="s">
        <v>363</v>
      </c>
      <c r="C258" t="s">
        <v>47</v>
      </c>
      <c r="E258">
        <v>14172</v>
      </c>
      <c r="F258">
        <v>18000</v>
      </c>
      <c r="G258">
        <v>120000</v>
      </c>
      <c r="H258" t="s">
        <v>84</v>
      </c>
      <c r="I258" t="s">
        <v>72</v>
      </c>
      <c r="K258" t="s">
        <v>116</v>
      </c>
      <c r="L258" t="s">
        <v>98</v>
      </c>
    </row>
    <row r="259" spans="1:13" x14ac:dyDescent="0.25">
      <c r="A259">
        <v>1390</v>
      </c>
      <c r="B259" t="s">
        <v>364</v>
      </c>
      <c r="C259" t="s">
        <v>51</v>
      </c>
      <c r="D259">
        <v>2020</v>
      </c>
      <c r="E259" t="s">
        <v>365</v>
      </c>
      <c r="F259">
        <v>7000</v>
      </c>
      <c r="G259" t="s">
        <v>121</v>
      </c>
      <c r="H259" t="s">
        <v>58</v>
      </c>
      <c r="I259" t="s">
        <v>72</v>
      </c>
      <c r="J259" t="s">
        <v>96</v>
      </c>
      <c r="K259" t="s">
        <v>100</v>
      </c>
      <c r="L259" t="s">
        <v>126</v>
      </c>
      <c r="M259">
        <v>2</v>
      </c>
    </row>
    <row r="260" spans="1:13" x14ac:dyDescent="0.25">
      <c r="A260">
        <v>1575</v>
      </c>
      <c r="B260" t="s">
        <v>268</v>
      </c>
      <c r="C260" t="s">
        <v>47</v>
      </c>
      <c r="D260">
        <v>2022</v>
      </c>
      <c r="E260">
        <v>2293</v>
      </c>
      <c r="F260">
        <v>7000</v>
      </c>
      <c r="G260">
        <v>40000</v>
      </c>
      <c r="H260" t="s">
        <v>53</v>
      </c>
      <c r="J260" t="s">
        <v>96</v>
      </c>
      <c r="K260" t="s">
        <v>73</v>
      </c>
      <c r="L260" t="s">
        <v>98</v>
      </c>
      <c r="M260">
        <v>3</v>
      </c>
    </row>
    <row r="261" spans="1:13" x14ac:dyDescent="0.25">
      <c r="A261">
        <v>1257</v>
      </c>
      <c r="B261" t="s">
        <v>366</v>
      </c>
      <c r="C261" t="s">
        <v>103</v>
      </c>
      <c r="D261" t="s">
        <v>52</v>
      </c>
      <c r="E261">
        <v>20560</v>
      </c>
      <c r="F261">
        <v>22000</v>
      </c>
      <c r="G261">
        <v>80000</v>
      </c>
      <c r="I261" t="s">
        <v>42</v>
      </c>
      <c r="J261" t="s">
        <v>96</v>
      </c>
      <c r="L261" t="s">
        <v>38</v>
      </c>
      <c r="M261">
        <v>1</v>
      </c>
    </row>
    <row r="262" spans="1:13" x14ac:dyDescent="0.25">
      <c r="A262">
        <v>1177</v>
      </c>
      <c r="B262" t="s">
        <v>210</v>
      </c>
      <c r="C262" t="s">
        <v>51</v>
      </c>
      <c r="D262">
        <v>2021</v>
      </c>
      <c r="E262">
        <v>10390</v>
      </c>
      <c r="F262" t="s">
        <v>204</v>
      </c>
      <c r="G262" t="s">
        <v>108</v>
      </c>
      <c r="H262" t="s">
        <v>69</v>
      </c>
      <c r="J262" t="s">
        <v>96</v>
      </c>
      <c r="K262" t="s">
        <v>100</v>
      </c>
      <c r="L262" t="s">
        <v>90</v>
      </c>
    </row>
    <row r="263" spans="1:13" x14ac:dyDescent="0.25">
      <c r="A263">
        <v>1040</v>
      </c>
      <c r="B263" t="s">
        <v>367</v>
      </c>
      <c r="C263" t="s">
        <v>65</v>
      </c>
      <c r="D263">
        <v>2014</v>
      </c>
      <c r="E263" t="s">
        <v>368</v>
      </c>
      <c r="F263">
        <v>22000</v>
      </c>
      <c r="G263" t="s">
        <v>92</v>
      </c>
      <c r="H263" t="s">
        <v>69</v>
      </c>
      <c r="I263" t="s">
        <v>59</v>
      </c>
      <c r="L263" t="s">
        <v>109</v>
      </c>
      <c r="M263">
        <v>0</v>
      </c>
    </row>
    <row r="264" spans="1:13" x14ac:dyDescent="0.25">
      <c r="A264">
        <v>1517</v>
      </c>
      <c r="B264" t="s">
        <v>369</v>
      </c>
      <c r="C264" t="s">
        <v>61</v>
      </c>
      <c r="D264">
        <v>2022</v>
      </c>
      <c r="E264" t="s">
        <v>370</v>
      </c>
      <c r="F264">
        <v>15000</v>
      </c>
      <c r="G264">
        <v>25000</v>
      </c>
      <c r="H264" t="s">
        <v>63</v>
      </c>
      <c r="I264" t="s">
        <v>42</v>
      </c>
      <c r="J264" t="s">
        <v>66</v>
      </c>
      <c r="K264" t="s">
        <v>44</v>
      </c>
      <c r="L264" t="s">
        <v>109</v>
      </c>
      <c r="M264">
        <v>2</v>
      </c>
    </row>
    <row r="265" spans="1:13" x14ac:dyDescent="0.25">
      <c r="A265">
        <v>1117</v>
      </c>
      <c r="B265" t="s">
        <v>371</v>
      </c>
      <c r="C265" t="s">
        <v>51</v>
      </c>
      <c r="D265">
        <v>2017</v>
      </c>
      <c r="E265">
        <v>24681</v>
      </c>
      <c r="F265">
        <v>31000</v>
      </c>
      <c r="G265">
        <v>80000</v>
      </c>
      <c r="H265" t="s">
        <v>53</v>
      </c>
      <c r="I265" t="s">
        <v>35</v>
      </c>
      <c r="J265" t="s">
        <v>96</v>
      </c>
      <c r="K265" t="s">
        <v>48</v>
      </c>
      <c r="L265" t="s">
        <v>49</v>
      </c>
      <c r="M265">
        <v>3</v>
      </c>
    </row>
    <row r="266" spans="1:13" x14ac:dyDescent="0.25">
      <c r="A266">
        <v>1526</v>
      </c>
      <c r="B266" t="s">
        <v>372</v>
      </c>
      <c r="C266" t="s">
        <v>65</v>
      </c>
      <c r="D266">
        <v>2022</v>
      </c>
      <c r="E266">
        <v>12766</v>
      </c>
      <c r="F266">
        <v>18000</v>
      </c>
      <c r="G266" t="s">
        <v>76</v>
      </c>
      <c r="H266" t="s">
        <v>53</v>
      </c>
      <c r="I266" t="s">
        <v>72</v>
      </c>
      <c r="K266" t="s">
        <v>37</v>
      </c>
      <c r="L266" t="s">
        <v>49</v>
      </c>
      <c r="M266">
        <v>1</v>
      </c>
    </row>
    <row r="267" spans="1:13" x14ac:dyDescent="0.25">
      <c r="A267">
        <v>1434</v>
      </c>
      <c r="B267" t="s">
        <v>373</v>
      </c>
      <c r="C267" t="s">
        <v>40</v>
      </c>
      <c r="D267" t="s">
        <v>52</v>
      </c>
      <c r="E267">
        <v>2509</v>
      </c>
      <c r="F267">
        <v>9000</v>
      </c>
      <c r="G267">
        <v>25000</v>
      </c>
      <c r="H267" t="s">
        <v>34</v>
      </c>
      <c r="I267" t="s">
        <v>35</v>
      </c>
      <c r="J267" t="s">
        <v>66</v>
      </c>
      <c r="K267" t="s">
        <v>73</v>
      </c>
      <c r="L267" t="s">
        <v>55</v>
      </c>
      <c r="M267">
        <v>2</v>
      </c>
    </row>
    <row r="268" spans="1:13" x14ac:dyDescent="0.25">
      <c r="A268">
        <v>1571</v>
      </c>
      <c r="B268" t="s">
        <v>374</v>
      </c>
      <c r="C268" t="s">
        <v>68</v>
      </c>
      <c r="D268">
        <v>2015</v>
      </c>
      <c r="E268" t="s">
        <v>375</v>
      </c>
      <c r="F268">
        <v>9000</v>
      </c>
      <c r="G268">
        <v>15000</v>
      </c>
      <c r="H268" t="s">
        <v>34</v>
      </c>
      <c r="I268" t="s">
        <v>59</v>
      </c>
      <c r="J268" t="s">
        <v>43</v>
      </c>
      <c r="K268" t="s">
        <v>48</v>
      </c>
      <c r="L268" t="s">
        <v>98</v>
      </c>
      <c r="M268">
        <v>2</v>
      </c>
    </row>
    <row r="269" spans="1:13" x14ac:dyDescent="0.25">
      <c r="A269">
        <v>1599</v>
      </c>
      <c r="B269" t="s">
        <v>376</v>
      </c>
      <c r="C269" t="s">
        <v>40</v>
      </c>
      <c r="D269">
        <v>2020</v>
      </c>
      <c r="E269" t="s">
        <v>377</v>
      </c>
      <c r="F269">
        <v>9000</v>
      </c>
      <c r="G269">
        <v>80000</v>
      </c>
      <c r="H269" t="s">
        <v>84</v>
      </c>
      <c r="I269" t="s">
        <v>72</v>
      </c>
      <c r="J269" t="s">
        <v>96</v>
      </c>
      <c r="K269" t="s">
        <v>37</v>
      </c>
      <c r="L269" t="s">
        <v>45</v>
      </c>
      <c r="M269">
        <v>3</v>
      </c>
    </row>
    <row r="270" spans="1:13" x14ac:dyDescent="0.25">
      <c r="A270">
        <v>1225</v>
      </c>
      <c r="B270" t="s">
        <v>160</v>
      </c>
      <c r="C270" t="s">
        <v>94</v>
      </c>
      <c r="D270">
        <v>2020</v>
      </c>
      <c r="E270" t="s">
        <v>378</v>
      </c>
      <c r="F270">
        <v>7000</v>
      </c>
      <c r="G270">
        <v>60000</v>
      </c>
      <c r="H270" t="s">
        <v>69</v>
      </c>
      <c r="I270" t="s">
        <v>42</v>
      </c>
      <c r="J270" t="s">
        <v>96</v>
      </c>
      <c r="K270" t="s">
        <v>44</v>
      </c>
      <c r="L270" t="s">
        <v>126</v>
      </c>
    </row>
    <row r="271" spans="1:13" x14ac:dyDescent="0.25">
      <c r="A271">
        <v>1550</v>
      </c>
      <c r="B271" t="s">
        <v>379</v>
      </c>
      <c r="C271" t="s">
        <v>164</v>
      </c>
      <c r="D271">
        <v>2015</v>
      </c>
      <c r="E271">
        <v>1309</v>
      </c>
      <c r="F271" t="s">
        <v>147</v>
      </c>
      <c r="G271" t="s">
        <v>76</v>
      </c>
      <c r="H271" t="s">
        <v>63</v>
      </c>
      <c r="I271" t="s">
        <v>42</v>
      </c>
      <c r="J271" t="s">
        <v>43</v>
      </c>
      <c r="L271" t="s">
        <v>90</v>
      </c>
      <c r="M271">
        <v>1</v>
      </c>
    </row>
    <row r="272" spans="1:13" x14ac:dyDescent="0.25">
      <c r="A272">
        <v>1580</v>
      </c>
      <c r="B272" t="s">
        <v>380</v>
      </c>
      <c r="C272" t="s">
        <v>57</v>
      </c>
      <c r="D272">
        <v>2017</v>
      </c>
      <c r="E272">
        <v>16062</v>
      </c>
      <c r="F272">
        <v>18000</v>
      </c>
      <c r="G272">
        <v>25000</v>
      </c>
      <c r="J272" t="s">
        <v>36</v>
      </c>
      <c r="K272" t="s">
        <v>54</v>
      </c>
      <c r="L272" t="s">
        <v>49</v>
      </c>
      <c r="M272">
        <v>2</v>
      </c>
    </row>
    <row r="273" spans="1:13" x14ac:dyDescent="0.25">
      <c r="A273">
        <v>1240</v>
      </c>
      <c r="B273" t="s">
        <v>381</v>
      </c>
      <c r="C273" t="s">
        <v>32</v>
      </c>
      <c r="D273">
        <v>2017</v>
      </c>
      <c r="E273" t="s">
        <v>382</v>
      </c>
      <c r="F273">
        <v>31000</v>
      </c>
      <c r="G273">
        <v>40000</v>
      </c>
      <c r="H273" t="s">
        <v>63</v>
      </c>
      <c r="I273" t="s">
        <v>59</v>
      </c>
      <c r="J273" t="s">
        <v>43</v>
      </c>
      <c r="K273" t="s">
        <v>44</v>
      </c>
      <c r="L273" t="s">
        <v>45</v>
      </c>
    </row>
    <row r="274" spans="1:13" x14ac:dyDescent="0.25">
      <c r="A274">
        <v>1004</v>
      </c>
      <c r="B274" t="s">
        <v>383</v>
      </c>
      <c r="C274" t="s">
        <v>164</v>
      </c>
      <c r="E274">
        <v>17492</v>
      </c>
      <c r="F274">
        <v>22000</v>
      </c>
      <c r="G274">
        <v>40000</v>
      </c>
      <c r="H274" t="s">
        <v>34</v>
      </c>
      <c r="I274" t="s">
        <v>72</v>
      </c>
      <c r="J274" t="s">
        <v>96</v>
      </c>
      <c r="K274" t="s">
        <v>100</v>
      </c>
      <c r="L274" t="s">
        <v>109</v>
      </c>
      <c r="M274">
        <v>3</v>
      </c>
    </row>
    <row r="275" spans="1:13" x14ac:dyDescent="0.25">
      <c r="A275">
        <v>1111</v>
      </c>
      <c r="B275" t="s">
        <v>180</v>
      </c>
      <c r="C275" t="s">
        <v>138</v>
      </c>
      <c r="D275">
        <v>2021</v>
      </c>
      <c r="E275" t="s">
        <v>384</v>
      </c>
      <c r="F275">
        <v>22000</v>
      </c>
      <c r="G275">
        <v>40000</v>
      </c>
      <c r="H275" t="s">
        <v>58</v>
      </c>
      <c r="J275" t="s">
        <v>66</v>
      </c>
      <c r="K275" t="s">
        <v>54</v>
      </c>
      <c r="L275" t="s">
        <v>49</v>
      </c>
      <c r="M275">
        <v>0</v>
      </c>
    </row>
    <row r="276" spans="1:13" x14ac:dyDescent="0.25">
      <c r="A276">
        <v>1217</v>
      </c>
      <c r="B276" t="s">
        <v>385</v>
      </c>
      <c r="C276" t="s">
        <v>40</v>
      </c>
      <c r="D276">
        <v>2022</v>
      </c>
      <c r="E276">
        <v>1258</v>
      </c>
      <c r="F276">
        <v>7000</v>
      </c>
      <c r="G276">
        <v>80000</v>
      </c>
      <c r="I276" t="s">
        <v>42</v>
      </c>
      <c r="J276" t="s">
        <v>96</v>
      </c>
      <c r="K276" t="s">
        <v>48</v>
      </c>
      <c r="L276" t="s">
        <v>38</v>
      </c>
    </row>
    <row r="277" spans="1:13" x14ac:dyDescent="0.25">
      <c r="A277">
        <v>1406</v>
      </c>
      <c r="B277" t="s">
        <v>386</v>
      </c>
      <c r="C277" t="s">
        <v>51</v>
      </c>
      <c r="D277">
        <v>2016</v>
      </c>
      <c r="E277">
        <v>25819</v>
      </c>
      <c r="F277" t="s">
        <v>87</v>
      </c>
      <c r="G277" t="s">
        <v>121</v>
      </c>
      <c r="H277" t="s">
        <v>58</v>
      </c>
      <c r="J277" t="s">
        <v>66</v>
      </c>
      <c r="K277" t="s">
        <v>116</v>
      </c>
      <c r="L277" t="s">
        <v>90</v>
      </c>
      <c r="M277">
        <v>1</v>
      </c>
    </row>
    <row r="278" spans="1:13" x14ac:dyDescent="0.25">
      <c r="A278">
        <v>1237</v>
      </c>
      <c r="B278" t="s">
        <v>387</v>
      </c>
      <c r="C278" t="s">
        <v>164</v>
      </c>
      <c r="D278">
        <v>2021</v>
      </c>
      <c r="E278" t="s">
        <v>388</v>
      </c>
      <c r="F278">
        <v>22000</v>
      </c>
      <c r="G278" t="s">
        <v>76</v>
      </c>
      <c r="H278" t="s">
        <v>53</v>
      </c>
      <c r="J278" t="s">
        <v>96</v>
      </c>
      <c r="K278" t="s">
        <v>48</v>
      </c>
      <c r="L278" t="s">
        <v>55</v>
      </c>
      <c r="M278">
        <v>3</v>
      </c>
    </row>
    <row r="279" spans="1:13" x14ac:dyDescent="0.25">
      <c r="A279">
        <v>1280</v>
      </c>
      <c r="B279" t="s">
        <v>178</v>
      </c>
      <c r="C279" t="s">
        <v>68</v>
      </c>
      <c r="D279">
        <v>2014</v>
      </c>
      <c r="E279">
        <v>15235</v>
      </c>
      <c r="F279">
        <v>22000</v>
      </c>
      <c r="G279">
        <v>15000</v>
      </c>
      <c r="H279" t="s">
        <v>58</v>
      </c>
      <c r="I279" t="s">
        <v>59</v>
      </c>
      <c r="J279" t="s">
        <v>43</v>
      </c>
      <c r="K279" t="s">
        <v>44</v>
      </c>
      <c r="L279" t="s">
        <v>49</v>
      </c>
    </row>
    <row r="280" spans="1:13" x14ac:dyDescent="0.25">
      <c r="A280">
        <v>1353</v>
      </c>
      <c r="B280" t="s">
        <v>206</v>
      </c>
      <c r="C280" t="s">
        <v>65</v>
      </c>
      <c r="D280">
        <v>2020</v>
      </c>
      <c r="E280">
        <v>10676</v>
      </c>
      <c r="F280">
        <v>15000</v>
      </c>
      <c r="G280">
        <v>80000</v>
      </c>
      <c r="H280" t="s">
        <v>58</v>
      </c>
      <c r="I280" t="s">
        <v>59</v>
      </c>
      <c r="J280" t="s">
        <v>66</v>
      </c>
      <c r="K280" t="s">
        <v>77</v>
      </c>
      <c r="L280" t="s">
        <v>49</v>
      </c>
    </row>
    <row r="281" spans="1:13" x14ac:dyDescent="0.25">
      <c r="A281">
        <v>1121</v>
      </c>
      <c r="B281" t="s">
        <v>389</v>
      </c>
      <c r="C281" t="s">
        <v>65</v>
      </c>
      <c r="D281">
        <v>2017</v>
      </c>
      <c r="E281">
        <v>9711</v>
      </c>
      <c r="F281">
        <v>12000</v>
      </c>
      <c r="G281">
        <v>25000</v>
      </c>
      <c r="H281" t="s">
        <v>84</v>
      </c>
      <c r="I281" t="s">
        <v>59</v>
      </c>
      <c r="J281" t="s">
        <v>43</v>
      </c>
      <c r="K281" t="s">
        <v>116</v>
      </c>
      <c r="L281" t="s">
        <v>38</v>
      </c>
    </row>
    <row r="282" spans="1:13" x14ac:dyDescent="0.25">
      <c r="A282">
        <v>1130</v>
      </c>
      <c r="B282" t="s">
        <v>390</v>
      </c>
      <c r="C282" t="s">
        <v>57</v>
      </c>
      <c r="D282" t="s">
        <v>52</v>
      </c>
      <c r="E282">
        <v>23004</v>
      </c>
      <c r="F282">
        <v>26000</v>
      </c>
      <c r="G282">
        <v>15000</v>
      </c>
      <c r="H282" t="s">
        <v>41</v>
      </c>
      <c r="J282" t="s">
        <v>66</v>
      </c>
      <c r="K282" t="s">
        <v>73</v>
      </c>
      <c r="L282" t="s">
        <v>90</v>
      </c>
      <c r="M282">
        <v>2</v>
      </c>
    </row>
    <row r="283" spans="1:13" x14ac:dyDescent="0.25">
      <c r="A283">
        <v>1290</v>
      </c>
      <c r="B283" t="s">
        <v>391</v>
      </c>
      <c r="C283" t="s">
        <v>57</v>
      </c>
      <c r="D283">
        <v>2022</v>
      </c>
      <c r="E283">
        <v>20383</v>
      </c>
      <c r="F283">
        <v>26000</v>
      </c>
      <c r="G283">
        <v>80000</v>
      </c>
      <c r="I283" t="s">
        <v>59</v>
      </c>
      <c r="J283" t="s">
        <v>66</v>
      </c>
      <c r="K283" t="s">
        <v>77</v>
      </c>
      <c r="L283" t="s">
        <v>98</v>
      </c>
    </row>
    <row r="284" spans="1:13" x14ac:dyDescent="0.25">
      <c r="A284">
        <v>1270</v>
      </c>
      <c r="B284" t="s">
        <v>392</v>
      </c>
      <c r="C284" t="s">
        <v>164</v>
      </c>
      <c r="E284" t="s">
        <v>393</v>
      </c>
      <c r="F284">
        <v>12000</v>
      </c>
      <c r="G284">
        <v>80000</v>
      </c>
      <c r="H284" t="s">
        <v>84</v>
      </c>
      <c r="I284" t="s">
        <v>42</v>
      </c>
      <c r="J284" t="s">
        <v>43</v>
      </c>
      <c r="K284" t="s">
        <v>48</v>
      </c>
      <c r="L284" t="s">
        <v>90</v>
      </c>
      <c r="M284">
        <v>0</v>
      </c>
    </row>
    <row r="285" spans="1:13" x14ac:dyDescent="0.25">
      <c r="A285">
        <v>1181</v>
      </c>
      <c r="B285" t="s">
        <v>394</v>
      </c>
      <c r="C285" t="s">
        <v>40</v>
      </c>
      <c r="D285">
        <v>2017</v>
      </c>
      <c r="E285">
        <v>20040</v>
      </c>
      <c r="F285">
        <v>26000</v>
      </c>
      <c r="G285" t="s">
        <v>33</v>
      </c>
      <c r="H285" t="s">
        <v>84</v>
      </c>
      <c r="I285" t="s">
        <v>35</v>
      </c>
      <c r="J285" t="s">
        <v>43</v>
      </c>
      <c r="K285" t="s">
        <v>100</v>
      </c>
      <c r="M285">
        <v>0</v>
      </c>
    </row>
    <row r="286" spans="1:13" x14ac:dyDescent="0.25">
      <c r="A286">
        <v>1439</v>
      </c>
      <c r="B286" t="s">
        <v>395</v>
      </c>
      <c r="C286" t="s">
        <v>103</v>
      </c>
      <c r="D286">
        <v>2022</v>
      </c>
      <c r="E286">
        <v>24645</v>
      </c>
      <c r="F286">
        <v>26000</v>
      </c>
      <c r="G286">
        <v>40000</v>
      </c>
      <c r="H286" t="s">
        <v>34</v>
      </c>
      <c r="I286" t="s">
        <v>72</v>
      </c>
      <c r="K286" t="s">
        <v>37</v>
      </c>
      <c r="L286" t="s">
        <v>98</v>
      </c>
      <c r="M286">
        <v>1</v>
      </c>
    </row>
    <row r="287" spans="1:13" x14ac:dyDescent="0.25">
      <c r="A287">
        <v>1418</v>
      </c>
      <c r="B287" t="s">
        <v>396</v>
      </c>
      <c r="C287" t="s">
        <v>65</v>
      </c>
      <c r="D287">
        <v>2021</v>
      </c>
      <c r="E287">
        <v>11680</v>
      </c>
      <c r="F287" t="s">
        <v>89</v>
      </c>
      <c r="G287">
        <v>15000</v>
      </c>
      <c r="H287" t="s">
        <v>41</v>
      </c>
      <c r="K287" t="s">
        <v>37</v>
      </c>
      <c r="M287">
        <v>0</v>
      </c>
    </row>
    <row r="288" spans="1:13" x14ac:dyDescent="0.25">
      <c r="A288">
        <v>1370</v>
      </c>
      <c r="B288" t="s">
        <v>397</v>
      </c>
      <c r="C288" t="s">
        <v>94</v>
      </c>
      <c r="D288" t="s">
        <v>52</v>
      </c>
      <c r="E288" t="s">
        <v>398</v>
      </c>
      <c r="F288">
        <v>15000</v>
      </c>
      <c r="G288">
        <v>120000</v>
      </c>
      <c r="H288" t="s">
        <v>69</v>
      </c>
      <c r="J288" t="s">
        <v>43</v>
      </c>
      <c r="K288" t="s">
        <v>44</v>
      </c>
      <c r="L288" t="s">
        <v>45</v>
      </c>
      <c r="M288">
        <v>3</v>
      </c>
    </row>
    <row r="289" spans="1:13" x14ac:dyDescent="0.25">
      <c r="A289">
        <v>1568</v>
      </c>
      <c r="B289" t="s">
        <v>399</v>
      </c>
      <c r="C289" t="s">
        <v>47</v>
      </c>
      <c r="D289">
        <v>2020</v>
      </c>
      <c r="E289">
        <v>26968</v>
      </c>
      <c r="F289">
        <v>31000</v>
      </c>
      <c r="G289">
        <v>25000</v>
      </c>
      <c r="H289" t="s">
        <v>34</v>
      </c>
      <c r="I289" t="s">
        <v>42</v>
      </c>
      <c r="J289" t="s">
        <v>36</v>
      </c>
      <c r="K289" t="s">
        <v>77</v>
      </c>
      <c r="L289" t="s">
        <v>55</v>
      </c>
      <c r="M289">
        <v>1</v>
      </c>
    </row>
    <row r="290" spans="1:13" x14ac:dyDescent="0.25">
      <c r="A290">
        <v>1164</v>
      </c>
      <c r="B290" t="s">
        <v>400</v>
      </c>
      <c r="C290" t="s">
        <v>32</v>
      </c>
      <c r="D290">
        <v>2017</v>
      </c>
      <c r="E290">
        <v>20490</v>
      </c>
      <c r="F290">
        <v>26000</v>
      </c>
      <c r="G290">
        <v>40000</v>
      </c>
      <c r="H290" t="s">
        <v>58</v>
      </c>
      <c r="I290" t="s">
        <v>59</v>
      </c>
      <c r="K290" t="s">
        <v>48</v>
      </c>
      <c r="L290" t="s">
        <v>49</v>
      </c>
      <c r="M290">
        <v>0</v>
      </c>
    </row>
    <row r="291" spans="1:13" x14ac:dyDescent="0.25">
      <c r="A291">
        <v>1393</v>
      </c>
      <c r="B291" t="s">
        <v>349</v>
      </c>
      <c r="C291" t="s">
        <v>65</v>
      </c>
      <c r="D291">
        <v>2017</v>
      </c>
      <c r="E291">
        <v>16011</v>
      </c>
      <c r="F291">
        <v>22000</v>
      </c>
      <c r="G291">
        <v>15000</v>
      </c>
      <c r="H291" t="s">
        <v>69</v>
      </c>
      <c r="J291" t="s">
        <v>36</v>
      </c>
      <c r="K291" t="s">
        <v>100</v>
      </c>
      <c r="L291" t="s">
        <v>55</v>
      </c>
      <c r="M291">
        <v>3</v>
      </c>
    </row>
    <row r="292" spans="1:13" x14ac:dyDescent="0.25">
      <c r="A292">
        <v>1528</v>
      </c>
      <c r="B292" t="s">
        <v>401</v>
      </c>
      <c r="C292" t="s">
        <v>40</v>
      </c>
      <c r="D292">
        <v>2017</v>
      </c>
      <c r="E292">
        <v>16725</v>
      </c>
      <c r="F292">
        <v>18000</v>
      </c>
      <c r="G292">
        <v>25000</v>
      </c>
      <c r="H292" t="s">
        <v>63</v>
      </c>
      <c r="I292" t="s">
        <v>42</v>
      </c>
      <c r="J292" t="s">
        <v>36</v>
      </c>
      <c r="K292" t="s">
        <v>100</v>
      </c>
      <c r="L292" t="s">
        <v>49</v>
      </c>
      <c r="M292">
        <v>2</v>
      </c>
    </row>
    <row r="293" spans="1:13" x14ac:dyDescent="0.25">
      <c r="A293">
        <v>1530</v>
      </c>
      <c r="B293" t="s">
        <v>307</v>
      </c>
      <c r="C293" t="s">
        <v>94</v>
      </c>
      <c r="D293">
        <v>2019</v>
      </c>
      <c r="E293" t="s">
        <v>402</v>
      </c>
      <c r="F293">
        <v>26000</v>
      </c>
      <c r="G293">
        <v>60000</v>
      </c>
      <c r="H293" t="s">
        <v>69</v>
      </c>
      <c r="K293" t="s">
        <v>44</v>
      </c>
      <c r="L293" t="s">
        <v>109</v>
      </c>
      <c r="M293">
        <v>2</v>
      </c>
    </row>
    <row r="294" spans="1:13" x14ac:dyDescent="0.25">
      <c r="A294">
        <v>1004</v>
      </c>
      <c r="B294" t="s">
        <v>403</v>
      </c>
      <c r="C294" t="s">
        <v>119</v>
      </c>
      <c r="E294">
        <v>10691</v>
      </c>
      <c r="F294">
        <v>15000</v>
      </c>
      <c r="G294" t="s">
        <v>92</v>
      </c>
      <c r="H294" t="s">
        <v>84</v>
      </c>
      <c r="J294" t="s">
        <v>96</v>
      </c>
      <c r="K294" t="s">
        <v>44</v>
      </c>
      <c r="L294" t="s">
        <v>49</v>
      </c>
    </row>
    <row r="295" spans="1:13" x14ac:dyDescent="0.25">
      <c r="A295">
        <v>1576</v>
      </c>
      <c r="B295" t="s">
        <v>404</v>
      </c>
      <c r="C295" t="s">
        <v>65</v>
      </c>
      <c r="D295">
        <v>2022</v>
      </c>
      <c r="E295">
        <v>13373</v>
      </c>
      <c r="F295">
        <v>18000</v>
      </c>
      <c r="G295">
        <v>120000</v>
      </c>
      <c r="I295" t="s">
        <v>59</v>
      </c>
      <c r="K295" t="s">
        <v>73</v>
      </c>
      <c r="L295" t="s">
        <v>55</v>
      </c>
      <c r="M295">
        <v>0</v>
      </c>
    </row>
    <row r="296" spans="1:13" x14ac:dyDescent="0.25">
      <c r="A296">
        <v>1323</v>
      </c>
      <c r="B296" t="s">
        <v>405</v>
      </c>
      <c r="C296" t="s">
        <v>65</v>
      </c>
      <c r="D296">
        <v>2015</v>
      </c>
      <c r="E296">
        <v>23195</v>
      </c>
      <c r="F296">
        <v>26000</v>
      </c>
      <c r="G296">
        <v>120000</v>
      </c>
      <c r="H296" t="s">
        <v>69</v>
      </c>
      <c r="I296" t="s">
        <v>42</v>
      </c>
      <c r="J296" t="s">
        <v>96</v>
      </c>
      <c r="K296" t="s">
        <v>37</v>
      </c>
      <c r="L296" t="s">
        <v>98</v>
      </c>
      <c r="M296">
        <v>2</v>
      </c>
    </row>
    <row r="297" spans="1:13" x14ac:dyDescent="0.25">
      <c r="A297">
        <v>1223</v>
      </c>
      <c r="B297" t="s">
        <v>406</v>
      </c>
      <c r="C297" t="s">
        <v>75</v>
      </c>
      <c r="D297">
        <v>2022</v>
      </c>
      <c r="E297">
        <v>8429</v>
      </c>
      <c r="F297">
        <v>12000</v>
      </c>
      <c r="G297">
        <v>60000</v>
      </c>
      <c r="H297" t="s">
        <v>53</v>
      </c>
      <c r="I297" t="s">
        <v>59</v>
      </c>
      <c r="J297" t="s">
        <v>66</v>
      </c>
      <c r="K297" t="s">
        <v>77</v>
      </c>
      <c r="L297" t="s">
        <v>38</v>
      </c>
      <c r="M297">
        <v>2</v>
      </c>
    </row>
    <row r="298" spans="1:13" x14ac:dyDescent="0.25">
      <c r="A298">
        <v>1159</v>
      </c>
      <c r="B298" t="s">
        <v>407</v>
      </c>
      <c r="C298" t="s">
        <v>47</v>
      </c>
      <c r="D298">
        <v>2017</v>
      </c>
      <c r="E298">
        <v>8933</v>
      </c>
      <c r="F298" t="s">
        <v>89</v>
      </c>
      <c r="G298" t="s">
        <v>33</v>
      </c>
      <c r="J298" t="s">
        <v>36</v>
      </c>
      <c r="L298" t="s">
        <v>126</v>
      </c>
      <c r="M298">
        <v>3</v>
      </c>
    </row>
    <row r="299" spans="1:13" x14ac:dyDescent="0.25">
      <c r="A299">
        <v>1502</v>
      </c>
      <c r="B299" t="s">
        <v>219</v>
      </c>
      <c r="C299" t="s">
        <v>79</v>
      </c>
      <c r="E299" t="s">
        <v>408</v>
      </c>
      <c r="F299">
        <v>22000</v>
      </c>
      <c r="G299">
        <v>60000</v>
      </c>
      <c r="H299" t="s">
        <v>34</v>
      </c>
      <c r="I299" t="s">
        <v>42</v>
      </c>
      <c r="K299" t="s">
        <v>100</v>
      </c>
      <c r="L299" t="s">
        <v>126</v>
      </c>
    </row>
    <row r="300" spans="1:13" x14ac:dyDescent="0.25">
      <c r="A300">
        <v>1178</v>
      </c>
      <c r="B300" t="s">
        <v>228</v>
      </c>
      <c r="C300" t="s">
        <v>103</v>
      </c>
      <c r="D300">
        <v>2021</v>
      </c>
      <c r="E300">
        <v>3156</v>
      </c>
      <c r="F300" t="s">
        <v>147</v>
      </c>
      <c r="G300">
        <v>80000</v>
      </c>
      <c r="H300" t="s">
        <v>63</v>
      </c>
      <c r="I300" t="s">
        <v>35</v>
      </c>
      <c r="J300" t="s">
        <v>36</v>
      </c>
      <c r="K300" t="s">
        <v>77</v>
      </c>
      <c r="L300" t="s">
        <v>98</v>
      </c>
    </row>
    <row r="301" spans="1:13" x14ac:dyDescent="0.25">
      <c r="A301">
        <v>1561</v>
      </c>
      <c r="B301" t="s">
        <v>409</v>
      </c>
      <c r="C301" t="s">
        <v>32</v>
      </c>
      <c r="D301">
        <v>2019</v>
      </c>
      <c r="E301">
        <v>18873</v>
      </c>
      <c r="F301">
        <v>22000</v>
      </c>
      <c r="G301">
        <v>80000</v>
      </c>
      <c r="H301" t="s">
        <v>63</v>
      </c>
      <c r="I301" t="s">
        <v>72</v>
      </c>
      <c r="J301" t="s">
        <v>66</v>
      </c>
      <c r="K301" t="s">
        <v>116</v>
      </c>
      <c r="L301" t="s">
        <v>98</v>
      </c>
      <c r="M301">
        <v>1</v>
      </c>
    </row>
    <row r="302" spans="1:13" x14ac:dyDescent="0.25">
      <c r="A302">
        <v>1184</v>
      </c>
      <c r="B302" t="s">
        <v>134</v>
      </c>
      <c r="C302" t="s">
        <v>103</v>
      </c>
      <c r="D302">
        <v>2019</v>
      </c>
      <c r="E302">
        <v>18710</v>
      </c>
      <c r="F302">
        <v>22000</v>
      </c>
      <c r="G302">
        <v>60000</v>
      </c>
      <c r="H302" t="s">
        <v>84</v>
      </c>
      <c r="I302" t="s">
        <v>72</v>
      </c>
      <c r="J302" t="s">
        <v>66</v>
      </c>
      <c r="L302" t="s">
        <v>98</v>
      </c>
      <c r="M302">
        <v>3</v>
      </c>
    </row>
    <row r="303" spans="1:13" x14ac:dyDescent="0.25">
      <c r="A303">
        <v>1431</v>
      </c>
      <c r="B303" t="s">
        <v>410</v>
      </c>
      <c r="C303" t="s">
        <v>47</v>
      </c>
      <c r="D303">
        <v>2016</v>
      </c>
      <c r="E303">
        <v>10921</v>
      </c>
      <c r="F303">
        <v>12000</v>
      </c>
      <c r="G303">
        <v>60000</v>
      </c>
      <c r="H303" t="s">
        <v>63</v>
      </c>
      <c r="I303" t="s">
        <v>59</v>
      </c>
      <c r="J303" t="s">
        <v>96</v>
      </c>
      <c r="K303" t="s">
        <v>54</v>
      </c>
    </row>
    <row r="304" spans="1:13" x14ac:dyDescent="0.25">
      <c r="A304">
        <v>1220</v>
      </c>
      <c r="B304" t="s">
        <v>411</v>
      </c>
      <c r="C304" t="s">
        <v>68</v>
      </c>
      <c r="D304">
        <v>2020</v>
      </c>
      <c r="E304">
        <v>6662</v>
      </c>
      <c r="F304">
        <v>9000</v>
      </c>
      <c r="G304">
        <v>120000</v>
      </c>
      <c r="I304" t="s">
        <v>72</v>
      </c>
      <c r="J304" t="s">
        <v>96</v>
      </c>
      <c r="K304" t="s">
        <v>44</v>
      </c>
      <c r="L304" t="s">
        <v>109</v>
      </c>
    </row>
    <row r="305" spans="1:13" x14ac:dyDescent="0.25">
      <c r="A305">
        <v>1203</v>
      </c>
      <c r="B305" t="s">
        <v>412</v>
      </c>
      <c r="C305" t="s">
        <v>65</v>
      </c>
      <c r="D305">
        <v>2019</v>
      </c>
      <c r="E305">
        <v>5007</v>
      </c>
      <c r="F305">
        <v>7000</v>
      </c>
      <c r="G305">
        <v>60000</v>
      </c>
      <c r="H305" t="s">
        <v>69</v>
      </c>
      <c r="I305" t="s">
        <v>72</v>
      </c>
      <c r="J305" t="s">
        <v>96</v>
      </c>
      <c r="L305" t="s">
        <v>55</v>
      </c>
      <c r="M305">
        <v>3</v>
      </c>
    </row>
    <row r="306" spans="1:13" x14ac:dyDescent="0.25">
      <c r="A306">
        <v>1171</v>
      </c>
      <c r="B306" t="s">
        <v>413</v>
      </c>
      <c r="C306" t="s">
        <v>75</v>
      </c>
      <c r="D306">
        <v>2020</v>
      </c>
      <c r="E306">
        <v>11826</v>
      </c>
      <c r="F306">
        <v>18000</v>
      </c>
      <c r="G306">
        <v>60000</v>
      </c>
      <c r="H306" t="s">
        <v>34</v>
      </c>
      <c r="I306" t="s">
        <v>35</v>
      </c>
      <c r="J306" t="s">
        <v>36</v>
      </c>
      <c r="K306" t="s">
        <v>100</v>
      </c>
      <c r="L306" t="s">
        <v>109</v>
      </c>
      <c r="M306">
        <v>1</v>
      </c>
    </row>
    <row r="307" spans="1:13" x14ac:dyDescent="0.25">
      <c r="A307">
        <v>1277</v>
      </c>
      <c r="B307" t="s">
        <v>414</v>
      </c>
      <c r="C307" t="s">
        <v>61</v>
      </c>
      <c r="D307">
        <v>2019</v>
      </c>
      <c r="E307">
        <v>14809</v>
      </c>
      <c r="F307">
        <v>18000</v>
      </c>
      <c r="G307">
        <v>120000</v>
      </c>
      <c r="I307" t="s">
        <v>59</v>
      </c>
      <c r="J307" t="s">
        <v>66</v>
      </c>
      <c r="K307" t="s">
        <v>100</v>
      </c>
      <c r="L307" t="s">
        <v>126</v>
      </c>
      <c r="M307">
        <v>1</v>
      </c>
    </row>
    <row r="308" spans="1:13" x14ac:dyDescent="0.25">
      <c r="A308">
        <v>1215</v>
      </c>
      <c r="B308" t="s">
        <v>211</v>
      </c>
      <c r="C308" t="s">
        <v>119</v>
      </c>
      <c r="D308" t="s">
        <v>52</v>
      </c>
      <c r="E308" t="s">
        <v>415</v>
      </c>
      <c r="F308" t="s">
        <v>129</v>
      </c>
      <c r="G308" t="s">
        <v>108</v>
      </c>
      <c r="J308" t="s">
        <v>36</v>
      </c>
      <c r="K308" t="s">
        <v>73</v>
      </c>
      <c r="L308" t="s">
        <v>98</v>
      </c>
    </row>
    <row r="309" spans="1:13" x14ac:dyDescent="0.25">
      <c r="A309">
        <v>1399</v>
      </c>
      <c r="B309" t="s">
        <v>416</v>
      </c>
      <c r="C309" t="s">
        <v>75</v>
      </c>
      <c r="D309">
        <v>2015</v>
      </c>
      <c r="E309">
        <v>15728</v>
      </c>
      <c r="F309">
        <v>18000</v>
      </c>
      <c r="G309">
        <v>80000</v>
      </c>
      <c r="H309" t="s">
        <v>58</v>
      </c>
      <c r="I309" t="s">
        <v>42</v>
      </c>
      <c r="K309" t="s">
        <v>100</v>
      </c>
      <c r="L309" t="s">
        <v>126</v>
      </c>
      <c r="M309">
        <v>0</v>
      </c>
    </row>
    <row r="310" spans="1:13" x14ac:dyDescent="0.25">
      <c r="A310">
        <v>1561</v>
      </c>
      <c r="B310" t="s">
        <v>417</v>
      </c>
      <c r="C310" t="s">
        <v>79</v>
      </c>
      <c r="D310">
        <v>2019</v>
      </c>
      <c r="E310">
        <v>25572</v>
      </c>
      <c r="F310">
        <v>31000</v>
      </c>
      <c r="G310">
        <v>60000</v>
      </c>
      <c r="H310" t="s">
        <v>58</v>
      </c>
      <c r="K310" t="s">
        <v>116</v>
      </c>
      <c r="L310" t="s">
        <v>98</v>
      </c>
    </row>
    <row r="311" spans="1:13" x14ac:dyDescent="0.25">
      <c r="A311">
        <v>1452</v>
      </c>
      <c r="B311" t="s">
        <v>418</v>
      </c>
      <c r="C311" t="s">
        <v>51</v>
      </c>
      <c r="D311">
        <v>2019</v>
      </c>
      <c r="E311">
        <v>28140</v>
      </c>
      <c r="F311">
        <v>31000</v>
      </c>
      <c r="G311" t="s">
        <v>121</v>
      </c>
      <c r="H311" t="s">
        <v>41</v>
      </c>
      <c r="I311" t="s">
        <v>35</v>
      </c>
      <c r="K311" t="s">
        <v>100</v>
      </c>
      <c r="L311" t="s">
        <v>109</v>
      </c>
      <c r="M311">
        <v>2</v>
      </c>
    </row>
    <row r="312" spans="1:13" x14ac:dyDescent="0.25">
      <c r="A312">
        <v>1306</v>
      </c>
      <c r="B312" t="s">
        <v>419</v>
      </c>
      <c r="C312" t="s">
        <v>133</v>
      </c>
      <c r="D312">
        <v>2022</v>
      </c>
      <c r="E312" t="s">
        <v>420</v>
      </c>
      <c r="F312">
        <v>7000</v>
      </c>
      <c r="G312">
        <v>120000</v>
      </c>
      <c r="H312" t="s">
        <v>53</v>
      </c>
      <c r="I312" t="s">
        <v>35</v>
      </c>
      <c r="K312" t="s">
        <v>44</v>
      </c>
      <c r="L312" t="s">
        <v>38</v>
      </c>
      <c r="M312">
        <v>3</v>
      </c>
    </row>
    <row r="313" spans="1:13" x14ac:dyDescent="0.25">
      <c r="A313">
        <v>1387</v>
      </c>
      <c r="B313" t="s">
        <v>421</v>
      </c>
      <c r="C313" t="s">
        <v>103</v>
      </c>
      <c r="D313">
        <v>2020</v>
      </c>
      <c r="E313">
        <v>8144</v>
      </c>
      <c r="F313" t="s">
        <v>89</v>
      </c>
      <c r="G313">
        <v>25000</v>
      </c>
      <c r="H313" t="s">
        <v>69</v>
      </c>
      <c r="I313" t="s">
        <v>72</v>
      </c>
      <c r="K313" t="s">
        <v>54</v>
      </c>
      <c r="L313" t="s">
        <v>98</v>
      </c>
      <c r="M313">
        <v>1</v>
      </c>
    </row>
    <row r="314" spans="1:13" x14ac:dyDescent="0.25">
      <c r="A314">
        <v>1463</v>
      </c>
      <c r="B314" t="s">
        <v>422</v>
      </c>
      <c r="C314" t="s">
        <v>75</v>
      </c>
      <c r="D314">
        <v>2016</v>
      </c>
      <c r="E314">
        <v>10096</v>
      </c>
      <c r="F314">
        <v>12000</v>
      </c>
      <c r="G314" t="s">
        <v>130</v>
      </c>
      <c r="H314" t="s">
        <v>41</v>
      </c>
      <c r="I314" t="s">
        <v>42</v>
      </c>
      <c r="J314" t="s">
        <v>36</v>
      </c>
      <c r="L314" t="s">
        <v>126</v>
      </c>
      <c r="M314">
        <v>1</v>
      </c>
    </row>
    <row r="315" spans="1:13" x14ac:dyDescent="0.25">
      <c r="A315">
        <v>1008</v>
      </c>
      <c r="B315" t="s">
        <v>423</v>
      </c>
      <c r="C315" t="s">
        <v>32</v>
      </c>
      <c r="D315">
        <v>2018</v>
      </c>
      <c r="E315">
        <v>11142</v>
      </c>
      <c r="F315">
        <v>18000</v>
      </c>
      <c r="G315">
        <v>25000</v>
      </c>
      <c r="H315" t="s">
        <v>63</v>
      </c>
      <c r="I315" t="s">
        <v>59</v>
      </c>
      <c r="J315" t="s">
        <v>96</v>
      </c>
      <c r="K315" t="s">
        <v>116</v>
      </c>
      <c r="L315" t="s">
        <v>109</v>
      </c>
      <c r="M315">
        <v>3</v>
      </c>
    </row>
    <row r="316" spans="1:13" x14ac:dyDescent="0.25">
      <c r="A316">
        <v>1401</v>
      </c>
      <c r="B316" t="s">
        <v>424</v>
      </c>
      <c r="C316" t="s">
        <v>68</v>
      </c>
      <c r="D316">
        <v>2019</v>
      </c>
      <c r="E316" t="s">
        <v>425</v>
      </c>
      <c r="F316">
        <v>9000</v>
      </c>
      <c r="G316" t="s">
        <v>33</v>
      </c>
      <c r="H316" t="s">
        <v>69</v>
      </c>
      <c r="I316" t="s">
        <v>59</v>
      </c>
      <c r="J316" t="s">
        <v>36</v>
      </c>
      <c r="K316" t="s">
        <v>37</v>
      </c>
      <c r="L316" t="s">
        <v>38</v>
      </c>
      <c r="M316">
        <v>3</v>
      </c>
    </row>
    <row r="317" spans="1:13" x14ac:dyDescent="0.25">
      <c r="A317">
        <v>1533</v>
      </c>
      <c r="B317" t="s">
        <v>426</v>
      </c>
      <c r="C317" t="s">
        <v>138</v>
      </c>
      <c r="D317">
        <v>2017</v>
      </c>
      <c r="E317">
        <v>2225</v>
      </c>
      <c r="F317">
        <v>7000</v>
      </c>
      <c r="G317">
        <v>25000</v>
      </c>
      <c r="H317" t="s">
        <v>69</v>
      </c>
      <c r="I317" t="s">
        <v>72</v>
      </c>
      <c r="J317" t="s">
        <v>66</v>
      </c>
      <c r="K317" t="s">
        <v>73</v>
      </c>
    </row>
    <row r="318" spans="1:13" x14ac:dyDescent="0.25">
      <c r="A318">
        <v>1369</v>
      </c>
      <c r="B318" t="s">
        <v>427</v>
      </c>
      <c r="C318" t="s">
        <v>32</v>
      </c>
      <c r="D318">
        <v>2018</v>
      </c>
      <c r="E318">
        <v>27553</v>
      </c>
      <c r="F318">
        <v>31000</v>
      </c>
      <c r="G318" t="s">
        <v>108</v>
      </c>
      <c r="H318" t="s">
        <v>84</v>
      </c>
      <c r="I318" t="s">
        <v>42</v>
      </c>
      <c r="J318" t="s">
        <v>43</v>
      </c>
      <c r="K318" t="s">
        <v>44</v>
      </c>
      <c r="L318" t="s">
        <v>126</v>
      </c>
      <c r="M318">
        <v>1</v>
      </c>
    </row>
    <row r="319" spans="1:13" x14ac:dyDescent="0.25">
      <c r="A319">
        <v>1043</v>
      </c>
      <c r="B319" t="s">
        <v>371</v>
      </c>
      <c r="C319" t="s">
        <v>65</v>
      </c>
      <c r="E319">
        <v>6009</v>
      </c>
      <c r="F319">
        <v>9000</v>
      </c>
      <c r="G319">
        <v>60000</v>
      </c>
      <c r="H319" t="s">
        <v>58</v>
      </c>
      <c r="I319" t="s">
        <v>72</v>
      </c>
      <c r="J319" t="s">
        <v>36</v>
      </c>
      <c r="K319" t="s">
        <v>77</v>
      </c>
      <c r="L319" t="s">
        <v>90</v>
      </c>
      <c r="M319">
        <v>3</v>
      </c>
    </row>
    <row r="320" spans="1:13" x14ac:dyDescent="0.25">
      <c r="A320">
        <v>1364</v>
      </c>
      <c r="B320" t="s">
        <v>411</v>
      </c>
      <c r="C320" t="s">
        <v>75</v>
      </c>
      <c r="D320" t="s">
        <v>52</v>
      </c>
      <c r="E320">
        <v>20509</v>
      </c>
      <c r="F320">
        <v>22000</v>
      </c>
      <c r="G320">
        <v>120000</v>
      </c>
      <c r="H320" t="s">
        <v>58</v>
      </c>
      <c r="I320" t="s">
        <v>59</v>
      </c>
      <c r="J320" t="s">
        <v>66</v>
      </c>
      <c r="K320" t="s">
        <v>44</v>
      </c>
      <c r="M320">
        <v>2</v>
      </c>
    </row>
    <row r="321" spans="1:13" x14ac:dyDescent="0.25">
      <c r="A321">
        <v>1137</v>
      </c>
      <c r="B321" t="s">
        <v>428</v>
      </c>
      <c r="C321" t="s">
        <v>138</v>
      </c>
      <c r="D321">
        <v>2017</v>
      </c>
      <c r="E321">
        <v>2906</v>
      </c>
      <c r="F321" t="s">
        <v>147</v>
      </c>
      <c r="G321">
        <v>120000</v>
      </c>
      <c r="H321" t="s">
        <v>69</v>
      </c>
      <c r="J321" t="s">
        <v>43</v>
      </c>
      <c r="K321" t="s">
        <v>77</v>
      </c>
      <c r="L321" t="s">
        <v>90</v>
      </c>
    </row>
    <row r="322" spans="1:13" x14ac:dyDescent="0.25">
      <c r="A322">
        <v>1164</v>
      </c>
      <c r="B322" t="s">
        <v>429</v>
      </c>
      <c r="C322" t="s">
        <v>79</v>
      </c>
      <c r="D322">
        <v>2019</v>
      </c>
      <c r="E322" t="s">
        <v>430</v>
      </c>
      <c r="F322">
        <v>31000</v>
      </c>
      <c r="G322">
        <v>40000</v>
      </c>
      <c r="H322" t="s">
        <v>69</v>
      </c>
      <c r="J322" t="s">
        <v>96</v>
      </c>
      <c r="K322" t="s">
        <v>116</v>
      </c>
      <c r="L322" t="s">
        <v>126</v>
      </c>
    </row>
    <row r="323" spans="1:13" x14ac:dyDescent="0.25">
      <c r="A323">
        <v>1328</v>
      </c>
      <c r="B323" t="s">
        <v>120</v>
      </c>
      <c r="C323" t="s">
        <v>94</v>
      </c>
      <c r="D323">
        <v>2016</v>
      </c>
      <c r="E323">
        <v>3018</v>
      </c>
      <c r="F323">
        <v>7000</v>
      </c>
      <c r="G323">
        <v>80000</v>
      </c>
      <c r="H323" t="s">
        <v>34</v>
      </c>
      <c r="I323" t="s">
        <v>42</v>
      </c>
      <c r="K323" t="s">
        <v>116</v>
      </c>
      <c r="M323">
        <v>1</v>
      </c>
    </row>
    <row r="324" spans="1:13" x14ac:dyDescent="0.25">
      <c r="A324">
        <v>1098</v>
      </c>
      <c r="B324" t="s">
        <v>431</v>
      </c>
      <c r="C324" t="s">
        <v>51</v>
      </c>
      <c r="D324">
        <v>2019</v>
      </c>
      <c r="E324">
        <v>22362</v>
      </c>
      <c r="F324" t="s">
        <v>83</v>
      </c>
      <c r="G324">
        <v>120000</v>
      </c>
      <c r="H324" t="s">
        <v>58</v>
      </c>
      <c r="I324" t="s">
        <v>42</v>
      </c>
      <c r="J324" t="s">
        <v>36</v>
      </c>
      <c r="K324" t="s">
        <v>77</v>
      </c>
      <c r="L324" t="s">
        <v>49</v>
      </c>
      <c r="M324">
        <v>3</v>
      </c>
    </row>
    <row r="325" spans="1:13" x14ac:dyDescent="0.25">
      <c r="A325">
        <v>1501</v>
      </c>
      <c r="B325" t="s">
        <v>432</v>
      </c>
      <c r="C325" t="s">
        <v>47</v>
      </c>
      <c r="D325">
        <v>2015</v>
      </c>
      <c r="E325">
        <v>743</v>
      </c>
      <c r="F325">
        <v>7000</v>
      </c>
      <c r="G325">
        <v>80000</v>
      </c>
      <c r="H325" t="s">
        <v>63</v>
      </c>
      <c r="I325" t="s">
        <v>42</v>
      </c>
      <c r="K325" t="s">
        <v>37</v>
      </c>
      <c r="L325" t="s">
        <v>126</v>
      </c>
      <c r="M325">
        <v>1</v>
      </c>
    </row>
    <row r="326" spans="1:13" x14ac:dyDescent="0.25">
      <c r="A326">
        <v>1571</v>
      </c>
      <c r="B326" t="s">
        <v>141</v>
      </c>
      <c r="C326" t="s">
        <v>133</v>
      </c>
      <c r="D326">
        <v>2015</v>
      </c>
      <c r="E326">
        <v>29503</v>
      </c>
      <c r="F326">
        <v>31000</v>
      </c>
      <c r="G326">
        <v>120000</v>
      </c>
      <c r="H326" t="s">
        <v>41</v>
      </c>
      <c r="J326" t="s">
        <v>96</v>
      </c>
      <c r="L326" t="s">
        <v>126</v>
      </c>
      <c r="M326">
        <v>0</v>
      </c>
    </row>
    <row r="327" spans="1:13" x14ac:dyDescent="0.25">
      <c r="A327">
        <v>1236</v>
      </c>
      <c r="B327" t="s">
        <v>433</v>
      </c>
      <c r="C327" t="s">
        <v>51</v>
      </c>
      <c r="D327">
        <v>2015</v>
      </c>
      <c r="E327">
        <v>13205</v>
      </c>
      <c r="F327">
        <v>15000</v>
      </c>
      <c r="G327">
        <v>80000</v>
      </c>
      <c r="H327" t="s">
        <v>53</v>
      </c>
      <c r="J327" t="s">
        <v>66</v>
      </c>
      <c r="M327">
        <v>3</v>
      </c>
    </row>
    <row r="328" spans="1:13" x14ac:dyDescent="0.25">
      <c r="A328">
        <v>1106</v>
      </c>
      <c r="B328" t="s">
        <v>434</v>
      </c>
      <c r="C328" t="s">
        <v>32</v>
      </c>
      <c r="D328" t="s">
        <v>52</v>
      </c>
      <c r="E328" t="s">
        <v>435</v>
      </c>
      <c r="F328">
        <v>22000</v>
      </c>
      <c r="G328">
        <v>120000</v>
      </c>
      <c r="H328" t="s">
        <v>63</v>
      </c>
      <c r="I328" t="s">
        <v>42</v>
      </c>
      <c r="K328" t="s">
        <v>116</v>
      </c>
      <c r="L328" t="s">
        <v>109</v>
      </c>
      <c r="M328">
        <v>2</v>
      </c>
    </row>
    <row r="329" spans="1:13" x14ac:dyDescent="0.25">
      <c r="A329">
        <v>1246</v>
      </c>
      <c r="B329" t="s">
        <v>436</v>
      </c>
      <c r="C329" t="s">
        <v>61</v>
      </c>
      <c r="D329">
        <v>2019</v>
      </c>
      <c r="E329">
        <v>21473</v>
      </c>
      <c r="F329">
        <v>26000</v>
      </c>
      <c r="G329">
        <v>120000</v>
      </c>
      <c r="H329" t="s">
        <v>69</v>
      </c>
      <c r="I329" t="s">
        <v>72</v>
      </c>
      <c r="J329" t="s">
        <v>43</v>
      </c>
      <c r="K329" t="s">
        <v>116</v>
      </c>
      <c r="L329" t="s">
        <v>98</v>
      </c>
      <c r="M329">
        <v>0</v>
      </c>
    </row>
    <row r="330" spans="1:13" x14ac:dyDescent="0.25">
      <c r="A330">
        <v>1006</v>
      </c>
      <c r="B330" t="s">
        <v>171</v>
      </c>
      <c r="C330" t="s">
        <v>68</v>
      </c>
      <c r="D330">
        <v>2018</v>
      </c>
      <c r="E330">
        <v>4894</v>
      </c>
      <c r="F330">
        <v>7000</v>
      </c>
      <c r="G330">
        <v>80000</v>
      </c>
      <c r="H330" t="s">
        <v>41</v>
      </c>
      <c r="I330" t="s">
        <v>72</v>
      </c>
    </row>
    <row r="331" spans="1:13" x14ac:dyDescent="0.25">
      <c r="A331">
        <v>1141</v>
      </c>
      <c r="B331" t="s">
        <v>437</v>
      </c>
      <c r="C331" t="s">
        <v>164</v>
      </c>
      <c r="D331">
        <v>2015</v>
      </c>
      <c r="E331">
        <v>3087</v>
      </c>
      <c r="F331">
        <v>7000</v>
      </c>
      <c r="G331" t="s">
        <v>92</v>
      </c>
      <c r="H331" t="s">
        <v>69</v>
      </c>
      <c r="I331" t="s">
        <v>72</v>
      </c>
      <c r="J331" t="s">
        <v>36</v>
      </c>
      <c r="K331" t="s">
        <v>48</v>
      </c>
      <c r="L331" t="s">
        <v>38</v>
      </c>
      <c r="M331">
        <v>0</v>
      </c>
    </row>
    <row r="332" spans="1:13" x14ac:dyDescent="0.25">
      <c r="A332">
        <v>1097</v>
      </c>
      <c r="B332" t="s">
        <v>438</v>
      </c>
      <c r="C332" t="s">
        <v>61</v>
      </c>
      <c r="D332">
        <v>2021</v>
      </c>
      <c r="E332">
        <v>5351</v>
      </c>
      <c r="F332">
        <v>12000</v>
      </c>
      <c r="G332">
        <v>60000</v>
      </c>
      <c r="H332" t="s">
        <v>34</v>
      </c>
      <c r="I332" t="s">
        <v>35</v>
      </c>
      <c r="J332" t="s">
        <v>36</v>
      </c>
      <c r="K332" t="s">
        <v>44</v>
      </c>
      <c r="L332" t="s">
        <v>109</v>
      </c>
      <c r="M332">
        <v>3</v>
      </c>
    </row>
    <row r="333" spans="1:13" x14ac:dyDescent="0.25">
      <c r="A333">
        <v>1391</v>
      </c>
      <c r="B333" t="s">
        <v>439</v>
      </c>
      <c r="C333" t="s">
        <v>103</v>
      </c>
      <c r="D333">
        <v>2015</v>
      </c>
      <c r="E333" t="s">
        <v>440</v>
      </c>
      <c r="F333">
        <v>15000</v>
      </c>
      <c r="G333">
        <v>120000</v>
      </c>
      <c r="H333" t="s">
        <v>58</v>
      </c>
      <c r="I333" t="s">
        <v>72</v>
      </c>
      <c r="K333" t="s">
        <v>77</v>
      </c>
      <c r="L333" t="s">
        <v>90</v>
      </c>
      <c r="M333">
        <v>0</v>
      </c>
    </row>
    <row r="334" spans="1:13" x14ac:dyDescent="0.25">
      <c r="A334">
        <v>1403</v>
      </c>
      <c r="B334" t="s">
        <v>441</v>
      </c>
      <c r="C334" t="s">
        <v>94</v>
      </c>
      <c r="D334">
        <v>2021</v>
      </c>
      <c r="E334" t="s">
        <v>442</v>
      </c>
      <c r="F334">
        <v>9000</v>
      </c>
      <c r="G334">
        <v>25000</v>
      </c>
      <c r="H334" t="s">
        <v>41</v>
      </c>
      <c r="J334" t="s">
        <v>43</v>
      </c>
      <c r="K334" t="s">
        <v>54</v>
      </c>
      <c r="L334" t="s">
        <v>49</v>
      </c>
      <c r="M334">
        <v>3</v>
      </c>
    </row>
    <row r="335" spans="1:13" x14ac:dyDescent="0.25">
      <c r="A335">
        <v>1499</v>
      </c>
      <c r="B335" t="s">
        <v>443</v>
      </c>
      <c r="C335" t="s">
        <v>103</v>
      </c>
      <c r="D335">
        <v>2016</v>
      </c>
      <c r="E335">
        <v>6419</v>
      </c>
      <c r="F335">
        <v>12000</v>
      </c>
      <c r="G335">
        <v>60000</v>
      </c>
      <c r="H335" t="s">
        <v>53</v>
      </c>
      <c r="I335" t="s">
        <v>42</v>
      </c>
      <c r="J335" t="s">
        <v>36</v>
      </c>
      <c r="K335" t="s">
        <v>54</v>
      </c>
      <c r="L335" t="s">
        <v>98</v>
      </c>
      <c r="M335">
        <v>2</v>
      </c>
    </row>
    <row r="336" spans="1:13" x14ac:dyDescent="0.25">
      <c r="A336">
        <v>1195</v>
      </c>
      <c r="B336" t="s">
        <v>444</v>
      </c>
      <c r="C336" t="s">
        <v>75</v>
      </c>
      <c r="D336">
        <v>2015</v>
      </c>
      <c r="E336">
        <v>22008</v>
      </c>
      <c r="F336">
        <v>26000</v>
      </c>
      <c r="G336" t="s">
        <v>92</v>
      </c>
      <c r="H336" t="s">
        <v>69</v>
      </c>
      <c r="I336" t="s">
        <v>42</v>
      </c>
      <c r="J336" t="s">
        <v>96</v>
      </c>
      <c r="K336" t="s">
        <v>116</v>
      </c>
      <c r="L336" t="s">
        <v>90</v>
      </c>
      <c r="M336">
        <v>3</v>
      </c>
    </row>
    <row r="337" spans="1:13" x14ac:dyDescent="0.25">
      <c r="A337">
        <v>1087</v>
      </c>
      <c r="B337" t="s">
        <v>437</v>
      </c>
      <c r="C337" t="s">
        <v>68</v>
      </c>
      <c r="D337">
        <v>2017</v>
      </c>
      <c r="E337" t="s">
        <v>445</v>
      </c>
      <c r="F337" t="s">
        <v>89</v>
      </c>
      <c r="G337">
        <v>120000</v>
      </c>
      <c r="H337" t="s">
        <v>58</v>
      </c>
      <c r="I337" t="s">
        <v>72</v>
      </c>
      <c r="J337" t="s">
        <v>36</v>
      </c>
      <c r="K337" t="s">
        <v>44</v>
      </c>
      <c r="L337" t="s">
        <v>49</v>
      </c>
      <c r="M337">
        <v>2</v>
      </c>
    </row>
    <row r="338" spans="1:13" x14ac:dyDescent="0.25">
      <c r="A338">
        <v>1216</v>
      </c>
      <c r="B338" t="s">
        <v>446</v>
      </c>
      <c r="C338" t="s">
        <v>138</v>
      </c>
      <c r="D338">
        <v>2021</v>
      </c>
      <c r="E338">
        <v>4288</v>
      </c>
      <c r="F338">
        <v>7000</v>
      </c>
      <c r="G338">
        <v>40000</v>
      </c>
      <c r="J338" t="s">
        <v>66</v>
      </c>
      <c r="K338" t="s">
        <v>73</v>
      </c>
      <c r="L338" t="s">
        <v>98</v>
      </c>
    </row>
    <row r="339" spans="1:13" x14ac:dyDescent="0.25">
      <c r="A339">
        <v>1277</v>
      </c>
      <c r="B339" t="s">
        <v>339</v>
      </c>
      <c r="C339" t="s">
        <v>68</v>
      </c>
      <c r="D339">
        <v>2018</v>
      </c>
      <c r="E339" t="s">
        <v>447</v>
      </c>
      <c r="F339">
        <v>12000</v>
      </c>
      <c r="G339" t="s">
        <v>76</v>
      </c>
      <c r="H339" t="s">
        <v>34</v>
      </c>
      <c r="I339" t="s">
        <v>72</v>
      </c>
      <c r="J339" t="s">
        <v>96</v>
      </c>
      <c r="K339" t="s">
        <v>37</v>
      </c>
      <c r="L339" t="s">
        <v>126</v>
      </c>
      <c r="M339">
        <v>2</v>
      </c>
    </row>
    <row r="340" spans="1:13" x14ac:dyDescent="0.25">
      <c r="A340">
        <v>1323</v>
      </c>
      <c r="B340" t="s">
        <v>448</v>
      </c>
      <c r="C340" t="s">
        <v>94</v>
      </c>
      <c r="D340">
        <v>2017</v>
      </c>
      <c r="E340">
        <v>19187</v>
      </c>
      <c r="F340">
        <v>26000</v>
      </c>
      <c r="G340" t="s">
        <v>121</v>
      </c>
      <c r="H340" t="s">
        <v>53</v>
      </c>
      <c r="J340" t="s">
        <v>43</v>
      </c>
      <c r="L340" t="s">
        <v>126</v>
      </c>
      <c r="M340">
        <v>0</v>
      </c>
    </row>
    <row r="341" spans="1:13" x14ac:dyDescent="0.25">
      <c r="A341">
        <v>1160</v>
      </c>
      <c r="B341" t="s">
        <v>449</v>
      </c>
      <c r="C341" t="s">
        <v>119</v>
      </c>
      <c r="D341">
        <v>2022</v>
      </c>
      <c r="E341" t="s">
        <v>450</v>
      </c>
      <c r="F341">
        <v>18000</v>
      </c>
      <c r="G341">
        <v>40000</v>
      </c>
      <c r="H341" t="s">
        <v>69</v>
      </c>
      <c r="I341" t="s">
        <v>42</v>
      </c>
      <c r="K341" t="s">
        <v>54</v>
      </c>
      <c r="L341" t="s">
        <v>126</v>
      </c>
      <c r="M341">
        <v>2</v>
      </c>
    </row>
    <row r="342" spans="1:13" x14ac:dyDescent="0.25">
      <c r="A342">
        <v>1402</v>
      </c>
      <c r="B342" t="s">
        <v>451</v>
      </c>
      <c r="C342" t="s">
        <v>94</v>
      </c>
      <c r="D342">
        <v>2014</v>
      </c>
      <c r="E342">
        <v>15758</v>
      </c>
      <c r="F342" t="s">
        <v>129</v>
      </c>
      <c r="G342">
        <v>25000</v>
      </c>
      <c r="H342" t="s">
        <v>53</v>
      </c>
      <c r="I342" t="s">
        <v>59</v>
      </c>
      <c r="J342" t="s">
        <v>66</v>
      </c>
      <c r="K342" t="s">
        <v>100</v>
      </c>
      <c r="L342" t="s">
        <v>98</v>
      </c>
      <c r="M342">
        <v>2</v>
      </c>
    </row>
    <row r="343" spans="1:13" x14ac:dyDescent="0.25">
      <c r="A343">
        <v>1594</v>
      </c>
      <c r="B343" t="s">
        <v>452</v>
      </c>
      <c r="C343" t="s">
        <v>61</v>
      </c>
      <c r="D343">
        <v>2021</v>
      </c>
      <c r="E343">
        <v>5655</v>
      </c>
      <c r="F343">
        <v>12000</v>
      </c>
      <c r="G343">
        <v>25000</v>
      </c>
      <c r="H343" t="s">
        <v>69</v>
      </c>
      <c r="J343" t="s">
        <v>66</v>
      </c>
      <c r="K343" t="s">
        <v>48</v>
      </c>
      <c r="L343" t="s">
        <v>90</v>
      </c>
    </row>
    <row r="344" spans="1:13" x14ac:dyDescent="0.25">
      <c r="A344">
        <v>1188</v>
      </c>
      <c r="B344" t="s">
        <v>453</v>
      </c>
      <c r="C344" t="s">
        <v>57</v>
      </c>
      <c r="D344">
        <v>2019</v>
      </c>
      <c r="E344">
        <v>3634</v>
      </c>
      <c r="F344">
        <v>9000</v>
      </c>
      <c r="G344">
        <v>80000</v>
      </c>
      <c r="H344" t="s">
        <v>63</v>
      </c>
      <c r="I344" t="s">
        <v>59</v>
      </c>
      <c r="J344" t="s">
        <v>43</v>
      </c>
      <c r="K344" t="s">
        <v>54</v>
      </c>
      <c r="L344" t="s">
        <v>55</v>
      </c>
      <c r="M344">
        <v>2</v>
      </c>
    </row>
    <row r="345" spans="1:13" x14ac:dyDescent="0.25">
      <c r="A345">
        <v>1273</v>
      </c>
      <c r="B345" t="s">
        <v>214</v>
      </c>
      <c r="C345" t="s">
        <v>164</v>
      </c>
      <c r="D345">
        <v>2017</v>
      </c>
      <c r="E345">
        <v>6487</v>
      </c>
      <c r="F345">
        <v>9000</v>
      </c>
      <c r="G345">
        <v>25000</v>
      </c>
      <c r="H345" t="s">
        <v>53</v>
      </c>
      <c r="I345" t="s">
        <v>35</v>
      </c>
      <c r="J345" t="s">
        <v>96</v>
      </c>
      <c r="K345" t="s">
        <v>37</v>
      </c>
      <c r="L345" t="s">
        <v>55</v>
      </c>
      <c r="M345">
        <v>1</v>
      </c>
    </row>
    <row r="346" spans="1:13" x14ac:dyDescent="0.25">
      <c r="A346">
        <v>1485</v>
      </c>
      <c r="B346" t="s">
        <v>454</v>
      </c>
      <c r="C346" t="s">
        <v>133</v>
      </c>
      <c r="D346" t="s">
        <v>52</v>
      </c>
      <c r="E346" t="s">
        <v>455</v>
      </c>
      <c r="F346">
        <v>22000</v>
      </c>
      <c r="G346" t="s">
        <v>33</v>
      </c>
      <c r="H346" t="s">
        <v>41</v>
      </c>
      <c r="I346" t="s">
        <v>72</v>
      </c>
      <c r="J346" t="s">
        <v>43</v>
      </c>
      <c r="K346" t="s">
        <v>77</v>
      </c>
      <c r="L346" t="s">
        <v>38</v>
      </c>
      <c r="M346">
        <v>1</v>
      </c>
    </row>
    <row r="347" spans="1:13" x14ac:dyDescent="0.25">
      <c r="A347">
        <v>1468</v>
      </c>
      <c r="B347" t="s">
        <v>456</v>
      </c>
      <c r="C347" t="s">
        <v>75</v>
      </c>
      <c r="D347">
        <v>2016</v>
      </c>
      <c r="E347">
        <v>25987</v>
      </c>
      <c r="F347">
        <v>31000</v>
      </c>
      <c r="G347">
        <v>80000</v>
      </c>
      <c r="H347" t="s">
        <v>34</v>
      </c>
      <c r="I347" t="s">
        <v>72</v>
      </c>
      <c r="J347" t="s">
        <v>43</v>
      </c>
      <c r="M347">
        <v>0</v>
      </c>
    </row>
    <row r="348" spans="1:13" x14ac:dyDescent="0.25">
      <c r="A348">
        <v>1550</v>
      </c>
      <c r="B348" t="s">
        <v>457</v>
      </c>
      <c r="C348" t="s">
        <v>32</v>
      </c>
      <c r="D348">
        <v>2021</v>
      </c>
      <c r="E348">
        <v>27988</v>
      </c>
      <c r="F348">
        <v>31000</v>
      </c>
      <c r="G348">
        <v>15000</v>
      </c>
      <c r="H348" t="s">
        <v>41</v>
      </c>
      <c r="I348" t="s">
        <v>42</v>
      </c>
      <c r="J348" t="s">
        <v>96</v>
      </c>
      <c r="K348" t="s">
        <v>116</v>
      </c>
      <c r="L348" t="s">
        <v>98</v>
      </c>
      <c r="M348">
        <v>2</v>
      </c>
    </row>
    <row r="349" spans="1:13" x14ac:dyDescent="0.25">
      <c r="A349">
        <v>1529</v>
      </c>
      <c r="B349" t="s">
        <v>458</v>
      </c>
      <c r="C349" t="s">
        <v>51</v>
      </c>
      <c r="D349">
        <v>2021</v>
      </c>
      <c r="E349">
        <v>8589</v>
      </c>
      <c r="F349">
        <v>12000</v>
      </c>
      <c r="G349">
        <v>60000</v>
      </c>
      <c r="H349" t="s">
        <v>84</v>
      </c>
      <c r="J349" t="s">
        <v>36</v>
      </c>
      <c r="K349" t="s">
        <v>100</v>
      </c>
      <c r="M349">
        <v>1</v>
      </c>
    </row>
    <row r="350" spans="1:13" x14ac:dyDescent="0.25">
      <c r="A350">
        <v>1464</v>
      </c>
      <c r="B350" t="s">
        <v>459</v>
      </c>
      <c r="C350" t="s">
        <v>94</v>
      </c>
      <c r="D350">
        <v>2020</v>
      </c>
      <c r="E350">
        <v>20796</v>
      </c>
      <c r="F350">
        <v>22000</v>
      </c>
      <c r="G350" t="s">
        <v>92</v>
      </c>
      <c r="I350" t="s">
        <v>35</v>
      </c>
      <c r="J350" t="s">
        <v>96</v>
      </c>
      <c r="K350" t="s">
        <v>44</v>
      </c>
      <c r="L350" t="s">
        <v>90</v>
      </c>
      <c r="M350">
        <v>0</v>
      </c>
    </row>
    <row r="351" spans="1:13" x14ac:dyDescent="0.25">
      <c r="A351">
        <v>1536</v>
      </c>
      <c r="B351" t="s">
        <v>144</v>
      </c>
      <c r="C351" t="s">
        <v>75</v>
      </c>
      <c r="D351">
        <v>2015</v>
      </c>
      <c r="E351">
        <v>27027</v>
      </c>
      <c r="F351">
        <v>31000</v>
      </c>
      <c r="G351">
        <v>120000</v>
      </c>
      <c r="H351" t="s">
        <v>58</v>
      </c>
      <c r="I351" t="s">
        <v>59</v>
      </c>
      <c r="K351" t="s">
        <v>48</v>
      </c>
      <c r="L351" t="s">
        <v>126</v>
      </c>
      <c r="M351">
        <v>1</v>
      </c>
    </row>
    <row r="352" spans="1:13" x14ac:dyDescent="0.25">
      <c r="A352">
        <v>1052</v>
      </c>
      <c r="B352" t="s">
        <v>459</v>
      </c>
      <c r="C352" t="s">
        <v>61</v>
      </c>
      <c r="E352">
        <v>9816</v>
      </c>
      <c r="F352">
        <v>12000</v>
      </c>
      <c r="G352">
        <v>25000</v>
      </c>
      <c r="I352" t="s">
        <v>72</v>
      </c>
      <c r="J352" t="s">
        <v>66</v>
      </c>
      <c r="K352" t="s">
        <v>37</v>
      </c>
      <c r="L352" t="s">
        <v>90</v>
      </c>
      <c r="M352">
        <v>1</v>
      </c>
    </row>
    <row r="353" spans="1:13" x14ac:dyDescent="0.25">
      <c r="A353">
        <v>1510</v>
      </c>
      <c r="B353" t="s">
        <v>460</v>
      </c>
      <c r="C353" t="s">
        <v>40</v>
      </c>
      <c r="E353">
        <v>13243</v>
      </c>
      <c r="F353" t="s">
        <v>129</v>
      </c>
      <c r="G353">
        <v>15000</v>
      </c>
      <c r="H353" t="s">
        <v>53</v>
      </c>
      <c r="I353" t="s">
        <v>42</v>
      </c>
      <c r="K353" t="s">
        <v>116</v>
      </c>
      <c r="L353" t="s">
        <v>55</v>
      </c>
      <c r="M353">
        <v>3</v>
      </c>
    </row>
    <row r="354" spans="1:13" x14ac:dyDescent="0.25">
      <c r="A354">
        <v>1570</v>
      </c>
      <c r="B354" t="s">
        <v>461</v>
      </c>
      <c r="C354" t="s">
        <v>138</v>
      </c>
      <c r="D354">
        <v>2015</v>
      </c>
      <c r="E354">
        <v>1517</v>
      </c>
      <c r="F354">
        <v>7000</v>
      </c>
      <c r="G354" t="s">
        <v>33</v>
      </c>
      <c r="H354" t="s">
        <v>41</v>
      </c>
      <c r="I354" t="s">
        <v>72</v>
      </c>
      <c r="J354" t="s">
        <v>36</v>
      </c>
      <c r="K354" t="s">
        <v>100</v>
      </c>
      <c r="L354" t="s">
        <v>126</v>
      </c>
    </row>
    <row r="355" spans="1:13" x14ac:dyDescent="0.25">
      <c r="A355">
        <v>1182</v>
      </c>
      <c r="B355" t="s">
        <v>462</v>
      </c>
      <c r="C355" t="s">
        <v>51</v>
      </c>
      <c r="D355">
        <v>2019</v>
      </c>
      <c r="E355" t="s">
        <v>463</v>
      </c>
      <c r="F355">
        <v>9000</v>
      </c>
      <c r="G355">
        <v>15000</v>
      </c>
      <c r="H355" t="s">
        <v>58</v>
      </c>
      <c r="I355" t="s">
        <v>59</v>
      </c>
      <c r="K355" t="s">
        <v>44</v>
      </c>
      <c r="L355" t="s">
        <v>126</v>
      </c>
      <c r="M355">
        <v>0</v>
      </c>
    </row>
    <row r="356" spans="1:13" x14ac:dyDescent="0.25">
      <c r="A356">
        <v>1563</v>
      </c>
      <c r="B356" t="s">
        <v>464</v>
      </c>
      <c r="C356" t="s">
        <v>51</v>
      </c>
      <c r="D356">
        <v>2019</v>
      </c>
      <c r="E356" t="s">
        <v>465</v>
      </c>
      <c r="F356">
        <v>22000</v>
      </c>
      <c r="G356" t="s">
        <v>92</v>
      </c>
      <c r="H356" t="s">
        <v>69</v>
      </c>
      <c r="I356" t="s">
        <v>72</v>
      </c>
      <c r="K356" t="s">
        <v>48</v>
      </c>
      <c r="M356">
        <v>1</v>
      </c>
    </row>
    <row r="357" spans="1:13" x14ac:dyDescent="0.25">
      <c r="A357">
        <v>1089</v>
      </c>
      <c r="B357" t="s">
        <v>466</v>
      </c>
      <c r="C357" t="s">
        <v>47</v>
      </c>
      <c r="E357">
        <v>1320</v>
      </c>
      <c r="F357">
        <v>7000</v>
      </c>
      <c r="G357">
        <v>15000</v>
      </c>
      <c r="H357" t="s">
        <v>69</v>
      </c>
      <c r="I357" t="s">
        <v>59</v>
      </c>
      <c r="K357" t="s">
        <v>44</v>
      </c>
      <c r="L357" t="s">
        <v>45</v>
      </c>
    </row>
    <row r="358" spans="1:13" x14ac:dyDescent="0.25">
      <c r="A358">
        <v>1504</v>
      </c>
      <c r="B358" t="s">
        <v>460</v>
      </c>
      <c r="C358" t="s">
        <v>79</v>
      </c>
      <c r="D358">
        <v>2016</v>
      </c>
      <c r="E358">
        <v>24027</v>
      </c>
      <c r="F358">
        <v>31000</v>
      </c>
      <c r="G358" t="s">
        <v>121</v>
      </c>
      <c r="H358" t="s">
        <v>69</v>
      </c>
      <c r="I358" t="s">
        <v>42</v>
      </c>
      <c r="J358" t="s">
        <v>36</v>
      </c>
      <c r="K358" t="s">
        <v>37</v>
      </c>
      <c r="L358" t="s">
        <v>126</v>
      </c>
      <c r="M358">
        <v>3</v>
      </c>
    </row>
    <row r="359" spans="1:13" x14ac:dyDescent="0.25">
      <c r="A359">
        <v>1358</v>
      </c>
      <c r="B359" t="s">
        <v>467</v>
      </c>
      <c r="C359" t="s">
        <v>32</v>
      </c>
      <c r="D359">
        <v>2017</v>
      </c>
      <c r="E359">
        <v>24628</v>
      </c>
      <c r="F359">
        <v>26000</v>
      </c>
      <c r="G359" t="s">
        <v>92</v>
      </c>
      <c r="H359" t="s">
        <v>53</v>
      </c>
      <c r="I359" t="s">
        <v>72</v>
      </c>
      <c r="J359" t="s">
        <v>96</v>
      </c>
      <c r="K359" t="s">
        <v>37</v>
      </c>
      <c r="L359" t="s">
        <v>45</v>
      </c>
      <c r="M359">
        <v>2</v>
      </c>
    </row>
    <row r="360" spans="1:13" x14ac:dyDescent="0.25">
      <c r="A360">
        <v>1405</v>
      </c>
      <c r="B360" t="s">
        <v>451</v>
      </c>
      <c r="C360" t="s">
        <v>61</v>
      </c>
      <c r="D360">
        <v>2014</v>
      </c>
      <c r="E360">
        <v>5270</v>
      </c>
      <c r="F360">
        <v>9000</v>
      </c>
      <c r="G360" t="s">
        <v>108</v>
      </c>
      <c r="H360" t="s">
        <v>58</v>
      </c>
      <c r="I360" t="s">
        <v>42</v>
      </c>
      <c r="J360" t="s">
        <v>96</v>
      </c>
      <c r="K360" t="s">
        <v>44</v>
      </c>
      <c r="L360" t="s">
        <v>55</v>
      </c>
      <c r="M360">
        <v>3</v>
      </c>
    </row>
    <row r="361" spans="1:13" x14ac:dyDescent="0.25">
      <c r="A361">
        <v>1549</v>
      </c>
      <c r="B361" t="s">
        <v>468</v>
      </c>
      <c r="C361" t="s">
        <v>68</v>
      </c>
      <c r="D361" t="s">
        <v>52</v>
      </c>
      <c r="E361">
        <v>9728</v>
      </c>
      <c r="F361">
        <v>12000</v>
      </c>
      <c r="G361">
        <v>60000</v>
      </c>
      <c r="H361" t="s">
        <v>41</v>
      </c>
      <c r="J361" t="s">
        <v>96</v>
      </c>
      <c r="K361" t="s">
        <v>44</v>
      </c>
    </row>
    <row r="362" spans="1:13" x14ac:dyDescent="0.25">
      <c r="A362">
        <v>1287</v>
      </c>
      <c r="B362" t="s">
        <v>469</v>
      </c>
      <c r="C362" t="s">
        <v>40</v>
      </c>
      <c r="D362">
        <v>2017</v>
      </c>
      <c r="E362">
        <v>20458</v>
      </c>
      <c r="F362">
        <v>22000</v>
      </c>
      <c r="G362">
        <v>40000</v>
      </c>
      <c r="H362" t="s">
        <v>58</v>
      </c>
      <c r="K362" t="s">
        <v>48</v>
      </c>
      <c r="L362" t="s">
        <v>90</v>
      </c>
    </row>
    <row r="363" spans="1:13" x14ac:dyDescent="0.25">
      <c r="A363">
        <v>1423</v>
      </c>
      <c r="B363" t="s">
        <v>470</v>
      </c>
      <c r="C363" t="s">
        <v>32</v>
      </c>
      <c r="D363">
        <v>2018</v>
      </c>
      <c r="E363" t="s">
        <v>471</v>
      </c>
      <c r="F363">
        <v>22000</v>
      </c>
      <c r="G363">
        <v>120000</v>
      </c>
      <c r="H363" t="s">
        <v>69</v>
      </c>
      <c r="I363" t="s">
        <v>42</v>
      </c>
      <c r="K363" t="s">
        <v>54</v>
      </c>
      <c r="L363" t="s">
        <v>90</v>
      </c>
      <c r="M363">
        <v>0</v>
      </c>
    </row>
    <row r="364" spans="1:13" x14ac:dyDescent="0.25">
      <c r="A364">
        <v>1025</v>
      </c>
      <c r="B364" t="s">
        <v>472</v>
      </c>
      <c r="C364" t="s">
        <v>79</v>
      </c>
      <c r="D364">
        <v>2014</v>
      </c>
      <c r="E364">
        <v>10365</v>
      </c>
      <c r="F364">
        <v>15000</v>
      </c>
      <c r="G364" t="s">
        <v>76</v>
      </c>
      <c r="H364" t="s">
        <v>63</v>
      </c>
      <c r="I364" t="s">
        <v>59</v>
      </c>
      <c r="K364" t="s">
        <v>54</v>
      </c>
      <c r="L364" t="s">
        <v>109</v>
      </c>
      <c r="M364">
        <v>1</v>
      </c>
    </row>
    <row r="365" spans="1:13" x14ac:dyDescent="0.25">
      <c r="A365">
        <v>1470</v>
      </c>
      <c r="B365" t="s">
        <v>473</v>
      </c>
      <c r="C365" t="s">
        <v>32</v>
      </c>
      <c r="D365">
        <v>2022</v>
      </c>
      <c r="E365">
        <v>5065</v>
      </c>
      <c r="F365">
        <v>12000</v>
      </c>
      <c r="G365" t="s">
        <v>33</v>
      </c>
      <c r="H365" t="s">
        <v>69</v>
      </c>
      <c r="I365" t="s">
        <v>35</v>
      </c>
      <c r="K365" t="s">
        <v>37</v>
      </c>
      <c r="L365" t="s">
        <v>109</v>
      </c>
      <c r="M365">
        <v>3</v>
      </c>
    </row>
    <row r="366" spans="1:13" x14ac:dyDescent="0.25">
      <c r="A366">
        <v>1214</v>
      </c>
      <c r="B366" t="s">
        <v>474</v>
      </c>
      <c r="C366" t="s">
        <v>68</v>
      </c>
      <c r="D366">
        <v>2015</v>
      </c>
      <c r="E366">
        <v>12269</v>
      </c>
      <c r="F366">
        <v>18000</v>
      </c>
      <c r="G366">
        <v>15000</v>
      </c>
      <c r="H366" t="s">
        <v>63</v>
      </c>
      <c r="I366" t="s">
        <v>59</v>
      </c>
      <c r="J366" t="s">
        <v>36</v>
      </c>
      <c r="K366" t="s">
        <v>54</v>
      </c>
      <c r="L366" t="s">
        <v>90</v>
      </c>
      <c r="M366">
        <v>1</v>
      </c>
    </row>
    <row r="367" spans="1:13" x14ac:dyDescent="0.25">
      <c r="A367">
        <v>1104</v>
      </c>
      <c r="B367" t="s">
        <v>475</v>
      </c>
      <c r="C367" t="s">
        <v>65</v>
      </c>
      <c r="D367">
        <v>2015</v>
      </c>
      <c r="E367">
        <v>1416</v>
      </c>
      <c r="F367">
        <v>7000</v>
      </c>
      <c r="G367">
        <v>80000</v>
      </c>
      <c r="H367" t="s">
        <v>58</v>
      </c>
      <c r="I367" t="s">
        <v>72</v>
      </c>
      <c r="K367" t="s">
        <v>77</v>
      </c>
      <c r="L367" t="s">
        <v>90</v>
      </c>
      <c r="M367">
        <v>0</v>
      </c>
    </row>
    <row r="368" spans="1:13" x14ac:dyDescent="0.25">
      <c r="A368">
        <v>1133</v>
      </c>
      <c r="B368" t="s">
        <v>476</v>
      </c>
      <c r="C368" t="s">
        <v>51</v>
      </c>
      <c r="E368" t="s">
        <v>477</v>
      </c>
      <c r="F368">
        <v>22000</v>
      </c>
      <c r="G368" t="s">
        <v>121</v>
      </c>
      <c r="H368" t="s">
        <v>34</v>
      </c>
      <c r="I368" t="s">
        <v>35</v>
      </c>
      <c r="J368" t="s">
        <v>36</v>
      </c>
      <c r="K368" t="s">
        <v>48</v>
      </c>
      <c r="L368" t="s">
        <v>98</v>
      </c>
      <c r="M368">
        <v>1</v>
      </c>
    </row>
    <row r="369" spans="1:13" x14ac:dyDescent="0.25">
      <c r="A369">
        <v>1546</v>
      </c>
      <c r="B369" t="s">
        <v>443</v>
      </c>
      <c r="C369" t="s">
        <v>138</v>
      </c>
      <c r="E369" t="s">
        <v>478</v>
      </c>
      <c r="F369">
        <v>22000</v>
      </c>
      <c r="G369">
        <v>40000</v>
      </c>
      <c r="H369" t="s">
        <v>58</v>
      </c>
      <c r="I369" t="s">
        <v>35</v>
      </c>
      <c r="J369" t="s">
        <v>43</v>
      </c>
      <c r="K369" t="s">
        <v>37</v>
      </c>
      <c r="L369" t="s">
        <v>55</v>
      </c>
      <c r="M369">
        <v>2</v>
      </c>
    </row>
    <row r="370" spans="1:13" x14ac:dyDescent="0.25">
      <c r="A370">
        <v>1372</v>
      </c>
      <c r="B370" t="s">
        <v>479</v>
      </c>
      <c r="C370" t="s">
        <v>138</v>
      </c>
      <c r="D370">
        <v>2021</v>
      </c>
      <c r="E370">
        <v>12823</v>
      </c>
      <c r="F370">
        <v>15000</v>
      </c>
      <c r="G370">
        <v>25000</v>
      </c>
      <c r="H370" t="s">
        <v>63</v>
      </c>
      <c r="I370" t="s">
        <v>59</v>
      </c>
      <c r="J370" t="s">
        <v>43</v>
      </c>
      <c r="K370" t="s">
        <v>73</v>
      </c>
      <c r="L370" t="s">
        <v>49</v>
      </c>
      <c r="M370">
        <v>3</v>
      </c>
    </row>
    <row r="371" spans="1:13" x14ac:dyDescent="0.25">
      <c r="A371">
        <v>1356</v>
      </c>
      <c r="B371" t="s">
        <v>480</v>
      </c>
      <c r="C371" t="s">
        <v>32</v>
      </c>
      <c r="D371">
        <v>2019</v>
      </c>
      <c r="E371">
        <v>28601</v>
      </c>
      <c r="F371" t="s">
        <v>87</v>
      </c>
      <c r="G371" t="s">
        <v>92</v>
      </c>
      <c r="H371" t="s">
        <v>84</v>
      </c>
      <c r="I371" t="s">
        <v>72</v>
      </c>
      <c r="K371" t="s">
        <v>37</v>
      </c>
      <c r="L371" t="s">
        <v>45</v>
      </c>
    </row>
    <row r="372" spans="1:13" x14ac:dyDescent="0.25">
      <c r="A372">
        <v>1561</v>
      </c>
      <c r="B372" t="s">
        <v>481</v>
      </c>
      <c r="C372" t="s">
        <v>138</v>
      </c>
      <c r="D372">
        <v>2020</v>
      </c>
      <c r="E372" t="s">
        <v>482</v>
      </c>
      <c r="F372">
        <v>26000</v>
      </c>
      <c r="G372" t="s">
        <v>33</v>
      </c>
      <c r="H372" t="s">
        <v>53</v>
      </c>
      <c r="J372" t="s">
        <v>43</v>
      </c>
      <c r="K372" t="s">
        <v>48</v>
      </c>
      <c r="L372" t="s">
        <v>109</v>
      </c>
    </row>
    <row r="373" spans="1:13" x14ac:dyDescent="0.25">
      <c r="A373">
        <v>1498</v>
      </c>
      <c r="B373" t="s">
        <v>483</v>
      </c>
      <c r="C373" t="s">
        <v>119</v>
      </c>
      <c r="D373">
        <v>2016</v>
      </c>
      <c r="E373" t="s">
        <v>484</v>
      </c>
      <c r="F373">
        <v>9000</v>
      </c>
      <c r="G373">
        <v>120000</v>
      </c>
      <c r="H373" t="s">
        <v>84</v>
      </c>
      <c r="I373" t="s">
        <v>59</v>
      </c>
      <c r="J373" t="s">
        <v>66</v>
      </c>
      <c r="K373" t="s">
        <v>54</v>
      </c>
      <c r="L373" t="s">
        <v>98</v>
      </c>
      <c r="M373">
        <v>0</v>
      </c>
    </row>
    <row r="374" spans="1:13" x14ac:dyDescent="0.25">
      <c r="A374">
        <v>1092</v>
      </c>
      <c r="B374" t="s">
        <v>485</v>
      </c>
      <c r="C374" t="s">
        <v>32</v>
      </c>
      <c r="D374" t="s">
        <v>52</v>
      </c>
      <c r="E374">
        <v>20951</v>
      </c>
      <c r="F374" t="s">
        <v>83</v>
      </c>
      <c r="G374">
        <v>40000</v>
      </c>
      <c r="H374" t="s">
        <v>41</v>
      </c>
      <c r="I374" t="s">
        <v>42</v>
      </c>
      <c r="J374" t="s">
        <v>66</v>
      </c>
      <c r="K374" t="s">
        <v>116</v>
      </c>
      <c r="M374">
        <v>2</v>
      </c>
    </row>
    <row r="375" spans="1:13" x14ac:dyDescent="0.25">
      <c r="A375">
        <v>1306</v>
      </c>
      <c r="B375" t="s">
        <v>486</v>
      </c>
      <c r="C375" t="s">
        <v>94</v>
      </c>
      <c r="E375">
        <v>28316</v>
      </c>
      <c r="F375">
        <v>31000</v>
      </c>
      <c r="G375">
        <v>25000</v>
      </c>
      <c r="H375" t="s">
        <v>34</v>
      </c>
      <c r="I375" t="s">
        <v>72</v>
      </c>
      <c r="J375" t="s">
        <v>36</v>
      </c>
      <c r="K375" t="s">
        <v>73</v>
      </c>
      <c r="M375">
        <v>3</v>
      </c>
    </row>
    <row r="376" spans="1:13" x14ac:dyDescent="0.25">
      <c r="A376">
        <v>1000</v>
      </c>
      <c r="B376" t="s">
        <v>487</v>
      </c>
      <c r="C376" t="s">
        <v>164</v>
      </c>
      <c r="D376">
        <v>2018</v>
      </c>
      <c r="E376">
        <v>1504</v>
      </c>
      <c r="F376">
        <v>7000</v>
      </c>
      <c r="G376">
        <v>40000</v>
      </c>
      <c r="H376" t="s">
        <v>69</v>
      </c>
      <c r="I376" t="s">
        <v>35</v>
      </c>
      <c r="J376" t="s">
        <v>66</v>
      </c>
      <c r="K376" t="s">
        <v>48</v>
      </c>
      <c r="L376" t="s">
        <v>98</v>
      </c>
      <c r="M376">
        <v>2</v>
      </c>
    </row>
    <row r="377" spans="1:13" x14ac:dyDescent="0.25">
      <c r="A377">
        <v>1177</v>
      </c>
      <c r="B377" t="s">
        <v>338</v>
      </c>
      <c r="C377" t="s">
        <v>94</v>
      </c>
      <c r="D377">
        <v>2020</v>
      </c>
      <c r="E377">
        <v>20535</v>
      </c>
      <c r="F377">
        <v>26000</v>
      </c>
      <c r="G377">
        <v>60000</v>
      </c>
      <c r="H377" t="s">
        <v>63</v>
      </c>
      <c r="I377" t="s">
        <v>59</v>
      </c>
      <c r="J377" t="s">
        <v>66</v>
      </c>
      <c r="K377" t="s">
        <v>54</v>
      </c>
      <c r="L377" t="s">
        <v>90</v>
      </c>
      <c r="M377">
        <v>1</v>
      </c>
    </row>
    <row r="378" spans="1:13" x14ac:dyDescent="0.25">
      <c r="A378">
        <v>1447</v>
      </c>
      <c r="B378" t="s">
        <v>488</v>
      </c>
      <c r="C378" t="s">
        <v>40</v>
      </c>
      <c r="D378">
        <v>2015</v>
      </c>
      <c r="E378">
        <v>91</v>
      </c>
      <c r="F378" t="s">
        <v>147</v>
      </c>
      <c r="G378" t="s">
        <v>33</v>
      </c>
      <c r="H378" t="s">
        <v>34</v>
      </c>
      <c r="I378" t="s">
        <v>59</v>
      </c>
      <c r="K378" t="s">
        <v>48</v>
      </c>
      <c r="L378" t="s">
        <v>90</v>
      </c>
      <c r="M378">
        <v>3</v>
      </c>
    </row>
    <row r="379" spans="1:13" x14ac:dyDescent="0.25">
      <c r="A379">
        <v>1190</v>
      </c>
      <c r="B379" t="s">
        <v>489</v>
      </c>
      <c r="C379" t="s">
        <v>103</v>
      </c>
      <c r="D379">
        <v>2022</v>
      </c>
      <c r="E379">
        <v>27090</v>
      </c>
      <c r="F379" t="s">
        <v>87</v>
      </c>
      <c r="G379">
        <v>60000</v>
      </c>
      <c r="H379" t="s">
        <v>53</v>
      </c>
      <c r="J379" t="s">
        <v>96</v>
      </c>
      <c r="K379" t="s">
        <v>48</v>
      </c>
    </row>
    <row r="380" spans="1:13" x14ac:dyDescent="0.25">
      <c r="A380">
        <v>1115</v>
      </c>
      <c r="B380" t="s">
        <v>490</v>
      </c>
      <c r="C380" t="s">
        <v>79</v>
      </c>
      <c r="D380">
        <v>2014</v>
      </c>
      <c r="E380">
        <v>2042</v>
      </c>
      <c r="F380">
        <v>7000</v>
      </c>
      <c r="G380" t="s">
        <v>121</v>
      </c>
      <c r="H380" t="s">
        <v>69</v>
      </c>
      <c r="I380" t="s">
        <v>59</v>
      </c>
      <c r="K380" t="s">
        <v>37</v>
      </c>
    </row>
    <row r="381" spans="1:13" x14ac:dyDescent="0.25">
      <c r="A381">
        <v>1552</v>
      </c>
      <c r="B381" t="s">
        <v>491</v>
      </c>
      <c r="C381" t="s">
        <v>75</v>
      </c>
      <c r="D381">
        <v>2017</v>
      </c>
      <c r="E381">
        <v>24563</v>
      </c>
      <c r="F381">
        <v>31000</v>
      </c>
      <c r="G381" t="s">
        <v>108</v>
      </c>
      <c r="H381" t="s">
        <v>63</v>
      </c>
      <c r="J381" t="s">
        <v>36</v>
      </c>
      <c r="K381" t="s">
        <v>116</v>
      </c>
      <c r="L381" t="s">
        <v>55</v>
      </c>
    </row>
    <row r="382" spans="1:13" x14ac:dyDescent="0.25">
      <c r="A382">
        <v>1296</v>
      </c>
      <c r="B382" t="s">
        <v>492</v>
      </c>
      <c r="C382" t="s">
        <v>133</v>
      </c>
      <c r="E382" t="s">
        <v>493</v>
      </c>
      <c r="F382">
        <v>22000</v>
      </c>
      <c r="G382">
        <v>60000</v>
      </c>
      <c r="H382" t="s">
        <v>69</v>
      </c>
      <c r="J382" t="s">
        <v>96</v>
      </c>
      <c r="K382" t="s">
        <v>73</v>
      </c>
      <c r="L382" t="s">
        <v>55</v>
      </c>
    </row>
    <row r="383" spans="1:13" x14ac:dyDescent="0.25">
      <c r="A383">
        <v>1293</v>
      </c>
      <c r="B383" t="s">
        <v>494</v>
      </c>
      <c r="C383" t="s">
        <v>57</v>
      </c>
      <c r="E383">
        <v>3610</v>
      </c>
      <c r="F383" t="s">
        <v>147</v>
      </c>
      <c r="G383" t="s">
        <v>108</v>
      </c>
      <c r="H383" t="s">
        <v>69</v>
      </c>
      <c r="I383" t="s">
        <v>72</v>
      </c>
      <c r="J383" t="s">
        <v>66</v>
      </c>
      <c r="K383" t="s">
        <v>54</v>
      </c>
      <c r="L383" t="s">
        <v>45</v>
      </c>
      <c r="M383">
        <v>2</v>
      </c>
    </row>
    <row r="384" spans="1:13" x14ac:dyDescent="0.25">
      <c r="A384">
        <v>1378</v>
      </c>
      <c r="B384" t="s">
        <v>495</v>
      </c>
      <c r="C384" t="s">
        <v>40</v>
      </c>
      <c r="D384">
        <v>2015</v>
      </c>
      <c r="E384">
        <v>9762</v>
      </c>
      <c r="F384">
        <v>12000</v>
      </c>
      <c r="G384">
        <v>80000</v>
      </c>
      <c r="I384" t="s">
        <v>42</v>
      </c>
      <c r="K384" t="s">
        <v>73</v>
      </c>
      <c r="L384" t="s">
        <v>109</v>
      </c>
      <c r="M384">
        <v>0</v>
      </c>
    </row>
    <row r="385" spans="1:13" x14ac:dyDescent="0.25">
      <c r="A385">
        <v>1243</v>
      </c>
      <c r="B385" t="s">
        <v>496</v>
      </c>
      <c r="C385" t="s">
        <v>164</v>
      </c>
      <c r="E385">
        <v>7618</v>
      </c>
      <c r="F385">
        <v>12000</v>
      </c>
      <c r="G385" t="s">
        <v>92</v>
      </c>
      <c r="H385" t="s">
        <v>63</v>
      </c>
      <c r="I385" t="s">
        <v>35</v>
      </c>
      <c r="J385" t="s">
        <v>96</v>
      </c>
      <c r="K385" t="s">
        <v>37</v>
      </c>
      <c r="L385" t="s">
        <v>126</v>
      </c>
      <c r="M385">
        <v>1</v>
      </c>
    </row>
    <row r="386" spans="1:13" x14ac:dyDescent="0.25">
      <c r="A386">
        <v>1239</v>
      </c>
      <c r="B386" t="s">
        <v>230</v>
      </c>
      <c r="C386" t="s">
        <v>138</v>
      </c>
      <c r="D386">
        <v>2020</v>
      </c>
      <c r="E386">
        <v>26099</v>
      </c>
      <c r="F386">
        <v>31000</v>
      </c>
      <c r="G386">
        <v>40000</v>
      </c>
      <c r="H386" t="s">
        <v>58</v>
      </c>
      <c r="J386" t="s">
        <v>43</v>
      </c>
      <c r="K386" t="s">
        <v>73</v>
      </c>
      <c r="L386" t="s">
        <v>45</v>
      </c>
      <c r="M386">
        <v>3</v>
      </c>
    </row>
    <row r="387" spans="1:13" x14ac:dyDescent="0.25">
      <c r="A387">
        <v>1099</v>
      </c>
      <c r="B387" t="s">
        <v>497</v>
      </c>
      <c r="C387" t="s">
        <v>94</v>
      </c>
      <c r="D387" t="s">
        <v>52</v>
      </c>
      <c r="E387">
        <v>15406</v>
      </c>
      <c r="F387">
        <v>22000</v>
      </c>
      <c r="G387">
        <v>80000</v>
      </c>
      <c r="H387" t="s">
        <v>34</v>
      </c>
      <c r="J387" t="s">
        <v>96</v>
      </c>
      <c r="K387" t="s">
        <v>44</v>
      </c>
      <c r="L387" t="s">
        <v>45</v>
      </c>
      <c r="M387">
        <v>2</v>
      </c>
    </row>
    <row r="388" spans="1:13" x14ac:dyDescent="0.25">
      <c r="A388">
        <v>1199</v>
      </c>
      <c r="B388" t="s">
        <v>498</v>
      </c>
      <c r="C388" t="s">
        <v>32</v>
      </c>
      <c r="D388">
        <v>2018</v>
      </c>
      <c r="E388">
        <v>19469</v>
      </c>
      <c r="F388">
        <v>26000</v>
      </c>
      <c r="G388">
        <v>60000</v>
      </c>
      <c r="H388" t="s">
        <v>63</v>
      </c>
      <c r="J388" t="s">
        <v>36</v>
      </c>
      <c r="K388" t="s">
        <v>73</v>
      </c>
      <c r="L388" t="s">
        <v>49</v>
      </c>
      <c r="M388">
        <v>0</v>
      </c>
    </row>
    <row r="389" spans="1:13" x14ac:dyDescent="0.25">
      <c r="A389">
        <v>1224</v>
      </c>
      <c r="B389" t="s">
        <v>412</v>
      </c>
      <c r="C389" t="s">
        <v>103</v>
      </c>
      <c r="D389">
        <v>2015</v>
      </c>
      <c r="E389">
        <v>4347</v>
      </c>
      <c r="F389">
        <v>9000</v>
      </c>
      <c r="G389" t="s">
        <v>108</v>
      </c>
      <c r="H389" t="s">
        <v>84</v>
      </c>
      <c r="I389" t="s">
        <v>35</v>
      </c>
      <c r="K389" t="s">
        <v>77</v>
      </c>
      <c r="L389" t="s">
        <v>49</v>
      </c>
      <c r="M389">
        <v>0</v>
      </c>
    </row>
    <row r="390" spans="1:13" x14ac:dyDescent="0.25">
      <c r="A390">
        <v>1189</v>
      </c>
      <c r="B390" t="s">
        <v>499</v>
      </c>
      <c r="C390" t="s">
        <v>75</v>
      </c>
      <c r="E390">
        <v>5623</v>
      </c>
      <c r="F390">
        <v>12000</v>
      </c>
      <c r="G390">
        <v>60000</v>
      </c>
      <c r="I390" t="s">
        <v>35</v>
      </c>
      <c r="J390" t="s">
        <v>43</v>
      </c>
      <c r="K390" t="s">
        <v>54</v>
      </c>
      <c r="L390" t="s">
        <v>98</v>
      </c>
      <c r="M390">
        <v>2</v>
      </c>
    </row>
    <row r="391" spans="1:13" x14ac:dyDescent="0.25">
      <c r="A391">
        <v>1397</v>
      </c>
      <c r="B391" t="s">
        <v>500</v>
      </c>
      <c r="C391" t="s">
        <v>65</v>
      </c>
      <c r="D391">
        <v>2016</v>
      </c>
      <c r="E391">
        <v>7489</v>
      </c>
      <c r="F391" t="s">
        <v>81</v>
      </c>
      <c r="G391">
        <v>40000</v>
      </c>
      <c r="H391" t="s">
        <v>69</v>
      </c>
      <c r="I391" t="s">
        <v>42</v>
      </c>
      <c r="J391" t="s">
        <v>43</v>
      </c>
      <c r="K391" t="s">
        <v>37</v>
      </c>
      <c r="L391" t="s">
        <v>55</v>
      </c>
      <c r="M391">
        <v>1</v>
      </c>
    </row>
    <row r="392" spans="1:13" x14ac:dyDescent="0.25">
      <c r="A392">
        <v>1441</v>
      </c>
      <c r="B392" t="s">
        <v>265</v>
      </c>
      <c r="C392" t="s">
        <v>94</v>
      </c>
      <c r="D392">
        <v>2016</v>
      </c>
      <c r="E392">
        <v>28822</v>
      </c>
      <c r="F392">
        <v>31000</v>
      </c>
      <c r="G392">
        <v>15000</v>
      </c>
      <c r="H392" t="s">
        <v>69</v>
      </c>
      <c r="I392" t="s">
        <v>35</v>
      </c>
      <c r="J392" t="s">
        <v>36</v>
      </c>
      <c r="K392" t="s">
        <v>37</v>
      </c>
      <c r="L392" t="s">
        <v>49</v>
      </c>
    </row>
    <row r="393" spans="1:13" x14ac:dyDescent="0.25">
      <c r="A393">
        <v>1038</v>
      </c>
      <c r="B393" t="s">
        <v>501</v>
      </c>
      <c r="C393" t="s">
        <v>65</v>
      </c>
      <c r="D393">
        <v>2021</v>
      </c>
      <c r="E393">
        <v>4781</v>
      </c>
      <c r="F393">
        <v>7000</v>
      </c>
      <c r="G393">
        <v>60000</v>
      </c>
      <c r="H393" t="s">
        <v>34</v>
      </c>
      <c r="J393" t="s">
        <v>36</v>
      </c>
      <c r="L393" t="s">
        <v>55</v>
      </c>
      <c r="M393">
        <v>3</v>
      </c>
    </row>
    <row r="394" spans="1:13" x14ac:dyDescent="0.25">
      <c r="A394">
        <v>1393</v>
      </c>
      <c r="B394" t="s">
        <v>502</v>
      </c>
      <c r="C394" t="s">
        <v>103</v>
      </c>
      <c r="D394">
        <v>2020</v>
      </c>
      <c r="E394">
        <v>6150</v>
      </c>
      <c r="F394">
        <v>9000</v>
      </c>
      <c r="G394">
        <v>80000</v>
      </c>
      <c r="H394" t="s">
        <v>63</v>
      </c>
      <c r="I394" t="s">
        <v>72</v>
      </c>
      <c r="J394" t="s">
        <v>96</v>
      </c>
      <c r="K394" t="s">
        <v>48</v>
      </c>
      <c r="L394" t="s">
        <v>126</v>
      </c>
      <c r="M394">
        <v>0</v>
      </c>
    </row>
    <row r="395" spans="1:13" x14ac:dyDescent="0.25">
      <c r="A395">
        <v>1207</v>
      </c>
      <c r="B395" t="s">
        <v>441</v>
      </c>
      <c r="C395" t="s">
        <v>79</v>
      </c>
      <c r="D395">
        <v>2022</v>
      </c>
      <c r="E395" t="s">
        <v>503</v>
      </c>
      <c r="F395" t="s">
        <v>115</v>
      </c>
      <c r="G395">
        <v>15000</v>
      </c>
      <c r="H395" t="s">
        <v>53</v>
      </c>
      <c r="I395" t="s">
        <v>72</v>
      </c>
      <c r="J395" t="s">
        <v>43</v>
      </c>
      <c r="K395" t="s">
        <v>37</v>
      </c>
      <c r="L395" t="s">
        <v>109</v>
      </c>
      <c r="M395">
        <v>3</v>
      </c>
    </row>
    <row r="396" spans="1:13" x14ac:dyDescent="0.25">
      <c r="A396">
        <v>1036</v>
      </c>
      <c r="B396" t="s">
        <v>504</v>
      </c>
      <c r="C396" t="s">
        <v>75</v>
      </c>
      <c r="D396" t="s">
        <v>52</v>
      </c>
      <c r="E396" t="s">
        <v>505</v>
      </c>
      <c r="F396">
        <v>31000</v>
      </c>
      <c r="G396">
        <v>120000</v>
      </c>
      <c r="I396" t="s">
        <v>59</v>
      </c>
      <c r="J396" t="s">
        <v>36</v>
      </c>
      <c r="L396" t="s">
        <v>45</v>
      </c>
      <c r="M396">
        <v>3</v>
      </c>
    </row>
    <row r="397" spans="1:13" x14ac:dyDescent="0.25">
      <c r="A397">
        <v>1043</v>
      </c>
      <c r="B397" t="s">
        <v>293</v>
      </c>
      <c r="C397" t="s">
        <v>138</v>
      </c>
      <c r="D397">
        <v>2014</v>
      </c>
      <c r="E397">
        <v>5541</v>
      </c>
      <c r="F397">
        <v>7000</v>
      </c>
      <c r="G397">
        <v>40000</v>
      </c>
      <c r="J397" t="s">
        <v>66</v>
      </c>
      <c r="K397" t="s">
        <v>77</v>
      </c>
      <c r="L397" t="s">
        <v>49</v>
      </c>
      <c r="M397">
        <v>0</v>
      </c>
    </row>
    <row r="398" spans="1:13" x14ac:dyDescent="0.25">
      <c r="A398">
        <v>1248</v>
      </c>
      <c r="B398" t="s">
        <v>220</v>
      </c>
      <c r="C398" t="s">
        <v>164</v>
      </c>
      <c r="D398">
        <v>2021</v>
      </c>
      <c r="E398">
        <v>935</v>
      </c>
      <c r="F398" t="s">
        <v>147</v>
      </c>
      <c r="G398" t="s">
        <v>92</v>
      </c>
      <c r="H398" t="s">
        <v>41</v>
      </c>
      <c r="I398" t="s">
        <v>72</v>
      </c>
      <c r="J398" t="s">
        <v>36</v>
      </c>
      <c r="K398" t="s">
        <v>116</v>
      </c>
      <c r="L398" t="s">
        <v>90</v>
      </c>
    </row>
    <row r="399" spans="1:13" x14ac:dyDescent="0.25">
      <c r="A399">
        <v>1064</v>
      </c>
      <c r="B399" t="s">
        <v>506</v>
      </c>
      <c r="C399" t="s">
        <v>75</v>
      </c>
      <c r="D399">
        <v>2015</v>
      </c>
      <c r="E399">
        <v>3126</v>
      </c>
      <c r="F399">
        <v>9000</v>
      </c>
      <c r="G399">
        <v>60000</v>
      </c>
      <c r="H399" t="s">
        <v>34</v>
      </c>
      <c r="I399" t="s">
        <v>72</v>
      </c>
      <c r="J399" t="s">
        <v>36</v>
      </c>
      <c r="L399" t="s">
        <v>90</v>
      </c>
      <c r="M399">
        <v>2</v>
      </c>
    </row>
    <row r="400" spans="1:13" x14ac:dyDescent="0.25">
      <c r="A400">
        <v>1280</v>
      </c>
      <c r="B400" t="s">
        <v>131</v>
      </c>
      <c r="C400" t="s">
        <v>47</v>
      </c>
      <c r="D400">
        <v>2014</v>
      </c>
      <c r="E400" t="s">
        <v>507</v>
      </c>
      <c r="F400">
        <v>12000</v>
      </c>
      <c r="G400">
        <v>40000</v>
      </c>
      <c r="H400" t="s">
        <v>58</v>
      </c>
      <c r="I400" t="s">
        <v>59</v>
      </c>
      <c r="J400" t="s">
        <v>66</v>
      </c>
      <c r="K400" t="s">
        <v>73</v>
      </c>
      <c r="L400" t="s">
        <v>90</v>
      </c>
      <c r="M400">
        <v>0</v>
      </c>
    </row>
    <row r="401" spans="1:13" x14ac:dyDescent="0.25">
      <c r="A401">
        <v>1007</v>
      </c>
      <c r="B401" t="s">
        <v>273</v>
      </c>
      <c r="C401" t="s">
        <v>94</v>
      </c>
      <c r="D401">
        <v>2016</v>
      </c>
      <c r="E401" t="s">
        <v>508</v>
      </c>
      <c r="F401" t="s">
        <v>147</v>
      </c>
      <c r="G401">
        <v>60000</v>
      </c>
      <c r="H401" t="s">
        <v>69</v>
      </c>
      <c r="I401" t="s">
        <v>59</v>
      </c>
      <c r="J401" t="s">
        <v>43</v>
      </c>
      <c r="K401" t="s">
        <v>100</v>
      </c>
      <c r="L401" t="s">
        <v>38</v>
      </c>
    </row>
    <row r="402" spans="1:13" x14ac:dyDescent="0.25">
      <c r="A402">
        <v>1038</v>
      </c>
      <c r="B402" t="s">
        <v>509</v>
      </c>
      <c r="C402" t="s">
        <v>65</v>
      </c>
      <c r="D402">
        <v>2022</v>
      </c>
      <c r="E402">
        <v>28041</v>
      </c>
      <c r="F402">
        <v>31000</v>
      </c>
      <c r="G402">
        <v>60000</v>
      </c>
      <c r="H402" t="s">
        <v>84</v>
      </c>
      <c r="I402" t="s">
        <v>72</v>
      </c>
      <c r="J402" t="s">
        <v>96</v>
      </c>
      <c r="K402" t="s">
        <v>48</v>
      </c>
      <c r="L402" t="s">
        <v>126</v>
      </c>
    </row>
    <row r="403" spans="1:13" x14ac:dyDescent="0.25">
      <c r="A403">
        <v>1552</v>
      </c>
      <c r="B403" t="s">
        <v>389</v>
      </c>
      <c r="C403" t="s">
        <v>119</v>
      </c>
      <c r="D403">
        <v>2017</v>
      </c>
      <c r="E403">
        <v>7217</v>
      </c>
      <c r="F403">
        <v>9000</v>
      </c>
      <c r="G403">
        <v>80000</v>
      </c>
      <c r="H403" t="s">
        <v>53</v>
      </c>
      <c r="I403" t="s">
        <v>72</v>
      </c>
      <c r="J403" t="s">
        <v>36</v>
      </c>
      <c r="K403" t="s">
        <v>77</v>
      </c>
      <c r="L403" t="s">
        <v>49</v>
      </c>
      <c r="M403">
        <v>1</v>
      </c>
    </row>
    <row r="404" spans="1:13" x14ac:dyDescent="0.25">
      <c r="A404">
        <v>1055</v>
      </c>
      <c r="B404" t="s">
        <v>390</v>
      </c>
      <c r="C404" t="s">
        <v>133</v>
      </c>
      <c r="D404">
        <v>2021</v>
      </c>
      <c r="E404">
        <v>5511</v>
      </c>
      <c r="F404">
        <v>12000</v>
      </c>
      <c r="G404">
        <v>25000</v>
      </c>
      <c r="H404" t="s">
        <v>63</v>
      </c>
      <c r="J404" t="s">
        <v>43</v>
      </c>
      <c r="K404" t="s">
        <v>73</v>
      </c>
      <c r="L404" t="s">
        <v>49</v>
      </c>
      <c r="M404">
        <v>0</v>
      </c>
    </row>
    <row r="405" spans="1:13" x14ac:dyDescent="0.25">
      <c r="A405">
        <v>1072</v>
      </c>
      <c r="B405" t="s">
        <v>510</v>
      </c>
      <c r="C405" t="s">
        <v>57</v>
      </c>
      <c r="D405">
        <v>2016</v>
      </c>
      <c r="E405">
        <v>1782</v>
      </c>
      <c r="F405">
        <v>7000</v>
      </c>
      <c r="G405">
        <v>60000</v>
      </c>
      <c r="H405" t="s">
        <v>63</v>
      </c>
      <c r="I405" t="s">
        <v>59</v>
      </c>
      <c r="J405" t="s">
        <v>66</v>
      </c>
      <c r="K405" t="s">
        <v>44</v>
      </c>
      <c r="L405" t="s">
        <v>38</v>
      </c>
      <c r="M405">
        <v>0</v>
      </c>
    </row>
    <row r="406" spans="1:13" x14ac:dyDescent="0.25">
      <c r="A406">
        <v>1384</v>
      </c>
      <c r="B406" t="s">
        <v>511</v>
      </c>
      <c r="C406" t="s">
        <v>61</v>
      </c>
      <c r="D406">
        <v>2017</v>
      </c>
      <c r="E406">
        <v>4621</v>
      </c>
      <c r="F406" t="s">
        <v>81</v>
      </c>
      <c r="G406">
        <v>25000</v>
      </c>
      <c r="H406" t="s">
        <v>41</v>
      </c>
      <c r="I406" t="s">
        <v>59</v>
      </c>
      <c r="J406" t="s">
        <v>66</v>
      </c>
      <c r="K406" t="s">
        <v>77</v>
      </c>
      <c r="L406" t="s">
        <v>55</v>
      </c>
      <c r="M406">
        <v>1</v>
      </c>
    </row>
    <row r="407" spans="1:13" x14ac:dyDescent="0.25">
      <c r="A407">
        <v>1367</v>
      </c>
      <c r="B407" t="s">
        <v>512</v>
      </c>
      <c r="C407" t="s">
        <v>94</v>
      </c>
      <c r="D407">
        <v>2019</v>
      </c>
      <c r="E407">
        <v>5104</v>
      </c>
      <c r="F407">
        <v>12000</v>
      </c>
      <c r="G407" t="s">
        <v>92</v>
      </c>
      <c r="H407" t="s">
        <v>41</v>
      </c>
      <c r="I407" t="s">
        <v>72</v>
      </c>
      <c r="J407" t="s">
        <v>66</v>
      </c>
      <c r="K407" t="s">
        <v>37</v>
      </c>
      <c r="L407" t="s">
        <v>55</v>
      </c>
      <c r="M407">
        <v>3</v>
      </c>
    </row>
    <row r="408" spans="1:13" x14ac:dyDescent="0.25">
      <c r="A408">
        <v>1174</v>
      </c>
      <c r="B408" t="s">
        <v>513</v>
      </c>
      <c r="C408" t="s">
        <v>103</v>
      </c>
      <c r="D408">
        <v>2016</v>
      </c>
      <c r="E408">
        <v>18583</v>
      </c>
      <c r="F408">
        <v>22000</v>
      </c>
      <c r="G408" t="s">
        <v>33</v>
      </c>
      <c r="H408" t="s">
        <v>34</v>
      </c>
      <c r="J408" t="s">
        <v>43</v>
      </c>
      <c r="K408" t="s">
        <v>77</v>
      </c>
      <c r="L408" t="s">
        <v>55</v>
      </c>
      <c r="M408">
        <v>3</v>
      </c>
    </row>
    <row r="409" spans="1:13" x14ac:dyDescent="0.25">
      <c r="A409">
        <v>1335</v>
      </c>
      <c r="B409" t="s">
        <v>514</v>
      </c>
      <c r="C409" t="s">
        <v>65</v>
      </c>
      <c r="D409">
        <v>2014</v>
      </c>
      <c r="E409">
        <v>22980</v>
      </c>
      <c r="F409">
        <v>26000</v>
      </c>
      <c r="G409">
        <v>120000</v>
      </c>
      <c r="H409" t="s">
        <v>58</v>
      </c>
      <c r="J409" t="s">
        <v>36</v>
      </c>
      <c r="K409" t="s">
        <v>48</v>
      </c>
      <c r="L409" t="s">
        <v>126</v>
      </c>
      <c r="M409">
        <v>0</v>
      </c>
    </row>
    <row r="410" spans="1:13" x14ac:dyDescent="0.25">
      <c r="A410">
        <v>1490</v>
      </c>
      <c r="B410" t="s">
        <v>379</v>
      </c>
      <c r="C410" t="s">
        <v>133</v>
      </c>
      <c r="D410">
        <v>2022</v>
      </c>
      <c r="E410">
        <v>1650</v>
      </c>
      <c r="F410">
        <v>7000</v>
      </c>
      <c r="G410" t="s">
        <v>92</v>
      </c>
      <c r="I410" t="s">
        <v>42</v>
      </c>
      <c r="J410" t="s">
        <v>36</v>
      </c>
      <c r="L410" t="s">
        <v>126</v>
      </c>
      <c r="M410">
        <v>3</v>
      </c>
    </row>
    <row r="411" spans="1:13" x14ac:dyDescent="0.25">
      <c r="A411">
        <v>1016</v>
      </c>
      <c r="B411" t="s">
        <v>386</v>
      </c>
      <c r="C411" t="s">
        <v>47</v>
      </c>
      <c r="D411">
        <v>2016</v>
      </c>
      <c r="E411">
        <v>19042</v>
      </c>
      <c r="F411">
        <v>22000</v>
      </c>
      <c r="G411">
        <v>40000</v>
      </c>
      <c r="H411" t="s">
        <v>41</v>
      </c>
      <c r="I411" t="s">
        <v>59</v>
      </c>
      <c r="J411" t="s">
        <v>43</v>
      </c>
      <c r="K411" t="s">
        <v>100</v>
      </c>
      <c r="L411" t="s">
        <v>98</v>
      </c>
      <c r="M411">
        <v>1</v>
      </c>
    </row>
    <row r="412" spans="1:13" x14ac:dyDescent="0.25">
      <c r="A412">
        <v>1072</v>
      </c>
      <c r="B412" t="s">
        <v>325</v>
      </c>
      <c r="C412" t="s">
        <v>79</v>
      </c>
      <c r="D412" t="s">
        <v>52</v>
      </c>
      <c r="E412">
        <v>24812</v>
      </c>
      <c r="F412">
        <v>31000</v>
      </c>
      <c r="G412">
        <v>120000</v>
      </c>
      <c r="H412" t="s">
        <v>69</v>
      </c>
      <c r="I412" t="s">
        <v>59</v>
      </c>
      <c r="J412" t="s">
        <v>96</v>
      </c>
      <c r="L412" t="s">
        <v>38</v>
      </c>
      <c r="M412">
        <v>0</v>
      </c>
    </row>
    <row r="413" spans="1:13" x14ac:dyDescent="0.25">
      <c r="A413">
        <v>1374</v>
      </c>
      <c r="B413" t="s">
        <v>496</v>
      </c>
      <c r="C413" t="s">
        <v>61</v>
      </c>
      <c r="D413">
        <v>2014</v>
      </c>
      <c r="E413">
        <v>20091</v>
      </c>
      <c r="F413" t="s">
        <v>115</v>
      </c>
      <c r="G413">
        <v>15000</v>
      </c>
      <c r="H413" t="s">
        <v>84</v>
      </c>
      <c r="J413" t="s">
        <v>66</v>
      </c>
      <c r="K413" t="s">
        <v>100</v>
      </c>
      <c r="L413" t="s">
        <v>109</v>
      </c>
      <c r="M413">
        <v>1</v>
      </c>
    </row>
    <row r="414" spans="1:13" x14ac:dyDescent="0.25">
      <c r="A414">
        <v>1230</v>
      </c>
      <c r="B414" t="s">
        <v>515</v>
      </c>
      <c r="C414" t="s">
        <v>32</v>
      </c>
      <c r="D414" t="s">
        <v>52</v>
      </c>
      <c r="E414">
        <v>25248</v>
      </c>
      <c r="F414">
        <v>31000</v>
      </c>
      <c r="G414">
        <v>120000</v>
      </c>
      <c r="H414" t="s">
        <v>34</v>
      </c>
      <c r="I414" t="s">
        <v>72</v>
      </c>
      <c r="J414" t="s">
        <v>36</v>
      </c>
      <c r="K414" t="s">
        <v>37</v>
      </c>
      <c r="L414" t="s">
        <v>109</v>
      </c>
      <c r="M414">
        <v>2</v>
      </c>
    </row>
    <row r="415" spans="1:13" x14ac:dyDescent="0.25">
      <c r="A415">
        <v>1545</v>
      </c>
      <c r="B415" t="s">
        <v>516</v>
      </c>
      <c r="C415" t="s">
        <v>138</v>
      </c>
      <c r="D415">
        <v>2021</v>
      </c>
      <c r="E415">
        <v>2186</v>
      </c>
      <c r="F415">
        <v>9000</v>
      </c>
      <c r="G415">
        <v>60000</v>
      </c>
      <c r="H415" t="s">
        <v>84</v>
      </c>
      <c r="I415" t="s">
        <v>42</v>
      </c>
      <c r="J415" t="s">
        <v>43</v>
      </c>
      <c r="K415" t="s">
        <v>37</v>
      </c>
      <c r="L415" t="s">
        <v>49</v>
      </c>
      <c r="M415">
        <v>3</v>
      </c>
    </row>
    <row r="416" spans="1:13" x14ac:dyDescent="0.25">
      <c r="A416">
        <v>1114</v>
      </c>
      <c r="B416" t="s">
        <v>135</v>
      </c>
      <c r="C416" t="s">
        <v>57</v>
      </c>
      <c r="D416">
        <v>2018</v>
      </c>
      <c r="E416">
        <v>6651</v>
      </c>
      <c r="F416">
        <v>9000</v>
      </c>
      <c r="G416">
        <v>15000</v>
      </c>
      <c r="H416" t="s">
        <v>41</v>
      </c>
      <c r="I416" t="s">
        <v>72</v>
      </c>
      <c r="J416" t="s">
        <v>43</v>
      </c>
      <c r="L416" t="s">
        <v>90</v>
      </c>
      <c r="M416">
        <v>3</v>
      </c>
    </row>
    <row r="417" spans="1:13" x14ac:dyDescent="0.25">
      <c r="A417">
        <v>1298</v>
      </c>
      <c r="B417" t="s">
        <v>175</v>
      </c>
      <c r="C417" t="s">
        <v>79</v>
      </c>
      <c r="D417">
        <v>2020</v>
      </c>
      <c r="E417" t="s">
        <v>517</v>
      </c>
      <c r="F417" t="s">
        <v>87</v>
      </c>
      <c r="G417">
        <v>120000</v>
      </c>
      <c r="H417" t="s">
        <v>63</v>
      </c>
      <c r="I417" t="s">
        <v>59</v>
      </c>
      <c r="K417" t="s">
        <v>44</v>
      </c>
      <c r="L417" t="s">
        <v>109</v>
      </c>
      <c r="M417">
        <v>3</v>
      </c>
    </row>
    <row r="418" spans="1:13" x14ac:dyDescent="0.25">
      <c r="A418">
        <v>1175</v>
      </c>
      <c r="B418" t="s">
        <v>518</v>
      </c>
      <c r="C418" t="s">
        <v>138</v>
      </c>
      <c r="D418">
        <v>2021</v>
      </c>
      <c r="E418">
        <v>15920</v>
      </c>
      <c r="F418">
        <v>18000</v>
      </c>
      <c r="G418">
        <v>80000</v>
      </c>
      <c r="H418" t="s">
        <v>69</v>
      </c>
      <c r="I418" t="s">
        <v>35</v>
      </c>
      <c r="J418" t="s">
        <v>66</v>
      </c>
      <c r="K418" t="s">
        <v>44</v>
      </c>
      <c r="L418" t="s">
        <v>45</v>
      </c>
      <c r="M418">
        <v>3</v>
      </c>
    </row>
    <row r="419" spans="1:13" x14ac:dyDescent="0.25">
      <c r="A419">
        <v>1186</v>
      </c>
      <c r="B419" t="s">
        <v>519</v>
      </c>
      <c r="C419" t="s">
        <v>57</v>
      </c>
      <c r="E419">
        <v>6615</v>
      </c>
      <c r="F419">
        <v>12000</v>
      </c>
      <c r="G419">
        <v>120000</v>
      </c>
      <c r="H419" t="s">
        <v>58</v>
      </c>
      <c r="I419" t="s">
        <v>42</v>
      </c>
      <c r="J419" t="s">
        <v>66</v>
      </c>
      <c r="K419" t="s">
        <v>37</v>
      </c>
      <c r="L419" t="s">
        <v>126</v>
      </c>
      <c r="M419">
        <v>2</v>
      </c>
    </row>
    <row r="420" spans="1:13" x14ac:dyDescent="0.25">
      <c r="A420">
        <v>1575</v>
      </c>
      <c r="B420" t="s">
        <v>520</v>
      </c>
      <c r="C420" t="s">
        <v>164</v>
      </c>
      <c r="D420">
        <v>2021</v>
      </c>
      <c r="E420">
        <v>15489</v>
      </c>
      <c r="F420">
        <v>18000</v>
      </c>
      <c r="G420">
        <v>40000</v>
      </c>
      <c r="H420" t="s">
        <v>58</v>
      </c>
      <c r="I420" t="s">
        <v>72</v>
      </c>
      <c r="J420" t="s">
        <v>43</v>
      </c>
      <c r="L420" t="s">
        <v>90</v>
      </c>
    </row>
    <row r="421" spans="1:13" x14ac:dyDescent="0.25">
      <c r="A421">
        <v>1469</v>
      </c>
      <c r="B421" t="s">
        <v>521</v>
      </c>
      <c r="C421" t="s">
        <v>51</v>
      </c>
      <c r="D421">
        <v>2015</v>
      </c>
      <c r="E421">
        <v>1909</v>
      </c>
      <c r="F421">
        <v>7000</v>
      </c>
      <c r="G421">
        <v>60000</v>
      </c>
      <c r="H421" t="s">
        <v>63</v>
      </c>
      <c r="I421" t="s">
        <v>72</v>
      </c>
      <c r="J421" t="s">
        <v>43</v>
      </c>
      <c r="K421" t="s">
        <v>54</v>
      </c>
      <c r="L421" t="s">
        <v>90</v>
      </c>
    </row>
    <row r="422" spans="1:13" x14ac:dyDescent="0.25">
      <c r="A422">
        <v>1142</v>
      </c>
      <c r="B422" t="s">
        <v>127</v>
      </c>
      <c r="C422" t="s">
        <v>138</v>
      </c>
      <c r="D422">
        <v>2019</v>
      </c>
      <c r="E422">
        <v>4077</v>
      </c>
      <c r="F422" t="s">
        <v>81</v>
      </c>
      <c r="G422" t="s">
        <v>108</v>
      </c>
      <c r="H422" t="s">
        <v>53</v>
      </c>
      <c r="I422" t="s">
        <v>59</v>
      </c>
      <c r="J422" t="s">
        <v>96</v>
      </c>
      <c r="K422" t="s">
        <v>37</v>
      </c>
      <c r="L422" t="s">
        <v>109</v>
      </c>
      <c r="M422">
        <v>0</v>
      </c>
    </row>
    <row r="423" spans="1:13" x14ac:dyDescent="0.25">
      <c r="A423">
        <v>1085</v>
      </c>
      <c r="B423" t="s">
        <v>522</v>
      </c>
      <c r="C423" t="s">
        <v>47</v>
      </c>
      <c r="E423">
        <v>12397</v>
      </c>
      <c r="F423">
        <v>15000</v>
      </c>
      <c r="G423">
        <v>40000</v>
      </c>
      <c r="H423" t="s">
        <v>84</v>
      </c>
      <c r="J423" t="s">
        <v>43</v>
      </c>
      <c r="K423" t="s">
        <v>77</v>
      </c>
      <c r="L423" t="s">
        <v>55</v>
      </c>
      <c r="M423">
        <v>2</v>
      </c>
    </row>
    <row r="424" spans="1:13" x14ac:dyDescent="0.25">
      <c r="A424">
        <v>1378</v>
      </c>
      <c r="B424" t="s">
        <v>464</v>
      </c>
      <c r="C424" t="s">
        <v>68</v>
      </c>
      <c r="D424" t="s">
        <v>52</v>
      </c>
      <c r="E424">
        <v>19789</v>
      </c>
      <c r="F424" t="s">
        <v>115</v>
      </c>
      <c r="G424">
        <v>60000</v>
      </c>
      <c r="H424" t="s">
        <v>69</v>
      </c>
      <c r="I424" t="s">
        <v>59</v>
      </c>
      <c r="K424" t="s">
        <v>37</v>
      </c>
      <c r="L424" t="s">
        <v>38</v>
      </c>
      <c r="M424">
        <v>3</v>
      </c>
    </row>
    <row r="425" spans="1:13" x14ac:dyDescent="0.25">
      <c r="A425">
        <v>1424</v>
      </c>
      <c r="B425" t="s">
        <v>523</v>
      </c>
      <c r="C425" t="s">
        <v>103</v>
      </c>
      <c r="D425">
        <v>2021</v>
      </c>
      <c r="E425" t="s">
        <v>524</v>
      </c>
      <c r="F425">
        <v>18000</v>
      </c>
      <c r="G425" t="s">
        <v>33</v>
      </c>
      <c r="H425" t="s">
        <v>53</v>
      </c>
      <c r="I425" t="s">
        <v>72</v>
      </c>
      <c r="J425" t="s">
        <v>43</v>
      </c>
      <c r="L425" t="s">
        <v>109</v>
      </c>
      <c r="M425">
        <v>0</v>
      </c>
    </row>
    <row r="426" spans="1:13" x14ac:dyDescent="0.25">
      <c r="A426">
        <v>1424</v>
      </c>
      <c r="B426" t="s">
        <v>525</v>
      </c>
      <c r="C426" t="s">
        <v>94</v>
      </c>
      <c r="D426">
        <v>2015</v>
      </c>
      <c r="E426" t="s">
        <v>526</v>
      </c>
      <c r="F426">
        <v>7000</v>
      </c>
      <c r="G426">
        <v>60000</v>
      </c>
      <c r="H426" t="s">
        <v>58</v>
      </c>
      <c r="I426" t="s">
        <v>42</v>
      </c>
      <c r="J426" t="s">
        <v>66</v>
      </c>
      <c r="K426" t="s">
        <v>48</v>
      </c>
      <c r="L426" t="s">
        <v>45</v>
      </c>
    </row>
    <row r="427" spans="1:13" x14ac:dyDescent="0.25">
      <c r="A427">
        <v>1572</v>
      </c>
      <c r="B427" t="s">
        <v>527</v>
      </c>
      <c r="C427" t="s">
        <v>133</v>
      </c>
      <c r="D427">
        <v>2014</v>
      </c>
      <c r="E427">
        <v>14511</v>
      </c>
      <c r="F427">
        <v>18000</v>
      </c>
      <c r="G427">
        <v>80000</v>
      </c>
      <c r="H427" t="s">
        <v>58</v>
      </c>
      <c r="I427" t="s">
        <v>72</v>
      </c>
      <c r="J427" t="s">
        <v>96</v>
      </c>
      <c r="K427" t="s">
        <v>116</v>
      </c>
      <c r="L427" t="s">
        <v>49</v>
      </c>
      <c r="M427">
        <v>2</v>
      </c>
    </row>
    <row r="428" spans="1:13" x14ac:dyDescent="0.25">
      <c r="A428">
        <v>1029</v>
      </c>
      <c r="B428" t="s">
        <v>528</v>
      </c>
      <c r="C428" t="s">
        <v>103</v>
      </c>
      <c r="D428">
        <v>2016</v>
      </c>
      <c r="E428" t="s">
        <v>529</v>
      </c>
      <c r="F428">
        <v>31000</v>
      </c>
      <c r="G428">
        <v>120000</v>
      </c>
      <c r="H428" t="s">
        <v>84</v>
      </c>
      <c r="J428" t="s">
        <v>96</v>
      </c>
      <c r="K428" t="s">
        <v>116</v>
      </c>
      <c r="L428" t="s">
        <v>98</v>
      </c>
      <c r="M428">
        <v>2</v>
      </c>
    </row>
    <row r="429" spans="1:13" x14ac:dyDescent="0.25">
      <c r="A429">
        <v>1265</v>
      </c>
      <c r="B429" t="s">
        <v>530</v>
      </c>
      <c r="C429" t="s">
        <v>133</v>
      </c>
      <c r="D429">
        <v>2015</v>
      </c>
      <c r="E429" t="s">
        <v>531</v>
      </c>
      <c r="F429" t="s">
        <v>115</v>
      </c>
      <c r="G429">
        <v>80000</v>
      </c>
      <c r="H429" t="s">
        <v>58</v>
      </c>
      <c r="I429" t="s">
        <v>72</v>
      </c>
      <c r="J429" t="s">
        <v>66</v>
      </c>
      <c r="K429" t="s">
        <v>73</v>
      </c>
      <c r="L429" t="s">
        <v>45</v>
      </c>
      <c r="M429">
        <v>2</v>
      </c>
    </row>
    <row r="430" spans="1:13" x14ac:dyDescent="0.25">
      <c r="A430">
        <v>1542</v>
      </c>
      <c r="B430" t="s">
        <v>270</v>
      </c>
      <c r="C430" t="s">
        <v>103</v>
      </c>
      <c r="D430" t="s">
        <v>52</v>
      </c>
      <c r="E430">
        <v>18626</v>
      </c>
      <c r="F430" t="s">
        <v>115</v>
      </c>
      <c r="G430" t="s">
        <v>76</v>
      </c>
      <c r="H430" t="s">
        <v>58</v>
      </c>
      <c r="I430" t="s">
        <v>35</v>
      </c>
      <c r="K430" t="s">
        <v>100</v>
      </c>
      <c r="M430">
        <v>2</v>
      </c>
    </row>
    <row r="431" spans="1:13" x14ac:dyDescent="0.25">
      <c r="A431">
        <v>1098</v>
      </c>
      <c r="B431" t="s">
        <v>174</v>
      </c>
      <c r="C431" t="s">
        <v>61</v>
      </c>
      <c r="D431" t="s">
        <v>52</v>
      </c>
      <c r="E431">
        <v>11385</v>
      </c>
      <c r="F431">
        <v>18000</v>
      </c>
      <c r="G431" t="s">
        <v>130</v>
      </c>
      <c r="H431" t="s">
        <v>58</v>
      </c>
      <c r="J431" t="s">
        <v>96</v>
      </c>
      <c r="K431" t="s">
        <v>44</v>
      </c>
      <c r="L431" t="s">
        <v>55</v>
      </c>
      <c r="M431">
        <v>3</v>
      </c>
    </row>
    <row r="432" spans="1:13" x14ac:dyDescent="0.25">
      <c r="A432">
        <v>1226</v>
      </c>
      <c r="B432" t="s">
        <v>532</v>
      </c>
      <c r="C432" t="s">
        <v>61</v>
      </c>
      <c r="D432">
        <v>2016</v>
      </c>
      <c r="E432">
        <v>6734</v>
      </c>
      <c r="F432">
        <v>9000</v>
      </c>
      <c r="G432">
        <v>25000</v>
      </c>
      <c r="H432" t="s">
        <v>84</v>
      </c>
      <c r="I432" t="s">
        <v>59</v>
      </c>
      <c r="J432" t="s">
        <v>43</v>
      </c>
      <c r="K432" t="s">
        <v>37</v>
      </c>
      <c r="L432" t="s">
        <v>49</v>
      </c>
      <c r="M432">
        <v>1</v>
      </c>
    </row>
    <row r="433" spans="1:13" x14ac:dyDescent="0.25">
      <c r="A433">
        <v>1142</v>
      </c>
      <c r="B433" t="s">
        <v>174</v>
      </c>
      <c r="C433" t="s">
        <v>40</v>
      </c>
      <c r="D433">
        <v>2021</v>
      </c>
      <c r="E433">
        <v>15339</v>
      </c>
      <c r="F433">
        <v>22000</v>
      </c>
      <c r="G433">
        <v>40000</v>
      </c>
      <c r="H433" t="s">
        <v>63</v>
      </c>
      <c r="I433" t="s">
        <v>42</v>
      </c>
      <c r="J433" t="s">
        <v>96</v>
      </c>
      <c r="K433" t="s">
        <v>73</v>
      </c>
      <c r="L433" t="s">
        <v>49</v>
      </c>
      <c r="M433">
        <v>1</v>
      </c>
    </row>
    <row r="434" spans="1:13" x14ac:dyDescent="0.25">
      <c r="A434">
        <v>1133</v>
      </c>
      <c r="B434" t="s">
        <v>515</v>
      </c>
      <c r="C434" t="s">
        <v>164</v>
      </c>
      <c r="D434">
        <v>2016</v>
      </c>
      <c r="E434">
        <v>12974</v>
      </c>
      <c r="F434">
        <v>15000</v>
      </c>
      <c r="G434">
        <v>40000</v>
      </c>
      <c r="H434" t="s">
        <v>84</v>
      </c>
      <c r="I434" t="s">
        <v>35</v>
      </c>
      <c r="J434" t="s">
        <v>36</v>
      </c>
      <c r="K434" t="s">
        <v>116</v>
      </c>
      <c r="L434" t="s">
        <v>98</v>
      </c>
      <c r="M434">
        <v>0</v>
      </c>
    </row>
    <row r="435" spans="1:13" x14ac:dyDescent="0.25">
      <c r="A435">
        <v>1480</v>
      </c>
      <c r="B435" t="s">
        <v>533</v>
      </c>
      <c r="C435" t="s">
        <v>47</v>
      </c>
      <c r="D435">
        <v>2015</v>
      </c>
      <c r="E435" t="s">
        <v>534</v>
      </c>
      <c r="F435">
        <v>7000</v>
      </c>
      <c r="G435" t="s">
        <v>108</v>
      </c>
      <c r="H435" t="s">
        <v>41</v>
      </c>
      <c r="I435" t="s">
        <v>35</v>
      </c>
      <c r="J435" t="s">
        <v>36</v>
      </c>
      <c r="K435" t="s">
        <v>77</v>
      </c>
      <c r="L435" t="s">
        <v>38</v>
      </c>
      <c r="M435">
        <v>1</v>
      </c>
    </row>
    <row r="436" spans="1:13" x14ac:dyDescent="0.25">
      <c r="A436">
        <v>1356</v>
      </c>
      <c r="B436" t="s">
        <v>535</v>
      </c>
      <c r="C436" t="s">
        <v>79</v>
      </c>
      <c r="D436">
        <v>2014</v>
      </c>
      <c r="E436">
        <v>5728</v>
      </c>
      <c r="F436">
        <v>9000</v>
      </c>
      <c r="G436">
        <v>25000</v>
      </c>
      <c r="H436" t="s">
        <v>53</v>
      </c>
      <c r="K436" t="s">
        <v>37</v>
      </c>
      <c r="L436" t="s">
        <v>49</v>
      </c>
    </row>
    <row r="437" spans="1:13" x14ac:dyDescent="0.25">
      <c r="A437">
        <v>1175</v>
      </c>
      <c r="B437" t="s">
        <v>536</v>
      </c>
      <c r="C437" t="s">
        <v>40</v>
      </c>
      <c r="D437">
        <v>2022</v>
      </c>
      <c r="E437">
        <v>12431</v>
      </c>
      <c r="F437">
        <v>15000</v>
      </c>
      <c r="G437">
        <v>120000</v>
      </c>
      <c r="H437" t="s">
        <v>84</v>
      </c>
      <c r="I437" t="s">
        <v>42</v>
      </c>
      <c r="K437" t="s">
        <v>116</v>
      </c>
      <c r="L437" t="s">
        <v>109</v>
      </c>
    </row>
    <row r="438" spans="1:13" x14ac:dyDescent="0.25">
      <c r="A438">
        <v>1434</v>
      </c>
      <c r="B438" t="s">
        <v>537</v>
      </c>
      <c r="C438" t="s">
        <v>57</v>
      </c>
      <c r="D438">
        <v>2021</v>
      </c>
      <c r="E438">
        <v>5094</v>
      </c>
      <c r="F438">
        <v>9000</v>
      </c>
      <c r="G438" t="s">
        <v>33</v>
      </c>
      <c r="H438" t="s">
        <v>63</v>
      </c>
      <c r="I438" t="s">
        <v>35</v>
      </c>
      <c r="J438" t="s">
        <v>43</v>
      </c>
      <c r="K438" t="s">
        <v>37</v>
      </c>
      <c r="M438">
        <v>1</v>
      </c>
    </row>
    <row r="439" spans="1:13" x14ac:dyDescent="0.25">
      <c r="A439">
        <v>1084</v>
      </c>
      <c r="B439" t="s">
        <v>538</v>
      </c>
      <c r="C439" t="s">
        <v>133</v>
      </c>
      <c r="D439">
        <v>2019</v>
      </c>
      <c r="E439">
        <v>11085</v>
      </c>
      <c r="F439" t="s">
        <v>129</v>
      </c>
      <c r="G439">
        <v>80000</v>
      </c>
      <c r="H439" t="s">
        <v>69</v>
      </c>
      <c r="I439" t="s">
        <v>59</v>
      </c>
      <c r="J439" t="s">
        <v>66</v>
      </c>
      <c r="L439" t="s">
        <v>98</v>
      </c>
      <c r="M439">
        <v>2</v>
      </c>
    </row>
    <row r="440" spans="1:13" x14ac:dyDescent="0.25">
      <c r="A440">
        <v>1183</v>
      </c>
      <c r="B440" t="s">
        <v>539</v>
      </c>
      <c r="C440" t="s">
        <v>103</v>
      </c>
      <c r="D440">
        <v>2017</v>
      </c>
      <c r="E440" t="s">
        <v>540</v>
      </c>
      <c r="F440">
        <v>9000</v>
      </c>
      <c r="G440">
        <v>60000</v>
      </c>
      <c r="H440" t="s">
        <v>34</v>
      </c>
      <c r="I440" t="s">
        <v>59</v>
      </c>
      <c r="K440" t="s">
        <v>37</v>
      </c>
      <c r="L440" t="s">
        <v>49</v>
      </c>
      <c r="M440">
        <v>1</v>
      </c>
    </row>
    <row r="441" spans="1:13" x14ac:dyDescent="0.25">
      <c r="A441">
        <v>1372</v>
      </c>
      <c r="B441" t="s">
        <v>541</v>
      </c>
      <c r="C441" t="s">
        <v>94</v>
      </c>
      <c r="D441">
        <v>2020</v>
      </c>
      <c r="E441">
        <v>6618</v>
      </c>
      <c r="F441">
        <v>9000</v>
      </c>
      <c r="G441">
        <v>120000</v>
      </c>
      <c r="H441" t="s">
        <v>34</v>
      </c>
      <c r="I441" t="s">
        <v>35</v>
      </c>
      <c r="J441" t="s">
        <v>66</v>
      </c>
      <c r="K441" t="s">
        <v>48</v>
      </c>
      <c r="L441" t="s">
        <v>55</v>
      </c>
      <c r="M441">
        <v>2</v>
      </c>
    </row>
    <row r="442" spans="1:13" x14ac:dyDescent="0.25">
      <c r="A442">
        <v>1496</v>
      </c>
      <c r="B442" t="s">
        <v>137</v>
      </c>
      <c r="C442" t="s">
        <v>65</v>
      </c>
      <c r="D442" t="s">
        <v>52</v>
      </c>
      <c r="E442">
        <v>21103</v>
      </c>
      <c r="F442" t="s">
        <v>83</v>
      </c>
      <c r="G442">
        <v>40000</v>
      </c>
      <c r="H442" t="s">
        <v>84</v>
      </c>
      <c r="I442" t="s">
        <v>72</v>
      </c>
      <c r="J442" t="s">
        <v>43</v>
      </c>
      <c r="K442" t="s">
        <v>116</v>
      </c>
      <c r="L442" t="s">
        <v>38</v>
      </c>
      <c r="M442">
        <v>1</v>
      </c>
    </row>
    <row r="443" spans="1:13" x14ac:dyDescent="0.25">
      <c r="A443">
        <v>1183</v>
      </c>
      <c r="B443" t="s">
        <v>542</v>
      </c>
      <c r="C443" t="s">
        <v>40</v>
      </c>
      <c r="D443">
        <v>2015</v>
      </c>
      <c r="E443">
        <v>1920</v>
      </c>
      <c r="F443">
        <v>7000</v>
      </c>
      <c r="G443" t="s">
        <v>76</v>
      </c>
      <c r="H443" t="s">
        <v>84</v>
      </c>
      <c r="I443" t="s">
        <v>35</v>
      </c>
      <c r="K443" t="s">
        <v>116</v>
      </c>
      <c r="L443" t="s">
        <v>55</v>
      </c>
      <c r="M443">
        <v>1</v>
      </c>
    </row>
    <row r="444" spans="1:13" x14ac:dyDescent="0.25">
      <c r="A444">
        <v>1555</v>
      </c>
      <c r="B444" t="s">
        <v>543</v>
      </c>
      <c r="C444" t="s">
        <v>51</v>
      </c>
      <c r="D444" t="s">
        <v>52</v>
      </c>
      <c r="E444">
        <v>25865</v>
      </c>
      <c r="F444">
        <v>31000</v>
      </c>
      <c r="G444">
        <v>60000</v>
      </c>
      <c r="H444" t="s">
        <v>41</v>
      </c>
      <c r="I444" t="s">
        <v>59</v>
      </c>
      <c r="J444" t="s">
        <v>36</v>
      </c>
      <c r="K444" t="s">
        <v>48</v>
      </c>
      <c r="L444" t="s">
        <v>55</v>
      </c>
      <c r="M444">
        <v>2</v>
      </c>
    </row>
    <row r="445" spans="1:13" x14ac:dyDescent="0.25">
      <c r="A445">
        <v>1570</v>
      </c>
      <c r="B445" t="s">
        <v>102</v>
      </c>
      <c r="C445" t="s">
        <v>94</v>
      </c>
      <c r="D445">
        <v>2021</v>
      </c>
      <c r="E445">
        <v>29731</v>
      </c>
      <c r="F445">
        <v>31000</v>
      </c>
      <c r="G445">
        <v>15000</v>
      </c>
      <c r="H445" t="s">
        <v>58</v>
      </c>
      <c r="I445" t="s">
        <v>59</v>
      </c>
      <c r="J445" t="s">
        <v>43</v>
      </c>
      <c r="K445" t="s">
        <v>100</v>
      </c>
      <c r="L445" t="s">
        <v>45</v>
      </c>
      <c r="M445">
        <v>3</v>
      </c>
    </row>
    <row r="446" spans="1:13" x14ac:dyDescent="0.25">
      <c r="A446">
        <v>1585</v>
      </c>
      <c r="B446" t="s">
        <v>544</v>
      </c>
      <c r="C446" t="s">
        <v>133</v>
      </c>
      <c r="D446">
        <v>2015</v>
      </c>
      <c r="E446">
        <v>25464</v>
      </c>
      <c r="F446">
        <v>31000</v>
      </c>
      <c r="G446" t="s">
        <v>108</v>
      </c>
      <c r="H446" t="s">
        <v>41</v>
      </c>
      <c r="I446" t="s">
        <v>59</v>
      </c>
      <c r="J446" t="s">
        <v>96</v>
      </c>
      <c r="K446" t="s">
        <v>116</v>
      </c>
      <c r="L446" t="s">
        <v>98</v>
      </c>
    </row>
    <row r="447" spans="1:13" x14ac:dyDescent="0.25">
      <c r="A447">
        <v>1131</v>
      </c>
      <c r="B447" t="s">
        <v>226</v>
      </c>
      <c r="C447" t="s">
        <v>79</v>
      </c>
      <c r="D447">
        <v>2018</v>
      </c>
      <c r="E447">
        <v>20770</v>
      </c>
      <c r="F447">
        <v>22000</v>
      </c>
      <c r="G447">
        <v>15000</v>
      </c>
      <c r="H447" t="s">
        <v>41</v>
      </c>
      <c r="I447" t="s">
        <v>72</v>
      </c>
      <c r="J447" t="s">
        <v>43</v>
      </c>
      <c r="K447" t="s">
        <v>37</v>
      </c>
      <c r="L447" t="s">
        <v>98</v>
      </c>
      <c r="M447">
        <v>2</v>
      </c>
    </row>
    <row r="448" spans="1:13" x14ac:dyDescent="0.25">
      <c r="A448">
        <v>1253</v>
      </c>
      <c r="B448" t="s">
        <v>545</v>
      </c>
      <c r="C448" t="s">
        <v>79</v>
      </c>
      <c r="D448">
        <v>2020</v>
      </c>
      <c r="E448">
        <v>15584</v>
      </c>
      <c r="F448">
        <v>22000</v>
      </c>
      <c r="G448" t="s">
        <v>76</v>
      </c>
      <c r="H448" t="s">
        <v>84</v>
      </c>
      <c r="I448" t="s">
        <v>72</v>
      </c>
      <c r="J448" t="s">
        <v>36</v>
      </c>
      <c r="K448" t="s">
        <v>44</v>
      </c>
      <c r="L448" t="s">
        <v>90</v>
      </c>
      <c r="M448">
        <v>0</v>
      </c>
    </row>
    <row r="449" spans="1:13" x14ac:dyDescent="0.25">
      <c r="A449">
        <v>1527</v>
      </c>
      <c r="B449" t="s">
        <v>546</v>
      </c>
      <c r="C449" t="s">
        <v>61</v>
      </c>
      <c r="D449">
        <v>2014</v>
      </c>
      <c r="E449">
        <v>26540</v>
      </c>
      <c r="F449">
        <v>31000</v>
      </c>
      <c r="G449">
        <v>120000</v>
      </c>
      <c r="H449" t="s">
        <v>41</v>
      </c>
      <c r="I449" t="s">
        <v>72</v>
      </c>
      <c r="J449" t="s">
        <v>43</v>
      </c>
      <c r="K449" t="s">
        <v>48</v>
      </c>
      <c r="L449" t="s">
        <v>109</v>
      </c>
    </row>
    <row r="450" spans="1:13" x14ac:dyDescent="0.25">
      <c r="A450">
        <v>1344</v>
      </c>
      <c r="B450" t="s">
        <v>547</v>
      </c>
      <c r="C450" t="s">
        <v>32</v>
      </c>
      <c r="D450">
        <v>2021</v>
      </c>
      <c r="E450">
        <v>2470</v>
      </c>
      <c r="F450">
        <v>9000</v>
      </c>
      <c r="G450">
        <v>120000</v>
      </c>
      <c r="H450" t="s">
        <v>58</v>
      </c>
      <c r="J450" t="s">
        <v>96</v>
      </c>
      <c r="K450" t="s">
        <v>44</v>
      </c>
      <c r="L450" t="s">
        <v>98</v>
      </c>
      <c r="M450">
        <v>1</v>
      </c>
    </row>
    <row r="451" spans="1:13" x14ac:dyDescent="0.25">
      <c r="A451">
        <v>1271</v>
      </c>
      <c r="B451" t="s">
        <v>548</v>
      </c>
      <c r="C451" t="s">
        <v>133</v>
      </c>
      <c r="D451" t="s">
        <v>52</v>
      </c>
      <c r="E451" t="s">
        <v>549</v>
      </c>
      <c r="F451">
        <v>9000</v>
      </c>
      <c r="G451">
        <v>80000</v>
      </c>
      <c r="H451" t="s">
        <v>53</v>
      </c>
      <c r="J451" t="s">
        <v>36</v>
      </c>
      <c r="K451" t="s">
        <v>37</v>
      </c>
      <c r="L451" t="s">
        <v>109</v>
      </c>
      <c r="M451">
        <v>2</v>
      </c>
    </row>
    <row r="452" spans="1:13" x14ac:dyDescent="0.25">
      <c r="A452">
        <v>1078</v>
      </c>
      <c r="B452" t="s">
        <v>550</v>
      </c>
      <c r="C452" t="s">
        <v>75</v>
      </c>
      <c r="E452">
        <v>28282</v>
      </c>
      <c r="F452">
        <v>31000</v>
      </c>
      <c r="G452">
        <v>60000</v>
      </c>
      <c r="H452" t="s">
        <v>34</v>
      </c>
      <c r="J452" t="s">
        <v>96</v>
      </c>
      <c r="K452" t="s">
        <v>77</v>
      </c>
      <c r="L452" t="s">
        <v>98</v>
      </c>
      <c r="M452">
        <v>3</v>
      </c>
    </row>
    <row r="453" spans="1:13" x14ac:dyDescent="0.25">
      <c r="A453">
        <v>1019</v>
      </c>
      <c r="B453" t="s">
        <v>551</v>
      </c>
      <c r="C453" t="s">
        <v>65</v>
      </c>
      <c r="E453">
        <v>25515</v>
      </c>
      <c r="F453">
        <v>31000</v>
      </c>
      <c r="G453" t="s">
        <v>108</v>
      </c>
      <c r="I453" t="s">
        <v>42</v>
      </c>
      <c r="J453" t="s">
        <v>43</v>
      </c>
      <c r="K453" t="s">
        <v>54</v>
      </c>
    </row>
    <row r="454" spans="1:13" x14ac:dyDescent="0.25">
      <c r="A454">
        <v>1473</v>
      </c>
      <c r="B454" t="s">
        <v>552</v>
      </c>
      <c r="C454" t="s">
        <v>103</v>
      </c>
      <c r="E454" t="s">
        <v>553</v>
      </c>
      <c r="F454">
        <v>7000</v>
      </c>
      <c r="G454">
        <v>80000</v>
      </c>
      <c r="H454" t="s">
        <v>69</v>
      </c>
      <c r="I454" t="s">
        <v>59</v>
      </c>
      <c r="J454" t="s">
        <v>43</v>
      </c>
      <c r="K454" t="s">
        <v>44</v>
      </c>
      <c r="L454" t="s">
        <v>49</v>
      </c>
      <c r="M454">
        <v>1</v>
      </c>
    </row>
    <row r="455" spans="1:13" x14ac:dyDescent="0.25">
      <c r="A455">
        <v>1241</v>
      </c>
      <c r="B455" t="s">
        <v>554</v>
      </c>
      <c r="C455" t="s">
        <v>103</v>
      </c>
      <c r="D455">
        <v>2018</v>
      </c>
      <c r="E455">
        <v>15685</v>
      </c>
      <c r="F455" t="s">
        <v>129</v>
      </c>
      <c r="G455" t="s">
        <v>108</v>
      </c>
      <c r="H455" t="s">
        <v>53</v>
      </c>
      <c r="I455" t="s">
        <v>72</v>
      </c>
      <c r="J455" t="s">
        <v>43</v>
      </c>
      <c r="K455" t="s">
        <v>116</v>
      </c>
      <c r="M455">
        <v>3</v>
      </c>
    </row>
    <row r="456" spans="1:13" x14ac:dyDescent="0.25">
      <c r="A456">
        <v>1139</v>
      </c>
      <c r="B456" t="s">
        <v>555</v>
      </c>
      <c r="C456" t="s">
        <v>103</v>
      </c>
      <c r="D456" t="s">
        <v>52</v>
      </c>
      <c r="E456" t="s">
        <v>556</v>
      </c>
      <c r="F456">
        <v>7000</v>
      </c>
      <c r="G456">
        <v>25000</v>
      </c>
      <c r="H456" t="s">
        <v>58</v>
      </c>
      <c r="I456" t="s">
        <v>35</v>
      </c>
      <c r="J456" t="s">
        <v>43</v>
      </c>
      <c r="K456" t="s">
        <v>73</v>
      </c>
      <c r="L456" t="s">
        <v>126</v>
      </c>
      <c r="M456">
        <v>0</v>
      </c>
    </row>
    <row r="457" spans="1:13" x14ac:dyDescent="0.25">
      <c r="A457">
        <v>1092</v>
      </c>
      <c r="B457" t="s">
        <v>557</v>
      </c>
      <c r="C457" t="s">
        <v>61</v>
      </c>
      <c r="E457">
        <v>13666</v>
      </c>
      <c r="F457">
        <v>18000</v>
      </c>
      <c r="G457">
        <v>15000</v>
      </c>
      <c r="H457" t="s">
        <v>53</v>
      </c>
      <c r="I457" t="s">
        <v>35</v>
      </c>
      <c r="L457" t="s">
        <v>49</v>
      </c>
    </row>
    <row r="458" spans="1:13" x14ac:dyDescent="0.25">
      <c r="A458">
        <v>1320</v>
      </c>
      <c r="B458" t="s">
        <v>558</v>
      </c>
      <c r="C458" t="s">
        <v>65</v>
      </c>
      <c r="D458">
        <v>2021</v>
      </c>
      <c r="E458">
        <v>3087</v>
      </c>
      <c r="F458">
        <v>9000</v>
      </c>
      <c r="G458">
        <v>25000</v>
      </c>
      <c r="H458" t="s">
        <v>53</v>
      </c>
      <c r="I458" t="s">
        <v>59</v>
      </c>
      <c r="J458" t="s">
        <v>66</v>
      </c>
      <c r="K458" t="s">
        <v>100</v>
      </c>
      <c r="L458" t="s">
        <v>49</v>
      </c>
      <c r="M458">
        <v>1</v>
      </c>
    </row>
    <row r="459" spans="1:13" x14ac:dyDescent="0.25">
      <c r="A459">
        <v>1502</v>
      </c>
      <c r="B459" t="s">
        <v>559</v>
      </c>
      <c r="C459" t="s">
        <v>47</v>
      </c>
      <c r="D459">
        <v>2018</v>
      </c>
      <c r="E459">
        <v>27917</v>
      </c>
      <c r="F459">
        <v>31000</v>
      </c>
      <c r="G459" t="s">
        <v>92</v>
      </c>
      <c r="H459" t="s">
        <v>34</v>
      </c>
      <c r="I459" t="s">
        <v>59</v>
      </c>
      <c r="J459" t="s">
        <v>66</v>
      </c>
      <c r="K459" t="s">
        <v>54</v>
      </c>
      <c r="L459" t="s">
        <v>90</v>
      </c>
      <c r="M459">
        <v>2</v>
      </c>
    </row>
    <row r="460" spans="1:13" x14ac:dyDescent="0.25">
      <c r="A460">
        <v>1055</v>
      </c>
      <c r="B460" t="s">
        <v>560</v>
      </c>
      <c r="C460" t="s">
        <v>133</v>
      </c>
      <c r="D460">
        <v>2019</v>
      </c>
      <c r="E460">
        <v>11713</v>
      </c>
      <c r="F460">
        <v>18000</v>
      </c>
      <c r="G460" t="s">
        <v>76</v>
      </c>
      <c r="H460" t="s">
        <v>34</v>
      </c>
      <c r="I460" t="s">
        <v>72</v>
      </c>
      <c r="J460" t="s">
        <v>96</v>
      </c>
      <c r="K460" t="s">
        <v>37</v>
      </c>
      <c r="M460">
        <v>1</v>
      </c>
    </row>
    <row r="461" spans="1:13" x14ac:dyDescent="0.25">
      <c r="A461">
        <v>1092</v>
      </c>
      <c r="B461" t="s">
        <v>561</v>
      </c>
      <c r="C461" t="s">
        <v>138</v>
      </c>
      <c r="D461">
        <v>2020</v>
      </c>
      <c r="E461">
        <v>3907</v>
      </c>
      <c r="F461">
        <v>7000</v>
      </c>
      <c r="G461">
        <v>60000</v>
      </c>
      <c r="H461" t="s">
        <v>58</v>
      </c>
      <c r="I461" t="s">
        <v>59</v>
      </c>
      <c r="J461" t="s">
        <v>96</v>
      </c>
      <c r="K461" t="s">
        <v>48</v>
      </c>
      <c r="L461" t="s">
        <v>126</v>
      </c>
      <c r="M461">
        <v>2</v>
      </c>
    </row>
    <row r="462" spans="1:13" x14ac:dyDescent="0.25">
      <c r="A462">
        <v>1432</v>
      </c>
      <c r="B462" t="s">
        <v>254</v>
      </c>
      <c r="C462" t="s">
        <v>75</v>
      </c>
      <c r="D462">
        <v>2021</v>
      </c>
      <c r="E462">
        <v>26618</v>
      </c>
      <c r="F462">
        <v>31000</v>
      </c>
      <c r="G462">
        <v>120000</v>
      </c>
      <c r="H462" t="s">
        <v>69</v>
      </c>
      <c r="J462" t="s">
        <v>36</v>
      </c>
      <c r="K462" t="s">
        <v>44</v>
      </c>
      <c r="L462" t="s">
        <v>98</v>
      </c>
    </row>
    <row r="463" spans="1:13" x14ac:dyDescent="0.25">
      <c r="A463">
        <v>1454</v>
      </c>
      <c r="B463" t="s">
        <v>562</v>
      </c>
      <c r="C463" t="s">
        <v>61</v>
      </c>
      <c r="D463">
        <v>2021</v>
      </c>
      <c r="E463">
        <v>746</v>
      </c>
      <c r="F463" t="s">
        <v>147</v>
      </c>
      <c r="G463">
        <v>15000</v>
      </c>
      <c r="H463" t="s">
        <v>69</v>
      </c>
      <c r="I463" t="s">
        <v>72</v>
      </c>
      <c r="K463" t="s">
        <v>37</v>
      </c>
      <c r="L463" t="s">
        <v>49</v>
      </c>
      <c r="M463">
        <v>1</v>
      </c>
    </row>
    <row r="464" spans="1:13" x14ac:dyDescent="0.25">
      <c r="A464">
        <v>1327</v>
      </c>
      <c r="B464" t="s">
        <v>563</v>
      </c>
      <c r="C464" t="s">
        <v>119</v>
      </c>
      <c r="D464">
        <v>2022</v>
      </c>
      <c r="E464">
        <v>5383</v>
      </c>
      <c r="F464">
        <v>12000</v>
      </c>
      <c r="G464" t="s">
        <v>121</v>
      </c>
      <c r="H464" t="s">
        <v>58</v>
      </c>
      <c r="J464" t="s">
        <v>96</v>
      </c>
      <c r="K464" t="s">
        <v>54</v>
      </c>
      <c r="L464" t="s">
        <v>38</v>
      </c>
      <c r="M464">
        <v>0</v>
      </c>
    </row>
    <row r="465" spans="1:13" x14ac:dyDescent="0.25">
      <c r="A465">
        <v>1229</v>
      </c>
      <c r="B465" t="s">
        <v>564</v>
      </c>
      <c r="C465" t="s">
        <v>103</v>
      </c>
      <c r="D465">
        <v>2019</v>
      </c>
      <c r="E465" t="s">
        <v>565</v>
      </c>
      <c r="F465" t="s">
        <v>204</v>
      </c>
      <c r="G465">
        <v>60000</v>
      </c>
      <c r="H465" t="s">
        <v>53</v>
      </c>
      <c r="I465" t="s">
        <v>35</v>
      </c>
      <c r="J465" t="s">
        <v>43</v>
      </c>
      <c r="K465" t="s">
        <v>77</v>
      </c>
      <c r="L465" t="s">
        <v>45</v>
      </c>
      <c r="M465">
        <v>1</v>
      </c>
    </row>
    <row r="466" spans="1:13" x14ac:dyDescent="0.25">
      <c r="A466">
        <v>1091</v>
      </c>
      <c r="B466" t="s">
        <v>469</v>
      </c>
      <c r="C466" t="s">
        <v>68</v>
      </c>
      <c r="D466">
        <v>2020</v>
      </c>
      <c r="E466">
        <v>22869</v>
      </c>
      <c r="F466">
        <v>26000</v>
      </c>
      <c r="G466">
        <v>80000</v>
      </c>
      <c r="H466" t="s">
        <v>41</v>
      </c>
      <c r="J466" t="s">
        <v>43</v>
      </c>
      <c r="K466" t="s">
        <v>116</v>
      </c>
      <c r="L466" t="s">
        <v>55</v>
      </c>
      <c r="M466">
        <v>0</v>
      </c>
    </row>
    <row r="467" spans="1:13" x14ac:dyDescent="0.25">
      <c r="A467">
        <v>1391</v>
      </c>
      <c r="B467" t="s">
        <v>566</v>
      </c>
      <c r="C467" t="s">
        <v>119</v>
      </c>
      <c r="D467">
        <v>2017</v>
      </c>
      <c r="E467" t="s">
        <v>567</v>
      </c>
      <c r="F467">
        <v>15000</v>
      </c>
      <c r="G467">
        <v>40000</v>
      </c>
      <c r="H467" t="s">
        <v>69</v>
      </c>
      <c r="I467" t="s">
        <v>42</v>
      </c>
      <c r="J467" t="s">
        <v>43</v>
      </c>
      <c r="K467" t="s">
        <v>100</v>
      </c>
      <c r="L467" t="s">
        <v>98</v>
      </c>
      <c r="M467">
        <v>1</v>
      </c>
    </row>
    <row r="468" spans="1:13" x14ac:dyDescent="0.25">
      <c r="A468">
        <v>1254</v>
      </c>
      <c r="B468" t="s">
        <v>134</v>
      </c>
      <c r="C468" t="s">
        <v>40</v>
      </c>
      <c r="D468">
        <v>2018</v>
      </c>
      <c r="E468">
        <v>11940</v>
      </c>
      <c r="F468">
        <v>18000</v>
      </c>
      <c r="G468">
        <v>25000</v>
      </c>
      <c r="H468" t="s">
        <v>41</v>
      </c>
      <c r="I468" t="s">
        <v>59</v>
      </c>
      <c r="J468" t="s">
        <v>66</v>
      </c>
      <c r="K468" t="s">
        <v>44</v>
      </c>
      <c r="L468" t="s">
        <v>98</v>
      </c>
      <c r="M468">
        <v>1</v>
      </c>
    </row>
    <row r="469" spans="1:13" x14ac:dyDescent="0.25">
      <c r="A469">
        <v>1060</v>
      </c>
      <c r="B469" t="s">
        <v>568</v>
      </c>
      <c r="C469" t="s">
        <v>94</v>
      </c>
      <c r="D469">
        <v>2020</v>
      </c>
      <c r="E469" t="s">
        <v>569</v>
      </c>
      <c r="F469">
        <v>18000</v>
      </c>
      <c r="G469">
        <v>15000</v>
      </c>
      <c r="H469" t="s">
        <v>63</v>
      </c>
      <c r="K469" t="s">
        <v>73</v>
      </c>
      <c r="L469" t="s">
        <v>126</v>
      </c>
      <c r="M469">
        <v>2</v>
      </c>
    </row>
    <row r="470" spans="1:13" x14ac:dyDescent="0.25">
      <c r="A470">
        <v>1572</v>
      </c>
      <c r="B470" t="s">
        <v>300</v>
      </c>
      <c r="C470" t="s">
        <v>94</v>
      </c>
      <c r="D470">
        <v>2018</v>
      </c>
      <c r="E470" t="s">
        <v>570</v>
      </c>
      <c r="F470">
        <v>26000</v>
      </c>
      <c r="G470" t="s">
        <v>108</v>
      </c>
      <c r="I470" t="s">
        <v>72</v>
      </c>
      <c r="J470" t="s">
        <v>43</v>
      </c>
      <c r="K470" t="s">
        <v>100</v>
      </c>
      <c r="L470" t="s">
        <v>49</v>
      </c>
      <c r="M470">
        <v>2</v>
      </c>
    </row>
    <row r="471" spans="1:13" x14ac:dyDescent="0.25">
      <c r="A471">
        <v>1130</v>
      </c>
      <c r="B471" t="s">
        <v>571</v>
      </c>
      <c r="C471" t="s">
        <v>103</v>
      </c>
      <c r="D471">
        <v>2016</v>
      </c>
      <c r="E471">
        <v>14434</v>
      </c>
      <c r="F471">
        <v>18000</v>
      </c>
      <c r="G471">
        <v>15000</v>
      </c>
      <c r="H471" t="s">
        <v>63</v>
      </c>
      <c r="I471" t="s">
        <v>59</v>
      </c>
      <c r="J471" t="s">
        <v>96</v>
      </c>
      <c r="K471" t="s">
        <v>54</v>
      </c>
      <c r="L471" t="s">
        <v>45</v>
      </c>
    </row>
    <row r="472" spans="1:13" x14ac:dyDescent="0.25">
      <c r="A472">
        <v>1569</v>
      </c>
      <c r="B472" t="s">
        <v>572</v>
      </c>
      <c r="C472" t="s">
        <v>61</v>
      </c>
      <c r="D472">
        <v>2020</v>
      </c>
      <c r="E472">
        <v>6976</v>
      </c>
      <c r="F472">
        <v>12000</v>
      </c>
      <c r="G472">
        <v>40000</v>
      </c>
      <c r="H472" t="s">
        <v>41</v>
      </c>
      <c r="I472" t="s">
        <v>42</v>
      </c>
      <c r="J472" t="s">
        <v>66</v>
      </c>
      <c r="K472" t="s">
        <v>73</v>
      </c>
      <c r="L472" t="s">
        <v>38</v>
      </c>
      <c r="M472">
        <v>1</v>
      </c>
    </row>
    <row r="473" spans="1:13" x14ac:dyDescent="0.25">
      <c r="A473">
        <v>1446</v>
      </c>
      <c r="B473" t="s">
        <v>573</v>
      </c>
      <c r="C473" t="s">
        <v>68</v>
      </c>
      <c r="D473">
        <v>2021</v>
      </c>
      <c r="E473" t="s">
        <v>574</v>
      </c>
      <c r="F473">
        <v>18000</v>
      </c>
      <c r="G473">
        <v>25000</v>
      </c>
      <c r="I473" t="s">
        <v>72</v>
      </c>
      <c r="K473" t="s">
        <v>116</v>
      </c>
      <c r="L473" t="s">
        <v>55</v>
      </c>
      <c r="M473">
        <v>3</v>
      </c>
    </row>
    <row r="474" spans="1:13" x14ac:dyDescent="0.25">
      <c r="A474">
        <v>1290</v>
      </c>
      <c r="B474" t="s">
        <v>575</v>
      </c>
      <c r="C474" t="s">
        <v>32</v>
      </c>
      <c r="D474">
        <v>2016</v>
      </c>
      <c r="E474" t="s">
        <v>576</v>
      </c>
      <c r="F474">
        <v>9000</v>
      </c>
      <c r="G474">
        <v>40000</v>
      </c>
      <c r="H474" t="s">
        <v>69</v>
      </c>
      <c r="K474" t="s">
        <v>77</v>
      </c>
      <c r="L474" t="s">
        <v>126</v>
      </c>
    </row>
    <row r="475" spans="1:13" x14ac:dyDescent="0.25">
      <c r="A475">
        <v>1336</v>
      </c>
      <c r="B475" t="s">
        <v>577</v>
      </c>
      <c r="C475" t="s">
        <v>57</v>
      </c>
      <c r="D475">
        <v>2020</v>
      </c>
      <c r="E475" t="s">
        <v>578</v>
      </c>
      <c r="F475">
        <v>9000</v>
      </c>
      <c r="G475">
        <v>25000</v>
      </c>
      <c r="H475" t="s">
        <v>34</v>
      </c>
      <c r="I475" t="s">
        <v>72</v>
      </c>
      <c r="K475" t="s">
        <v>37</v>
      </c>
      <c r="L475" t="s">
        <v>109</v>
      </c>
      <c r="M475">
        <v>1</v>
      </c>
    </row>
    <row r="476" spans="1:13" x14ac:dyDescent="0.25">
      <c r="A476">
        <v>1464</v>
      </c>
      <c r="B476" t="s">
        <v>579</v>
      </c>
      <c r="C476" t="s">
        <v>40</v>
      </c>
      <c r="D476">
        <v>2015</v>
      </c>
      <c r="E476">
        <v>24598</v>
      </c>
      <c r="F476">
        <v>31000</v>
      </c>
      <c r="G476">
        <v>120000</v>
      </c>
      <c r="H476" t="s">
        <v>63</v>
      </c>
      <c r="I476" t="s">
        <v>35</v>
      </c>
      <c r="K476" t="s">
        <v>116</v>
      </c>
      <c r="L476" t="s">
        <v>109</v>
      </c>
    </row>
    <row r="477" spans="1:13" x14ac:dyDescent="0.25">
      <c r="A477">
        <v>1056</v>
      </c>
      <c r="B477" t="s">
        <v>580</v>
      </c>
      <c r="C477" t="s">
        <v>164</v>
      </c>
      <c r="D477">
        <v>2017</v>
      </c>
      <c r="E477">
        <v>3683</v>
      </c>
      <c r="F477">
        <v>7000</v>
      </c>
      <c r="G477">
        <v>120000</v>
      </c>
      <c r="H477" t="s">
        <v>84</v>
      </c>
      <c r="I477" t="s">
        <v>59</v>
      </c>
      <c r="J477" t="s">
        <v>96</v>
      </c>
      <c r="K477" t="s">
        <v>100</v>
      </c>
      <c r="L477" t="s">
        <v>38</v>
      </c>
      <c r="M477">
        <v>3</v>
      </c>
    </row>
    <row r="478" spans="1:13" x14ac:dyDescent="0.25">
      <c r="A478">
        <v>1291</v>
      </c>
      <c r="B478" t="s">
        <v>581</v>
      </c>
      <c r="C478" t="s">
        <v>75</v>
      </c>
      <c r="D478">
        <v>2014</v>
      </c>
      <c r="E478">
        <v>10818</v>
      </c>
      <c r="F478">
        <v>15000</v>
      </c>
      <c r="G478" t="s">
        <v>33</v>
      </c>
      <c r="H478" t="s">
        <v>69</v>
      </c>
      <c r="I478" t="s">
        <v>59</v>
      </c>
      <c r="J478" t="s">
        <v>43</v>
      </c>
      <c r="K478" t="s">
        <v>54</v>
      </c>
      <c r="L478" t="s">
        <v>90</v>
      </c>
      <c r="M478">
        <v>2</v>
      </c>
    </row>
    <row r="479" spans="1:13" x14ac:dyDescent="0.25">
      <c r="A479">
        <v>1487</v>
      </c>
      <c r="B479" t="s">
        <v>582</v>
      </c>
      <c r="C479" t="s">
        <v>32</v>
      </c>
      <c r="D479">
        <v>2019</v>
      </c>
      <c r="E479">
        <v>10351</v>
      </c>
      <c r="F479">
        <v>15000</v>
      </c>
      <c r="G479" t="s">
        <v>92</v>
      </c>
      <c r="H479" t="s">
        <v>34</v>
      </c>
      <c r="I479" t="s">
        <v>72</v>
      </c>
      <c r="K479" t="s">
        <v>100</v>
      </c>
      <c r="L479" t="s">
        <v>98</v>
      </c>
      <c r="M479">
        <v>3</v>
      </c>
    </row>
    <row r="480" spans="1:13" x14ac:dyDescent="0.25">
      <c r="A480">
        <v>1158</v>
      </c>
      <c r="B480" t="s">
        <v>216</v>
      </c>
      <c r="C480" t="s">
        <v>75</v>
      </c>
      <c r="D480">
        <v>2014</v>
      </c>
      <c r="E480">
        <v>15459</v>
      </c>
      <c r="F480">
        <v>22000</v>
      </c>
      <c r="G480">
        <v>60000</v>
      </c>
      <c r="H480" t="s">
        <v>84</v>
      </c>
      <c r="I480" t="s">
        <v>72</v>
      </c>
      <c r="J480" t="s">
        <v>43</v>
      </c>
      <c r="K480" t="s">
        <v>48</v>
      </c>
      <c r="L480" t="s">
        <v>49</v>
      </c>
      <c r="M480">
        <v>3</v>
      </c>
    </row>
    <row r="481" spans="1:13" x14ac:dyDescent="0.25">
      <c r="A481">
        <v>1535</v>
      </c>
      <c r="B481" t="s">
        <v>583</v>
      </c>
      <c r="C481" t="s">
        <v>51</v>
      </c>
      <c r="D481">
        <v>2016</v>
      </c>
      <c r="E481">
        <v>8540</v>
      </c>
      <c r="F481">
        <v>12000</v>
      </c>
      <c r="G481">
        <v>120000</v>
      </c>
      <c r="H481" t="s">
        <v>41</v>
      </c>
      <c r="J481" t="s">
        <v>36</v>
      </c>
      <c r="L481" t="s">
        <v>98</v>
      </c>
      <c r="M481">
        <v>3</v>
      </c>
    </row>
    <row r="482" spans="1:13" x14ac:dyDescent="0.25">
      <c r="A482">
        <v>1083</v>
      </c>
      <c r="B482" t="s">
        <v>584</v>
      </c>
      <c r="C482" t="s">
        <v>32</v>
      </c>
      <c r="D482">
        <v>2021</v>
      </c>
      <c r="E482">
        <v>14913</v>
      </c>
      <c r="F482" t="s">
        <v>129</v>
      </c>
      <c r="G482">
        <v>40000</v>
      </c>
      <c r="I482" t="s">
        <v>42</v>
      </c>
      <c r="J482" t="s">
        <v>66</v>
      </c>
      <c r="K482" t="s">
        <v>48</v>
      </c>
      <c r="L482" t="s">
        <v>126</v>
      </c>
      <c r="M482">
        <v>0</v>
      </c>
    </row>
    <row r="483" spans="1:13" x14ac:dyDescent="0.25">
      <c r="A483">
        <v>1460</v>
      </c>
      <c r="B483" t="s">
        <v>243</v>
      </c>
      <c r="C483" t="s">
        <v>103</v>
      </c>
      <c r="D483">
        <v>2018</v>
      </c>
      <c r="E483">
        <v>15069</v>
      </c>
      <c r="F483">
        <v>22000</v>
      </c>
      <c r="G483">
        <v>80000</v>
      </c>
      <c r="H483" t="s">
        <v>58</v>
      </c>
      <c r="I483" t="s">
        <v>42</v>
      </c>
      <c r="J483" t="s">
        <v>66</v>
      </c>
      <c r="K483" t="s">
        <v>37</v>
      </c>
      <c r="L483" t="s">
        <v>45</v>
      </c>
      <c r="M483">
        <v>0</v>
      </c>
    </row>
    <row r="484" spans="1:13" x14ac:dyDescent="0.25">
      <c r="A484">
        <v>1013</v>
      </c>
      <c r="B484" t="s">
        <v>585</v>
      </c>
      <c r="C484" t="s">
        <v>103</v>
      </c>
      <c r="D484">
        <v>2022</v>
      </c>
      <c r="E484" t="s">
        <v>586</v>
      </c>
      <c r="F484">
        <v>7000</v>
      </c>
      <c r="G484">
        <v>15000</v>
      </c>
      <c r="I484" t="s">
        <v>72</v>
      </c>
      <c r="K484" t="s">
        <v>44</v>
      </c>
      <c r="L484" t="s">
        <v>98</v>
      </c>
      <c r="M484">
        <v>2</v>
      </c>
    </row>
    <row r="485" spans="1:13" x14ac:dyDescent="0.25">
      <c r="A485">
        <v>1016</v>
      </c>
      <c r="B485" t="s">
        <v>587</v>
      </c>
      <c r="C485" t="s">
        <v>75</v>
      </c>
      <c r="D485">
        <v>2016</v>
      </c>
      <c r="E485">
        <v>9437</v>
      </c>
      <c r="F485">
        <v>12000</v>
      </c>
      <c r="G485" t="s">
        <v>76</v>
      </c>
      <c r="I485" t="s">
        <v>42</v>
      </c>
      <c r="J485" t="s">
        <v>66</v>
      </c>
      <c r="K485" t="s">
        <v>48</v>
      </c>
      <c r="M485">
        <v>1</v>
      </c>
    </row>
    <row r="486" spans="1:13" x14ac:dyDescent="0.25">
      <c r="A486">
        <v>1022</v>
      </c>
      <c r="B486" t="s">
        <v>67</v>
      </c>
      <c r="C486" t="s">
        <v>75</v>
      </c>
      <c r="D486">
        <v>2018</v>
      </c>
      <c r="E486" t="s">
        <v>588</v>
      </c>
      <c r="F486">
        <v>31000</v>
      </c>
      <c r="G486">
        <v>25000</v>
      </c>
      <c r="I486" t="s">
        <v>59</v>
      </c>
      <c r="J486" t="s">
        <v>43</v>
      </c>
      <c r="K486" t="s">
        <v>73</v>
      </c>
      <c r="L486" t="s">
        <v>55</v>
      </c>
    </row>
    <row r="487" spans="1:13" x14ac:dyDescent="0.25">
      <c r="A487">
        <v>1341</v>
      </c>
      <c r="B487" t="s">
        <v>589</v>
      </c>
      <c r="C487" t="s">
        <v>119</v>
      </c>
      <c r="D487">
        <v>2017</v>
      </c>
      <c r="E487" t="s">
        <v>590</v>
      </c>
      <c r="F487">
        <v>18000</v>
      </c>
      <c r="G487">
        <v>80000</v>
      </c>
      <c r="H487" t="s">
        <v>34</v>
      </c>
      <c r="I487" t="s">
        <v>59</v>
      </c>
      <c r="L487" t="s">
        <v>45</v>
      </c>
      <c r="M487">
        <v>0</v>
      </c>
    </row>
    <row r="488" spans="1:13" x14ac:dyDescent="0.25">
      <c r="A488">
        <v>1237</v>
      </c>
      <c r="B488" t="s">
        <v>591</v>
      </c>
      <c r="C488" t="s">
        <v>133</v>
      </c>
      <c r="D488">
        <v>2020</v>
      </c>
      <c r="E488">
        <v>25159</v>
      </c>
      <c r="F488">
        <v>31000</v>
      </c>
      <c r="G488">
        <v>80000</v>
      </c>
      <c r="H488" t="s">
        <v>63</v>
      </c>
      <c r="J488" t="s">
        <v>36</v>
      </c>
      <c r="K488" t="s">
        <v>54</v>
      </c>
      <c r="L488" t="s">
        <v>98</v>
      </c>
      <c r="M488">
        <v>3</v>
      </c>
    </row>
    <row r="489" spans="1:13" x14ac:dyDescent="0.25">
      <c r="A489">
        <v>1021</v>
      </c>
      <c r="B489" t="s">
        <v>189</v>
      </c>
      <c r="C489" t="s">
        <v>32</v>
      </c>
      <c r="D489">
        <v>2021</v>
      </c>
      <c r="E489" t="s">
        <v>592</v>
      </c>
      <c r="F489">
        <v>22000</v>
      </c>
      <c r="G489">
        <v>60000</v>
      </c>
      <c r="I489" t="s">
        <v>42</v>
      </c>
      <c r="K489" t="s">
        <v>77</v>
      </c>
      <c r="L489" t="s">
        <v>109</v>
      </c>
    </row>
    <row r="490" spans="1:13" x14ac:dyDescent="0.25">
      <c r="A490">
        <v>1426</v>
      </c>
      <c r="B490" t="s">
        <v>593</v>
      </c>
      <c r="C490" t="s">
        <v>138</v>
      </c>
      <c r="D490">
        <v>2016</v>
      </c>
      <c r="E490">
        <v>11173</v>
      </c>
      <c r="F490">
        <v>18000</v>
      </c>
      <c r="G490">
        <v>120000</v>
      </c>
      <c r="I490" t="s">
        <v>42</v>
      </c>
      <c r="K490" t="s">
        <v>77</v>
      </c>
      <c r="L490" t="s">
        <v>45</v>
      </c>
      <c r="M490">
        <v>0</v>
      </c>
    </row>
    <row r="491" spans="1:13" x14ac:dyDescent="0.25">
      <c r="A491">
        <v>1103</v>
      </c>
      <c r="B491" t="s">
        <v>153</v>
      </c>
      <c r="C491" t="s">
        <v>133</v>
      </c>
      <c r="D491">
        <v>2016</v>
      </c>
      <c r="E491">
        <v>9720</v>
      </c>
      <c r="F491">
        <v>12000</v>
      </c>
      <c r="G491">
        <v>25000</v>
      </c>
      <c r="H491" t="s">
        <v>53</v>
      </c>
      <c r="I491" t="s">
        <v>42</v>
      </c>
      <c r="K491" t="s">
        <v>73</v>
      </c>
      <c r="L491" t="s">
        <v>126</v>
      </c>
      <c r="M491">
        <v>2</v>
      </c>
    </row>
    <row r="492" spans="1:13" x14ac:dyDescent="0.25">
      <c r="A492">
        <v>1065</v>
      </c>
      <c r="B492" t="s">
        <v>594</v>
      </c>
      <c r="C492" t="s">
        <v>65</v>
      </c>
      <c r="D492">
        <v>2019</v>
      </c>
      <c r="E492">
        <v>6876</v>
      </c>
      <c r="F492" t="s">
        <v>204</v>
      </c>
      <c r="G492" t="s">
        <v>33</v>
      </c>
      <c r="H492" t="s">
        <v>53</v>
      </c>
      <c r="I492" t="s">
        <v>59</v>
      </c>
      <c r="J492" t="s">
        <v>96</v>
      </c>
      <c r="K492" t="s">
        <v>44</v>
      </c>
      <c r="L492" t="s">
        <v>109</v>
      </c>
      <c r="M492">
        <v>0</v>
      </c>
    </row>
    <row r="493" spans="1:13" x14ac:dyDescent="0.25">
      <c r="A493">
        <v>1468</v>
      </c>
      <c r="B493" t="s">
        <v>595</v>
      </c>
      <c r="C493" t="s">
        <v>65</v>
      </c>
      <c r="D493">
        <v>2016</v>
      </c>
      <c r="E493">
        <v>7587</v>
      </c>
      <c r="F493">
        <v>9000</v>
      </c>
      <c r="G493">
        <v>120000</v>
      </c>
      <c r="H493" t="s">
        <v>84</v>
      </c>
      <c r="J493" t="s">
        <v>36</v>
      </c>
      <c r="L493" t="s">
        <v>49</v>
      </c>
      <c r="M493">
        <v>1</v>
      </c>
    </row>
    <row r="494" spans="1:13" x14ac:dyDescent="0.25">
      <c r="A494">
        <v>1452</v>
      </c>
      <c r="B494" t="s">
        <v>596</v>
      </c>
      <c r="C494" t="s">
        <v>32</v>
      </c>
      <c r="D494">
        <v>2017</v>
      </c>
      <c r="E494">
        <v>15034</v>
      </c>
      <c r="F494">
        <v>22000</v>
      </c>
      <c r="G494">
        <v>25000</v>
      </c>
      <c r="H494" t="s">
        <v>58</v>
      </c>
      <c r="I494" t="s">
        <v>72</v>
      </c>
      <c r="J494" t="s">
        <v>96</v>
      </c>
      <c r="K494" t="s">
        <v>100</v>
      </c>
      <c r="L494" t="s">
        <v>49</v>
      </c>
      <c r="M494">
        <v>1</v>
      </c>
    </row>
    <row r="495" spans="1:13" x14ac:dyDescent="0.25">
      <c r="A495">
        <v>1293</v>
      </c>
      <c r="B495" t="s">
        <v>451</v>
      </c>
      <c r="C495" t="s">
        <v>138</v>
      </c>
      <c r="D495">
        <v>2020</v>
      </c>
      <c r="E495">
        <v>2120</v>
      </c>
      <c r="F495" t="s">
        <v>147</v>
      </c>
      <c r="G495">
        <v>25000</v>
      </c>
      <c r="H495" t="s">
        <v>34</v>
      </c>
      <c r="I495" t="s">
        <v>72</v>
      </c>
      <c r="J495" t="s">
        <v>66</v>
      </c>
      <c r="K495" t="s">
        <v>100</v>
      </c>
      <c r="M495">
        <v>3</v>
      </c>
    </row>
    <row r="496" spans="1:13" x14ac:dyDescent="0.25">
      <c r="A496">
        <v>1528</v>
      </c>
      <c r="B496" t="s">
        <v>597</v>
      </c>
      <c r="C496" t="s">
        <v>119</v>
      </c>
      <c r="D496">
        <v>2016</v>
      </c>
      <c r="E496">
        <v>21647</v>
      </c>
      <c r="F496">
        <v>26000</v>
      </c>
      <c r="G496" t="s">
        <v>92</v>
      </c>
      <c r="H496" t="s">
        <v>58</v>
      </c>
      <c r="I496" t="s">
        <v>35</v>
      </c>
      <c r="K496" t="s">
        <v>37</v>
      </c>
      <c r="L496" t="s">
        <v>49</v>
      </c>
      <c r="M496">
        <v>2</v>
      </c>
    </row>
    <row r="497" spans="1:13" x14ac:dyDescent="0.25">
      <c r="A497">
        <v>1037</v>
      </c>
      <c r="B497" t="s">
        <v>449</v>
      </c>
      <c r="C497" t="s">
        <v>61</v>
      </c>
      <c r="D497">
        <v>2020</v>
      </c>
      <c r="E497">
        <v>10497</v>
      </c>
      <c r="F497">
        <v>12000</v>
      </c>
      <c r="G497">
        <v>60000</v>
      </c>
      <c r="H497" t="s">
        <v>41</v>
      </c>
      <c r="J497" t="s">
        <v>96</v>
      </c>
      <c r="K497" t="s">
        <v>48</v>
      </c>
      <c r="L497" t="s">
        <v>98</v>
      </c>
    </row>
    <row r="498" spans="1:13" x14ac:dyDescent="0.25">
      <c r="A498">
        <v>1150</v>
      </c>
      <c r="B498" t="s">
        <v>598</v>
      </c>
      <c r="C498" t="s">
        <v>51</v>
      </c>
      <c r="D498">
        <v>2019</v>
      </c>
      <c r="E498">
        <v>18709</v>
      </c>
      <c r="F498">
        <v>22000</v>
      </c>
      <c r="G498" t="s">
        <v>76</v>
      </c>
      <c r="I498" t="s">
        <v>72</v>
      </c>
      <c r="J498" t="s">
        <v>43</v>
      </c>
      <c r="K498" t="s">
        <v>77</v>
      </c>
      <c r="L498" t="s">
        <v>45</v>
      </c>
      <c r="M498">
        <v>0</v>
      </c>
    </row>
    <row r="499" spans="1:13" x14ac:dyDescent="0.25">
      <c r="A499">
        <v>1532</v>
      </c>
      <c r="B499" t="s">
        <v>599</v>
      </c>
      <c r="C499" t="s">
        <v>68</v>
      </c>
      <c r="D499">
        <v>2022</v>
      </c>
      <c r="E499">
        <v>15060</v>
      </c>
      <c r="F499">
        <v>22000</v>
      </c>
      <c r="G499" t="s">
        <v>92</v>
      </c>
      <c r="H499" t="s">
        <v>69</v>
      </c>
      <c r="J499" t="s">
        <v>96</v>
      </c>
      <c r="K499" t="s">
        <v>100</v>
      </c>
      <c r="L499" t="s">
        <v>126</v>
      </c>
      <c r="M499">
        <v>0</v>
      </c>
    </row>
    <row r="500" spans="1:13" x14ac:dyDescent="0.25">
      <c r="A500">
        <v>1113</v>
      </c>
      <c r="B500" t="s">
        <v>600</v>
      </c>
      <c r="C500" t="s">
        <v>65</v>
      </c>
      <c r="D500">
        <v>2017</v>
      </c>
      <c r="E500">
        <v>13537</v>
      </c>
      <c r="F500">
        <v>18000</v>
      </c>
      <c r="G500">
        <v>120000</v>
      </c>
      <c r="H500" t="s">
        <v>63</v>
      </c>
      <c r="I500" t="s">
        <v>35</v>
      </c>
      <c r="J500" t="s">
        <v>36</v>
      </c>
      <c r="K500" t="s">
        <v>37</v>
      </c>
      <c r="L500" t="s">
        <v>55</v>
      </c>
      <c r="M500">
        <v>2</v>
      </c>
    </row>
    <row r="501" spans="1:13" x14ac:dyDescent="0.25">
      <c r="A501">
        <v>1546</v>
      </c>
      <c r="B501" t="s">
        <v>601</v>
      </c>
      <c r="C501" t="s">
        <v>40</v>
      </c>
      <c r="D501">
        <v>2021</v>
      </c>
      <c r="E501">
        <v>16236</v>
      </c>
      <c r="F501">
        <v>22000</v>
      </c>
      <c r="G501">
        <v>25000</v>
      </c>
      <c r="H501" t="s">
        <v>58</v>
      </c>
      <c r="I501" t="s">
        <v>59</v>
      </c>
      <c r="K501" t="s">
        <v>77</v>
      </c>
      <c r="L501" t="s">
        <v>49</v>
      </c>
      <c r="M501">
        <v>2</v>
      </c>
    </row>
    <row r="502" spans="1:13" x14ac:dyDescent="0.25">
      <c r="A502">
        <v>1421</v>
      </c>
      <c r="B502" t="s">
        <v>602</v>
      </c>
      <c r="C502" t="s">
        <v>47</v>
      </c>
      <c r="D502">
        <v>2019</v>
      </c>
      <c r="E502" t="s">
        <v>603</v>
      </c>
      <c r="F502" t="s">
        <v>87</v>
      </c>
      <c r="G502">
        <v>15000</v>
      </c>
      <c r="I502" t="s">
        <v>42</v>
      </c>
      <c r="J502" t="s">
        <v>43</v>
      </c>
      <c r="K502" t="s">
        <v>37</v>
      </c>
      <c r="L502" t="s">
        <v>109</v>
      </c>
    </row>
    <row r="503" spans="1:13" x14ac:dyDescent="0.25">
      <c r="A503">
        <v>1433</v>
      </c>
      <c r="B503" t="s">
        <v>604</v>
      </c>
      <c r="C503" t="s">
        <v>94</v>
      </c>
      <c r="E503">
        <v>20214</v>
      </c>
      <c r="F503">
        <v>26000</v>
      </c>
      <c r="G503">
        <v>40000</v>
      </c>
      <c r="H503" t="s">
        <v>34</v>
      </c>
      <c r="I503" t="s">
        <v>42</v>
      </c>
      <c r="J503" t="s">
        <v>66</v>
      </c>
      <c r="L503" t="s">
        <v>90</v>
      </c>
      <c r="M503">
        <v>3</v>
      </c>
    </row>
    <row r="504" spans="1:13" x14ac:dyDescent="0.25">
      <c r="A504">
        <v>1484</v>
      </c>
      <c r="B504" t="s">
        <v>422</v>
      </c>
      <c r="C504" t="s">
        <v>138</v>
      </c>
      <c r="D504">
        <v>2016</v>
      </c>
      <c r="E504" t="s">
        <v>605</v>
      </c>
      <c r="F504">
        <v>9000</v>
      </c>
      <c r="G504">
        <v>120000</v>
      </c>
      <c r="H504" t="s">
        <v>84</v>
      </c>
      <c r="J504" t="s">
        <v>43</v>
      </c>
      <c r="K504" t="s">
        <v>37</v>
      </c>
      <c r="L504" t="s">
        <v>49</v>
      </c>
      <c r="M504">
        <v>2</v>
      </c>
    </row>
    <row r="505" spans="1:13" x14ac:dyDescent="0.25">
      <c r="A505">
        <v>1383</v>
      </c>
      <c r="B505" t="s">
        <v>606</v>
      </c>
      <c r="C505" t="s">
        <v>51</v>
      </c>
      <c r="D505">
        <v>2014</v>
      </c>
      <c r="E505">
        <v>7957</v>
      </c>
      <c r="F505">
        <v>12000</v>
      </c>
      <c r="G505">
        <v>15000</v>
      </c>
      <c r="H505" t="s">
        <v>58</v>
      </c>
      <c r="J505" t="s">
        <v>43</v>
      </c>
      <c r="K505" t="s">
        <v>73</v>
      </c>
      <c r="L505" t="s">
        <v>45</v>
      </c>
      <c r="M505">
        <v>2</v>
      </c>
    </row>
    <row r="506" spans="1:13" x14ac:dyDescent="0.25">
      <c r="A506">
        <v>1357</v>
      </c>
      <c r="B506" t="s">
        <v>607</v>
      </c>
      <c r="C506" t="s">
        <v>47</v>
      </c>
      <c r="D506">
        <v>2016</v>
      </c>
      <c r="E506" t="s">
        <v>608</v>
      </c>
      <c r="F506" t="s">
        <v>87</v>
      </c>
      <c r="G506">
        <v>15000</v>
      </c>
      <c r="H506" t="s">
        <v>69</v>
      </c>
      <c r="J506" t="s">
        <v>43</v>
      </c>
      <c r="K506" t="s">
        <v>44</v>
      </c>
      <c r="L506" t="s">
        <v>98</v>
      </c>
      <c r="M506">
        <v>3</v>
      </c>
    </row>
    <row r="507" spans="1:13" x14ac:dyDescent="0.25">
      <c r="A507">
        <v>1152</v>
      </c>
      <c r="B507" t="s">
        <v>609</v>
      </c>
      <c r="C507" t="s">
        <v>164</v>
      </c>
      <c r="D507">
        <v>2016</v>
      </c>
      <c r="E507">
        <v>24535</v>
      </c>
      <c r="F507">
        <v>31000</v>
      </c>
      <c r="G507">
        <v>60000</v>
      </c>
      <c r="H507" t="s">
        <v>34</v>
      </c>
      <c r="I507" t="s">
        <v>59</v>
      </c>
      <c r="J507" t="s">
        <v>66</v>
      </c>
      <c r="K507" t="s">
        <v>48</v>
      </c>
      <c r="L507" t="s">
        <v>109</v>
      </c>
    </row>
    <row r="508" spans="1:13" x14ac:dyDescent="0.25">
      <c r="A508">
        <v>1169</v>
      </c>
      <c r="B508" t="s">
        <v>610</v>
      </c>
      <c r="C508" t="s">
        <v>68</v>
      </c>
      <c r="D508" t="s">
        <v>52</v>
      </c>
      <c r="E508">
        <v>27728</v>
      </c>
      <c r="F508">
        <v>31000</v>
      </c>
      <c r="G508">
        <v>120000</v>
      </c>
      <c r="H508" t="s">
        <v>69</v>
      </c>
      <c r="J508" t="s">
        <v>36</v>
      </c>
      <c r="L508" t="s">
        <v>49</v>
      </c>
      <c r="M508">
        <v>1</v>
      </c>
    </row>
    <row r="509" spans="1:13" x14ac:dyDescent="0.25">
      <c r="A509">
        <v>1123</v>
      </c>
      <c r="B509" t="s">
        <v>391</v>
      </c>
      <c r="C509" t="s">
        <v>68</v>
      </c>
      <c r="E509">
        <v>9883</v>
      </c>
      <c r="F509">
        <v>15000</v>
      </c>
      <c r="G509">
        <v>60000</v>
      </c>
      <c r="H509" t="s">
        <v>69</v>
      </c>
      <c r="I509" t="s">
        <v>42</v>
      </c>
      <c r="J509" t="s">
        <v>66</v>
      </c>
      <c r="K509" t="s">
        <v>116</v>
      </c>
      <c r="L509" t="s">
        <v>49</v>
      </c>
    </row>
    <row r="510" spans="1:13" x14ac:dyDescent="0.25">
      <c r="A510">
        <v>1447</v>
      </c>
      <c r="B510" t="s">
        <v>611</v>
      </c>
      <c r="C510" t="s">
        <v>61</v>
      </c>
      <c r="D510">
        <v>2020</v>
      </c>
      <c r="E510" t="s">
        <v>612</v>
      </c>
      <c r="F510" t="s">
        <v>147</v>
      </c>
      <c r="G510">
        <v>60000</v>
      </c>
      <c r="H510" t="s">
        <v>34</v>
      </c>
      <c r="I510" t="s">
        <v>72</v>
      </c>
      <c r="J510" t="s">
        <v>36</v>
      </c>
      <c r="K510" t="s">
        <v>37</v>
      </c>
      <c r="L510" t="s">
        <v>49</v>
      </c>
    </row>
    <row r="511" spans="1:13" x14ac:dyDescent="0.25">
      <c r="A511">
        <v>1157</v>
      </c>
      <c r="B511" t="s">
        <v>418</v>
      </c>
      <c r="C511" t="s">
        <v>57</v>
      </c>
      <c r="D511">
        <v>2018</v>
      </c>
      <c r="E511">
        <v>8907</v>
      </c>
      <c r="F511">
        <v>12000</v>
      </c>
      <c r="G511" t="s">
        <v>33</v>
      </c>
      <c r="H511" t="s">
        <v>63</v>
      </c>
      <c r="I511" t="s">
        <v>42</v>
      </c>
      <c r="J511" t="s">
        <v>36</v>
      </c>
      <c r="K511" t="s">
        <v>73</v>
      </c>
      <c r="L511" t="s">
        <v>45</v>
      </c>
      <c r="M511">
        <v>3</v>
      </c>
    </row>
    <row r="512" spans="1:13" x14ac:dyDescent="0.25">
      <c r="A512">
        <v>1384</v>
      </c>
      <c r="B512" t="s">
        <v>479</v>
      </c>
      <c r="C512" t="s">
        <v>32</v>
      </c>
      <c r="D512">
        <v>2019</v>
      </c>
      <c r="E512">
        <v>8345</v>
      </c>
      <c r="F512">
        <v>12000</v>
      </c>
      <c r="G512" t="s">
        <v>92</v>
      </c>
      <c r="H512" t="s">
        <v>53</v>
      </c>
      <c r="K512" t="s">
        <v>77</v>
      </c>
      <c r="L512" t="s">
        <v>55</v>
      </c>
    </row>
    <row r="513" spans="1:13" x14ac:dyDescent="0.25">
      <c r="A513">
        <v>1566</v>
      </c>
      <c r="B513" t="s">
        <v>208</v>
      </c>
      <c r="C513" t="s">
        <v>94</v>
      </c>
      <c r="D513">
        <v>2015</v>
      </c>
      <c r="E513">
        <v>14393</v>
      </c>
      <c r="F513">
        <v>18000</v>
      </c>
      <c r="G513">
        <v>15000</v>
      </c>
      <c r="H513" t="s">
        <v>53</v>
      </c>
      <c r="I513" t="s">
        <v>35</v>
      </c>
      <c r="J513" t="s">
        <v>96</v>
      </c>
      <c r="L513" t="s">
        <v>49</v>
      </c>
      <c r="M513">
        <v>1</v>
      </c>
    </row>
    <row r="514" spans="1:13" x14ac:dyDescent="0.25">
      <c r="A514">
        <v>1208</v>
      </c>
      <c r="B514" t="s">
        <v>613</v>
      </c>
      <c r="C514" t="s">
        <v>164</v>
      </c>
      <c r="D514">
        <v>2018</v>
      </c>
      <c r="E514">
        <v>24313</v>
      </c>
      <c r="F514" t="s">
        <v>83</v>
      </c>
      <c r="G514">
        <v>60000</v>
      </c>
      <c r="H514" t="s">
        <v>58</v>
      </c>
      <c r="I514" t="s">
        <v>42</v>
      </c>
      <c r="K514" t="s">
        <v>48</v>
      </c>
      <c r="M514">
        <v>3</v>
      </c>
    </row>
    <row r="515" spans="1:13" x14ac:dyDescent="0.25">
      <c r="A515">
        <v>1000</v>
      </c>
      <c r="B515" t="s">
        <v>614</v>
      </c>
      <c r="C515" t="s">
        <v>68</v>
      </c>
      <c r="D515">
        <v>2014</v>
      </c>
      <c r="E515" t="s">
        <v>615</v>
      </c>
      <c r="F515">
        <v>31000</v>
      </c>
      <c r="G515">
        <v>80000</v>
      </c>
      <c r="H515" t="s">
        <v>69</v>
      </c>
      <c r="I515" t="s">
        <v>59</v>
      </c>
      <c r="J515" t="s">
        <v>96</v>
      </c>
      <c r="K515" t="s">
        <v>77</v>
      </c>
      <c r="M515">
        <v>2</v>
      </c>
    </row>
    <row r="516" spans="1:13" x14ac:dyDescent="0.25">
      <c r="A516">
        <v>1125</v>
      </c>
      <c r="B516" t="s">
        <v>414</v>
      </c>
      <c r="C516" t="s">
        <v>68</v>
      </c>
      <c r="D516">
        <v>2016</v>
      </c>
      <c r="E516">
        <v>7266</v>
      </c>
      <c r="F516">
        <v>9000</v>
      </c>
      <c r="G516">
        <v>40000</v>
      </c>
      <c r="H516" t="s">
        <v>34</v>
      </c>
      <c r="I516" t="s">
        <v>42</v>
      </c>
      <c r="L516" t="s">
        <v>109</v>
      </c>
      <c r="M516">
        <v>2</v>
      </c>
    </row>
    <row r="517" spans="1:13" x14ac:dyDescent="0.25">
      <c r="A517">
        <v>1349</v>
      </c>
      <c r="B517" t="s">
        <v>616</v>
      </c>
      <c r="C517" t="s">
        <v>65</v>
      </c>
      <c r="D517">
        <v>2021</v>
      </c>
      <c r="E517">
        <v>11575</v>
      </c>
      <c r="F517">
        <v>18000</v>
      </c>
      <c r="G517">
        <v>25000</v>
      </c>
      <c r="H517" t="s">
        <v>58</v>
      </c>
      <c r="I517" t="s">
        <v>35</v>
      </c>
      <c r="K517" t="s">
        <v>116</v>
      </c>
      <c r="L517" t="s">
        <v>126</v>
      </c>
      <c r="M517">
        <v>0</v>
      </c>
    </row>
    <row r="518" spans="1:13" x14ac:dyDescent="0.25">
      <c r="A518">
        <v>1079</v>
      </c>
      <c r="B518" t="s">
        <v>617</v>
      </c>
      <c r="C518" t="s">
        <v>57</v>
      </c>
      <c r="D518">
        <v>2020</v>
      </c>
      <c r="E518">
        <v>25592</v>
      </c>
      <c r="F518">
        <v>31000</v>
      </c>
      <c r="G518">
        <v>60000</v>
      </c>
      <c r="I518" t="s">
        <v>35</v>
      </c>
      <c r="J518" t="s">
        <v>96</v>
      </c>
      <c r="K518" t="s">
        <v>48</v>
      </c>
      <c r="L518" t="s">
        <v>109</v>
      </c>
      <c r="M518">
        <v>3</v>
      </c>
    </row>
    <row r="519" spans="1:13" x14ac:dyDescent="0.25">
      <c r="A519">
        <v>1455</v>
      </c>
      <c r="B519" t="s">
        <v>618</v>
      </c>
      <c r="C519" t="s">
        <v>57</v>
      </c>
      <c r="D519">
        <v>2014</v>
      </c>
      <c r="E519" t="s">
        <v>619</v>
      </c>
      <c r="F519">
        <v>9000</v>
      </c>
      <c r="G519">
        <v>60000</v>
      </c>
      <c r="H519" t="s">
        <v>63</v>
      </c>
      <c r="I519" t="s">
        <v>42</v>
      </c>
      <c r="J519" t="s">
        <v>36</v>
      </c>
      <c r="K519" t="s">
        <v>54</v>
      </c>
      <c r="L519" t="s">
        <v>38</v>
      </c>
      <c r="M519">
        <v>1</v>
      </c>
    </row>
    <row r="520" spans="1:13" x14ac:dyDescent="0.25">
      <c r="A520">
        <v>1007</v>
      </c>
      <c r="B520" t="s">
        <v>620</v>
      </c>
      <c r="C520" t="s">
        <v>133</v>
      </c>
      <c r="D520">
        <v>2019</v>
      </c>
      <c r="E520" t="s">
        <v>621</v>
      </c>
      <c r="F520">
        <v>7000</v>
      </c>
      <c r="G520">
        <v>40000</v>
      </c>
      <c r="H520" t="s">
        <v>69</v>
      </c>
      <c r="K520" t="s">
        <v>116</v>
      </c>
      <c r="L520" t="s">
        <v>90</v>
      </c>
    </row>
    <row r="521" spans="1:13" x14ac:dyDescent="0.25">
      <c r="A521">
        <v>1066</v>
      </c>
      <c r="B521" t="s">
        <v>381</v>
      </c>
      <c r="C521" t="s">
        <v>47</v>
      </c>
      <c r="D521" t="s">
        <v>52</v>
      </c>
      <c r="E521" t="s">
        <v>622</v>
      </c>
      <c r="F521">
        <v>12000</v>
      </c>
      <c r="G521">
        <v>15000</v>
      </c>
      <c r="H521" t="s">
        <v>69</v>
      </c>
      <c r="I521" t="s">
        <v>42</v>
      </c>
      <c r="J521" t="s">
        <v>36</v>
      </c>
      <c r="L521" t="s">
        <v>45</v>
      </c>
    </row>
    <row r="522" spans="1:13" x14ac:dyDescent="0.25">
      <c r="A522">
        <v>1330</v>
      </c>
      <c r="B522" t="s">
        <v>400</v>
      </c>
      <c r="C522" t="s">
        <v>138</v>
      </c>
      <c r="D522">
        <v>2014</v>
      </c>
      <c r="E522">
        <v>19486</v>
      </c>
      <c r="F522">
        <v>26000</v>
      </c>
      <c r="G522">
        <v>120000</v>
      </c>
      <c r="I522" t="s">
        <v>59</v>
      </c>
      <c r="J522" t="s">
        <v>96</v>
      </c>
      <c r="L522" t="s">
        <v>126</v>
      </c>
      <c r="M522">
        <v>1</v>
      </c>
    </row>
    <row r="523" spans="1:13" x14ac:dyDescent="0.25">
      <c r="A523">
        <v>1005</v>
      </c>
      <c r="B523" t="s">
        <v>623</v>
      </c>
      <c r="C523" t="s">
        <v>68</v>
      </c>
      <c r="D523">
        <v>2018</v>
      </c>
      <c r="E523">
        <v>21323</v>
      </c>
      <c r="F523">
        <v>26000</v>
      </c>
      <c r="G523">
        <v>80000</v>
      </c>
      <c r="H523" t="s">
        <v>41</v>
      </c>
      <c r="I523" t="s">
        <v>42</v>
      </c>
      <c r="J523" t="s">
        <v>43</v>
      </c>
      <c r="K523" t="s">
        <v>37</v>
      </c>
      <c r="L523" t="s">
        <v>38</v>
      </c>
      <c r="M523">
        <v>1</v>
      </c>
    </row>
    <row r="524" spans="1:13" x14ac:dyDescent="0.25">
      <c r="A524">
        <v>1028</v>
      </c>
      <c r="B524" t="s">
        <v>46</v>
      </c>
      <c r="C524" t="s">
        <v>57</v>
      </c>
      <c r="D524">
        <v>2019</v>
      </c>
      <c r="E524">
        <v>11872</v>
      </c>
      <c r="F524">
        <v>18000</v>
      </c>
      <c r="G524">
        <v>15000</v>
      </c>
      <c r="H524" t="s">
        <v>63</v>
      </c>
      <c r="I524" t="s">
        <v>72</v>
      </c>
      <c r="J524" t="s">
        <v>66</v>
      </c>
      <c r="K524" t="s">
        <v>37</v>
      </c>
      <c r="L524" t="s">
        <v>55</v>
      </c>
      <c r="M524">
        <v>1</v>
      </c>
    </row>
    <row r="525" spans="1:13" x14ac:dyDescent="0.25">
      <c r="A525">
        <v>1449</v>
      </c>
      <c r="B525" t="s">
        <v>221</v>
      </c>
      <c r="C525" t="s">
        <v>61</v>
      </c>
      <c r="D525">
        <v>2014</v>
      </c>
      <c r="E525">
        <v>19061</v>
      </c>
      <c r="F525">
        <v>22000</v>
      </c>
      <c r="G525">
        <v>80000</v>
      </c>
      <c r="H525" t="s">
        <v>84</v>
      </c>
      <c r="I525" t="s">
        <v>35</v>
      </c>
      <c r="J525" t="s">
        <v>36</v>
      </c>
      <c r="K525" t="s">
        <v>48</v>
      </c>
      <c r="L525" t="s">
        <v>109</v>
      </c>
      <c r="M525">
        <v>0</v>
      </c>
    </row>
    <row r="526" spans="1:13" x14ac:dyDescent="0.25">
      <c r="A526">
        <v>1067</v>
      </c>
      <c r="B526" t="s">
        <v>624</v>
      </c>
      <c r="C526" t="s">
        <v>164</v>
      </c>
      <c r="D526">
        <v>2014</v>
      </c>
      <c r="E526" t="s">
        <v>625</v>
      </c>
      <c r="F526" t="s">
        <v>87</v>
      </c>
      <c r="G526" t="s">
        <v>76</v>
      </c>
      <c r="H526" t="s">
        <v>34</v>
      </c>
      <c r="I526" t="s">
        <v>59</v>
      </c>
      <c r="J526" t="s">
        <v>36</v>
      </c>
      <c r="K526" t="s">
        <v>48</v>
      </c>
      <c r="L526" t="s">
        <v>38</v>
      </c>
    </row>
    <row r="527" spans="1:13" x14ac:dyDescent="0.25">
      <c r="A527">
        <v>1347</v>
      </c>
      <c r="B527" t="s">
        <v>433</v>
      </c>
      <c r="C527" t="s">
        <v>40</v>
      </c>
      <c r="D527">
        <v>2021</v>
      </c>
      <c r="E527">
        <v>21493</v>
      </c>
      <c r="F527">
        <v>26000</v>
      </c>
      <c r="G527" t="s">
        <v>92</v>
      </c>
      <c r="H527" t="s">
        <v>63</v>
      </c>
      <c r="J527" t="s">
        <v>66</v>
      </c>
      <c r="K527" t="s">
        <v>37</v>
      </c>
      <c r="L527" t="s">
        <v>49</v>
      </c>
      <c r="M527">
        <v>0</v>
      </c>
    </row>
    <row r="528" spans="1:13" x14ac:dyDescent="0.25">
      <c r="A528">
        <v>1262</v>
      </c>
      <c r="B528" t="s">
        <v>626</v>
      </c>
      <c r="C528" t="s">
        <v>75</v>
      </c>
      <c r="E528">
        <v>12968</v>
      </c>
      <c r="F528">
        <v>15000</v>
      </c>
      <c r="G528">
        <v>80000</v>
      </c>
      <c r="H528" t="s">
        <v>58</v>
      </c>
      <c r="I528" t="s">
        <v>42</v>
      </c>
      <c r="J528" t="s">
        <v>66</v>
      </c>
      <c r="K528" t="s">
        <v>73</v>
      </c>
      <c r="L528" t="s">
        <v>126</v>
      </c>
      <c r="M528">
        <v>1</v>
      </c>
    </row>
    <row r="529" spans="1:13" x14ac:dyDescent="0.25">
      <c r="A529">
        <v>1318</v>
      </c>
      <c r="B529" t="s">
        <v>627</v>
      </c>
      <c r="C529" t="s">
        <v>51</v>
      </c>
      <c r="E529">
        <v>19662</v>
      </c>
      <c r="F529">
        <v>26000</v>
      </c>
      <c r="G529" t="s">
        <v>121</v>
      </c>
      <c r="I529" t="s">
        <v>72</v>
      </c>
      <c r="K529" t="s">
        <v>44</v>
      </c>
      <c r="L529" t="s">
        <v>45</v>
      </c>
      <c r="M529">
        <v>2</v>
      </c>
    </row>
    <row r="530" spans="1:13" x14ac:dyDescent="0.25">
      <c r="A530">
        <v>1572</v>
      </c>
      <c r="B530" t="s">
        <v>112</v>
      </c>
      <c r="C530" t="s">
        <v>40</v>
      </c>
      <c r="D530">
        <v>2022</v>
      </c>
      <c r="E530">
        <v>9056</v>
      </c>
      <c r="F530">
        <v>12000</v>
      </c>
      <c r="G530" t="s">
        <v>76</v>
      </c>
      <c r="H530" t="s">
        <v>53</v>
      </c>
      <c r="I530" t="s">
        <v>42</v>
      </c>
      <c r="J530" t="s">
        <v>36</v>
      </c>
      <c r="K530" t="s">
        <v>44</v>
      </c>
      <c r="L530" t="s">
        <v>38</v>
      </c>
      <c r="M530">
        <v>3</v>
      </c>
    </row>
    <row r="531" spans="1:13" x14ac:dyDescent="0.25">
      <c r="A531">
        <v>1306</v>
      </c>
      <c r="B531" t="s">
        <v>628</v>
      </c>
      <c r="C531" t="s">
        <v>138</v>
      </c>
      <c r="E531">
        <v>16363</v>
      </c>
      <c r="F531">
        <v>22000</v>
      </c>
      <c r="G531">
        <v>80000</v>
      </c>
      <c r="H531" t="s">
        <v>41</v>
      </c>
      <c r="I531" t="s">
        <v>59</v>
      </c>
      <c r="J531" t="s">
        <v>66</v>
      </c>
      <c r="K531" t="s">
        <v>73</v>
      </c>
      <c r="L531" t="s">
        <v>38</v>
      </c>
      <c r="M531">
        <v>1</v>
      </c>
    </row>
    <row r="532" spans="1:13" x14ac:dyDescent="0.25">
      <c r="A532">
        <v>1384</v>
      </c>
      <c r="B532" t="s">
        <v>106</v>
      </c>
      <c r="C532" t="s">
        <v>138</v>
      </c>
      <c r="E532">
        <v>10062</v>
      </c>
      <c r="F532">
        <v>15000</v>
      </c>
      <c r="G532">
        <v>25000</v>
      </c>
      <c r="H532" t="s">
        <v>63</v>
      </c>
      <c r="I532" t="s">
        <v>35</v>
      </c>
      <c r="J532" t="s">
        <v>36</v>
      </c>
      <c r="K532" t="s">
        <v>44</v>
      </c>
      <c r="L532" t="s">
        <v>126</v>
      </c>
    </row>
    <row r="533" spans="1:13" x14ac:dyDescent="0.25">
      <c r="A533">
        <v>1368</v>
      </c>
      <c r="B533" t="s">
        <v>584</v>
      </c>
      <c r="C533" t="s">
        <v>32</v>
      </c>
      <c r="D533">
        <v>2016</v>
      </c>
      <c r="E533" t="s">
        <v>629</v>
      </c>
      <c r="F533" t="s">
        <v>129</v>
      </c>
      <c r="G533" t="s">
        <v>92</v>
      </c>
      <c r="H533" t="s">
        <v>58</v>
      </c>
      <c r="I533" t="s">
        <v>42</v>
      </c>
      <c r="J533" t="s">
        <v>96</v>
      </c>
      <c r="K533" t="s">
        <v>100</v>
      </c>
      <c r="L533" t="s">
        <v>109</v>
      </c>
    </row>
    <row r="534" spans="1:13" x14ac:dyDescent="0.25">
      <c r="A534">
        <v>1103</v>
      </c>
      <c r="B534" t="s">
        <v>99</v>
      </c>
      <c r="C534" t="s">
        <v>119</v>
      </c>
      <c r="D534">
        <v>2016</v>
      </c>
      <c r="E534" t="s">
        <v>630</v>
      </c>
      <c r="F534">
        <v>15000</v>
      </c>
      <c r="G534">
        <v>15000</v>
      </c>
      <c r="H534" t="s">
        <v>84</v>
      </c>
      <c r="I534" t="s">
        <v>72</v>
      </c>
      <c r="J534" t="s">
        <v>66</v>
      </c>
      <c r="K534" t="s">
        <v>54</v>
      </c>
      <c r="L534" t="s">
        <v>55</v>
      </c>
      <c r="M534">
        <v>1</v>
      </c>
    </row>
    <row r="535" spans="1:13" x14ac:dyDescent="0.25">
      <c r="A535">
        <v>1066</v>
      </c>
      <c r="B535" t="s">
        <v>631</v>
      </c>
      <c r="C535" t="s">
        <v>79</v>
      </c>
      <c r="D535">
        <v>2019</v>
      </c>
      <c r="E535" t="s">
        <v>632</v>
      </c>
      <c r="F535">
        <v>12000</v>
      </c>
      <c r="G535" t="s">
        <v>121</v>
      </c>
      <c r="H535" t="s">
        <v>53</v>
      </c>
      <c r="I535" t="s">
        <v>42</v>
      </c>
      <c r="K535" t="s">
        <v>48</v>
      </c>
      <c r="L535" t="s">
        <v>109</v>
      </c>
      <c r="M535">
        <v>2</v>
      </c>
    </row>
    <row r="536" spans="1:13" x14ac:dyDescent="0.25">
      <c r="A536">
        <v>1548</v>
      </c>
      <c r="B536" t="s">
        <v>633</v>
      </c>
      <c r="C536" t="s">
        <v>103</v>
      </c>
      <c r="D536" t="s">
        <v>52</v>
      </c>
      <c r="E536">
        <v>8954</v>
      </c>
      <c r="F536" t="s">
        <v>89</v>
      </c>
      <c r="G536" t="s">
        <v>76</v>
      </c>
      <c r="H536" t="s">
        <v>69</v>
      </c>
      <c r="I536" t="s">
        <v>42</v>
      </c>
      <c r="K536" t="s">
        <v>116</v>
      </c>
      <c r="L536" t="s">
        <v>38</v>
      </c>
      <c r="M536">
        <v>0</v>
      </c>
    </row>
    <row r="537" spans="1:13" x14ac:dyDescent="0.25">
      <c r="A537">
        <v>1521</v>
      </c>
      <c r="B537" t="s">
        <v>582</v>
      </c>
      <c r="C537" t="s">
        <v>133</v>
      </c>
      <c r="D537" t="s">
        <v>52</v>
      </c>
      <c r="E537">
        <v>3834</v>
      </c>
      <c r="F537">
        <v>9000</v>
      </c>
      <c r="G537" t="s">
        <v>33</v>
      </c>
      <c r="H537" t="s">
        <v>63</v>
      </c>
      <c r="J537" t="s">
        <v>43</v>
      </c>
      <c r="K537" t="s">
        <v>116</v>
      </c>
      <c r="L537" t="s">
        <v>55</v>
      </c>
      <c r="M537">
        <v>2</v>
      </c>
    </row>
    <row r="538" spans="1:13" x14ac:dyDescent="0.25">
      <c r="A538">
        <v>1462</v>
      </c>
      <c r="B538" t="s">
        <v>634</v>
      </c>
      <c r="C538" t="s">
        <v>94</v>
      </c>
      <c r="D538" t="s">
        <v>52</v>
      </c>
      <c r="E538">
        <v>4202</v>
      </c>
      <c r="F538">
        <v>7000</v>
      </c>
      <c r="G538">
        <v>25000</v>
      </c>
      <c r="H538" t="s">
        <v>34</v>
      </c>
      <c r="J538" t="s">
        <v>66</v>
      </c>
      <c r="K538" t="s">
        <v>44</v>
      </c>
      <c r="L538" t="s">
        <v>45</v>
      </c>
    </row>
    <row r="539" spans="1:13" x14ac:dyDescent="0.25">
      <c r="A539">
        <v>1360</v>
      </c>
      <c r="B539" t="s">
        <v>457</v>
      </c>
      <c r="C539" t="s">
        <v>75</v>
      </c>
      <c r="D539">
        <v>2016</v>
      </c>
      <c r="E539">
        <v>4359</v>
      </c>
      <c r="F539" t="s">
        <v>81</v>
      </c>
      <c r="G539">
        <v>40000</v>
      </c>
      <c r="H539" t="s">
        <v>63</v>
      </c>
      <c r="I539" t="s">
        <v>59</v>
      </c>
      <c r="J539" t="s">
        <v>43</v>
      </c>
      <c r="K539" t="s">
        <v>116</v>
      </c>
      <c r="L539" t="s">
        <v>98</v>
      </c>
      <c r="M539">
        <v>3</v>
      </c>
    </row>
    <row r="540" spans="1:13" x14ac:dyDescent="0.25">
      <c r="A540">
        <v>1183</v>
      </c>
      <c r="B540" t="s">
        <v>635</v>
      </c>
      <c r="C540" t="s">
        <v>79</v>
      </c>
      <c r="D540">
        <v>2021</v>
      </c>
      <c r="E540">
        <v>17868</v>
      </c>
      <c r="F540">
        <v>22000</v>
      </c>
      <c r="G540" t="s">
        <v>130</v>
      </c>
      <c r="H540" t="s">
        <v>84</v>
      </c>
      <c r="I540" t="s">
        <v>72</v>
      </c>
      <c r="M540">
        <v>0</v>
      </c>
    </row>
    <row r="541" spans="1:13" x14ac:dyDescent="0.25">
      <c r="A541">
        <v>1039</v>
      </c>
      <c r="B541" t="s">
        <v>636</v>
      </c>
      <c r="C541" t="s">
        <v>65</v>
      </c>
      <c r="D541">
        <v>2017</v>
      </c>
      <c r="E541">
        <v>7416</v>
      </c>
      <c r="F541">
        <v>9000</v>
      </c>
      <c r="G541">
        <v>15000</v>
      </c>
      <c r="H541" t="s">
        <v>69</v>
      </c>
      <c r="I541" t="s">
        <v>72</v>
      </c>
      <c r="J541" t="s">
        <v>96</v>
      </c>
      <c r="K541" t="s">
        <v>77</v>
      </c>
      <c r="L541" t="s">
        <v>90</v>
      </c>
    </row>
    <row r="542" spans="1:13" x14ac:dyDescent="0.25">
      <c r="A542">
        <v>1415</v>
      </c>
      <c r="B542" t="s">
        <v>637</v>
      </c>
      <c r="C542" t="s">
        <v>65</v>
      </c>
      <c r="D542">
        <v>2014</v>
      </c>
      <c r="E542">
        <v>14161</v>
      </c>
      <c r="F542">
        <v>18000</v>
      </c>
      <c r="G542" t="s">
        <v>130</v>
      </c>
      <c r="H542" t="s">
        <v>58</v>
      </c>
      <c r="I542" t="s">
        <v>59</v>
      </c>
      <c r="J542" t="s">
        <v>66</v>
      </c>
      <c r="K542" t="s">
        <v>77</v>
      </c>
      <c r="L542" t="s">
        <v>38</v>
      </c>
      <c r="M542">
        <v>3</v>
      </c>
    </row>
    <row r="543" spans="1:13" x14ac:dyDescent="0.25">
      <c r="A543">
        <v>1087</v>
      </c>
      <c r="B543" t="s">
        <v>638</v>
      </c>
      <c r="C543" t="s">
        <v>119</v>
      </c>
      <c r="D543">
        <v>2022</v>
      </c>
      <c r="E543">
        <v>26221</v>
      </c>
      <c r="F543">
        <v>31000</v>
      </c>
      <c r="G543">
        <v>120000</v>
      </c>
      <c r="H543" t="s">
        <v>34</v>
      </c>
      <c r="I543" t="s">
        <v>42</v>
      </c>
      <c r="J543" t="s">
        <v>43</v>
      </c>
      <c r="K543" t="s">
        <v>116</v>
      </c>
      <c r="M543">
        <v>0</v>
      </c>
    </row>
    <row r="544" spans="1:13" x14ac:dyDescent="0.25">
      <c r="A544">
        <v>1363</v>
      </c>
      <c r="B544" t="s">
        <v>639</v>
      </c>
      <c r="C544" t="s">
        <v>79</v>
      </c>
      <c r="D544">
        <v>2016</v>
      </c>
      <c r="E544">
        <v>10921</v>
      </c>
      <c r="F544">
        <v>12000</v>
      </c>
      <c r="G544">
        <v>40000</v>
      </c>
      <c r="H544" t="s">
        <v>34</v>
      </c>
      <c r="J544" t="s">
        <v>96</v>
      </c>
      <c r="K544" t="s">
        <v>44</v>
      </c>
      <c r="L544" t="s">
        <v>126</v>
      </c>
    </row>
    <row r="545" spans="1:13" x14ac:dyDescent="0.25">
      <c r="A545">
        <v>1400</v>
      </c>
      <c r="B545" t="s">
        <v>483</v>
      </c>
      <c r="C545" t="s">
        <v>68</v>
      </c>
      <c r="D545">
        <v>2016</v>
      </c>
      <c r="E545">
        <v>6346</v>
      </c>
      <c r="F545">
        <v>12000</v>
      </c>
      <c r="G545">
        <v>40000</v>
      </c>
      <c r="H545" t="s">
        <v>34</v>
      </c>
      <c r="I545" t="s">
        <v>42</v>
      </c>
      <c r="J545" t="s">
        <v>43</v>
      </c>
      <c r="K545" t="s">
        <v>37</v>
      </c>
      <c r="L545" t="s">
        <v>109</v>
      </c>
    </row>
    <row r="546" spans="1:13" x14ac:dyDescent="0.25">
      <c r="A546">
        <v>1566</v>
      </c>
      <c r="B546" t="s">
        <v>640</v>
      </c>
      <c r="C546" t="s">
        <v>138</v>
      </c>
      <c r="D546" t="s">
        <v>52</v>
      </c>
      <c r="E546" t="s">
        <v>641</v>
      </c>
      <c r="F546">
        <v>18000</v>
      </c>
      <c r="G546">
        <v>15000</v>
      </c>
      <c r="H546" t="s">
        <v>41</v>
      </c>
      <c r="I546" t="s">
        <v>42</v>
      </c>
      <c r="J546" t="s">
        <v>66</v>
      </c>
      <c r="K546" t="s">
        <v>37</v>
      </c>
      <c r="L546" t="s">
        <v>98</v>
      </c>
      <c r="M546">
        <v>2</v>
      </c>
    </row>
    <row r="547" spans="1:13" x14ac:dyDescent="0.25">
      <c r="A547">
        <v>1465</v>
      </c>
      <c r="B547" t="s">
        <v>642</v>
      </c>
      <c r="C547" t="s">
        <v>47</v>
      </c>
      <c r="D547">
        <v>2017</v>
      </c>
      <c r="E547" t="s">
        <v>643</v>
      </c>
      <c r="F547">
        <v>18000</v>
      </c>
      <c r="G547" t="s">
        <v>108</v>
      </c>
      <c r="H547" t="s">
        <v>34</v>
      </c>
      <c r="I547" t="s">
        <v>59</v>
      </c>
      <c r="J547" t="s">
        <v>66</v>
      </c>
      <c r="K547" t="s">
        <v>37</v>
      </c>
      <c r="L547" t="s">
        <v>90</v>
      </c>
    </row>
    <row r="548" spans="1:13" x14ac:dyDescent="0.25">
      <c r="A548">
        <v>1210</v>
      </c>
      <c r="B548" t="s">
        <v>176</v>
      </c>
      <c r="C548" t="s">
        <v>103</v>
      </c>
      <c r="D548">
        <v>2021</v>
      </c>
      <c r="E548">
        <v>6309</v>
      </c>
      <c r="F548">
        <v>9000</v>
      </c>
      <c r="G548">
        <v>60000</v>
      </c>
      <c r="H548" t="s">
        <v>58</v>
      </c>
      <c r="K548" t="s">
        <v>54</v>
      </c>
      <c r="L548" t="s">
        <v>38</v>
      </c>
    </row>
    <row r="549" spans="1:13" x14ac:dyDescent="0.25">
      <c r="A549">
        <v>1065</v>
      </c>
      <c r="B549" t="s">
        <v>644</v>
      </c>
      <c r="C549" t="s">
        <v>138</v>
      </c>
      <c r="D549">
        <v>2018</v>
      </c>
      <c r="E549">
        <v>12832</v>
      </c>
      <c r="F549">
        <v>15000</v>
      </c>
      <c r="G549" t="s">
        <v>76</v>
      </c>
      <c r="H549" t="s">
        <v>63</v>
      </c>
      <c r="J549" t="s">
        <v>43</v>
      </c>
      <c r="K549" t="s">
        <v>116</v>
      </c>
      <c r="L549" t="s">
        <v>55</v>
      </c>
    </row>
    <row r="550" spans="1:13" x14ac:dyDescent="0.25">
      <c r="A550">
        <v>1304</v>
      </c>
      <c r="B550" t="s">
        <v>645</v>
      </c>
      <c r="C550" t="s">
        <v>68</v>
      </c>
      <c r="D550">
        <v>2015</v>
      </c>
      <c r="E550">
        <v>13262</v>
      </c>
      <c r="F550">
        <v>18000</v>
      </c>
      <c r="G550">
        <v>120000</v>
      </c>
      <c r="H550" t="s">
        <v>34</v>
      </c>
      <c r="I550" t="s">
        <v>42</v>
      </c>
      <c r="J550" t="s">
        <v>66</v>
      </c>
      <c r="K550" t="s">
        <v>48</v>
      </c>
      <c r="L550" t="s">
        <v>55</v>
      </c>
      <c r="M550">
        <v>3</v>
      </c>
    </row>
    <row r="551" spans="1:13" x14ac:dyDescent="0.25">
      <c r="A551">
        <v>1245</v>
      </c>
      <c r="B551" t="s">
        <v>199</v>
      </c>
      <c r="C551" t="s">
        <v>57</v>
      </c>
      <c r="E551">
        <v>2277</v>
      </c>
      <c r="F551">
        <v>9000</v>
      </c>
      <c r="G551">
        <v>60000</v>
      </c>
      <c r="H551" t="s">
        <v>69</v>
      </c>
      <c r="I551" t="s">
        <v>35</v>
      </c>
      <c r="J551" t="s">
        <v>66</v>
      </c>
      <c r="K551" t="s">
        <v>116</v>
      </c>
      <c r="L551" t="s">
        <v>98</v>
      </c>
    </row>
    <row r="552" spans="1:13" x14ac:dyDescent="0.25">
      <c r="A552">
        <v>1419</v>
      </c>
      <c r="B552" t="s">
        <v>646</v>
      </c>
      <c r="C552" t="s">
        <v>32</v>
      </c>
      <c r="D552">
        <v>2019</v>
      </c>
      <c r="E552">
        <v>3868</v>
      </c>
      <c r="F552">
        <v>9000</v>
      </c>
      <c r="G552">
        <v>15000</v>
      </c>
      <c r="I552" t="s">
        <v>35</v>
      </c>
      <c r="J552" t="s">
        <v>36</v>
      </c>
      <c r="K552" t="s">
        <v>116</v>
      </c>
      <c r="L552" t="s">
        <v>98</v>
      </c>
      <c r="M552">
        <v>2</v>
      </c>
    </row>
    <row r="553" spans="1:13" x14ac:dyDescent="0.25">
      <c r="A553">
        <v>1117</v>
      </c>
      <c r="B553" t="s">
        <v>647</v>
      </c>
      <c r="C553" t="s">
        <v>94</v>
      </c>
      <c r="D553">
        <v>2017</v>
      </c>
      <c r="E553">
        <v>24913</v>
      </c>
      <c r="F553" t="s">
        <v>83</v>
      </c>
      <c r="G553">
        <v>15000</v>
      </c>
      <c r="I553" t="s">
        <v>59</v>
      </c>
      <c r="J553" t="s">
        <v>43</v>
      </c>
      <c r="K553" t="s">
        <v>37</v>
      </c>
      <c r="L553" t="s">
        <v>49</v>
      </c>
    </row>
    <row r="554" spans="1:13" x14ac:dyDescent="0.25">
      <c r="A554">
        <v>1174</v>
      </c>
      <c r="B554" t="s">
        <v>648</v>
      </c>
      <c r="C554" t="s">
        <v>119</v>
      </c>
      <c r="D554">
        <v>2021</v>
      </c>
      <c r="E554">
        <v>8714</v>
      </c>
      <c r="F554">
        <v>12000</v>
      </c>
      <c r="G554" t="s">
        <v>92</v>
      </c>
      <c r="H554" t="s">
        <v>84</v>
      </c>
      <c r="J554" t="s">
        <v>43</v>
      </c>
      <c r="K554" t="s">
        <v>100</v>
      </c>
      <c r="L554" t="s">
        <v>49</v>
      </c>
      <c r="M554">
        <v>0</v>
      </c>
    </row>
    <row r="555" spans="1:13" x14ac:dyDescent="0.25">
      <c r="A555">
        <v>1035</v>
      </c>
      <c r="B555" t="s">
        <v>649</v>
      </c>
      <c r="C555" t="s">
        <v>65</v>
      </c>
      <c r="D555">
        <v>2016</v>
      </c>
      <c r="E555">
        <v>28543</v>
      </c>
      <c r="F555">
        <v>31000</v>
      </c>
      <c r="G555">
        <v>40000</v>
      </c>
      <c r="H555" t="s">
        <v>41</v>
      </c>
      <c r="J555" t="s">
        <v>36</v>
      </c>
      <c r="K555" t="s">
        <v>48</v>
      </c>
      <c r="L555" t="s">
        <v>45</v>
      </c>
      <c r="M555">
        <v>3</v>
      </c>
    </row>
    <row r="556" spans="1:13" x14ac:dyDescent="0.25">
      <c r="A556">
        <v>1255</v>
      </c>
      <c r="B556" t="s">
        <v>650</v>
      </c>
      <c r="C556" t="s">
        <v>68</v>
      </c>
      <c r="E556">
        <v>2909</v>
      </c>
      <c r="F556">
        <v>7000</v>
      </c>
      <c r="G556" t="s">
        <v>76</v>
      </c>
      <c r="H556" t="s">
        <v>34</v>
      </c>
      <c r="I556" t="s">
        <v>35</v>
      </c>
      <c r="J556" t="s">
        <v>36</v>
      </c>
      <c r="K556" t="s">
        <v>44</v>
      </c>
      <c r="L556" t="s">
        <v>38</v>
      </c>
      <c r="M556">
        <v>0</v>
      </c>
    </row>
    <row r="557" spans="1:13" x14ac:dyDescent="0.25">
      <c r="A557">
        <v>1425</v>
      </c>
      <c r="B557" t="s">
        <v>571</v>
      </c>
      <c r="C557" t="s">
        <v>119</v>
      </c>
      <c r="D557">
        <v>2015</v>
      </c>
      <c r="E557">
        <v>9632</v>
      </c>
      <c r="F557">
        <v>12000</v>
      </c>
      <c r="G557">
        <v>120000</v>
      </c>
      <c r="H557" t="s">
        <v>53</v>
      </c>
      <c r="J557" t="s">
        <v>66</v>
      </c>
      <c r="L557" t="s">
        <v>98</v>
      </c>
      <c r="M557">
        <v>3</v>
      </c>
    </row>
    <row r="558" spans="1:13" x14ac:dyDescent="0.25">
      <c r="A558">
        <v>1177</v>
      </c>
      <c r="B558" t="s">
        <v>436</v>
      </c>
      <c r="C558" t="s">
        <v>32</v>
      </c>
      <c r="D558">
        <v>2017</v>
      </c>
      <c r="E558" t="s">
        <v>651</v>
      </c>
      <c r="F558">
        <v>15000</v>
      </c>
      <c r="G558" t="s">
        <v>76</v>
      </c>
      <c r="H558" t="s">
        <v>53</v>
      </c>
      <c r="I558" t="s">
        <v>59</v>
      </c>
      <c r="J558" t="s">
        <v>66</v>
      </c>
      <c r="K558" t="s">
        <v>37</v>
      </c>
      <c r="L558" t="s">
        <v>45</v>
      </c>
    </row>
    <row r="559" spans="1:13" x14ac:dyDescent="0.25">
      <c r="A559">
        <v>1511</v>
      </c>
      <c r="B559" t="s">
        <v>652</v>
      </c>
      <c r="C559" t="s">
        <v>79</v>
      </c>
      <c r="D559">
        <v>2014</v>
      </c>
      <c r="E559">
        <v>4633</v>
      </c>
      <c r="F559" t="s">
        <v>81</v>
      </c>
      <c r="G559">
        <v>25000</v>
      </c>
      <c r="H559" t="s">
        <v>58</v>
      </c>
      <c r="I559" t="s">
        <v>72</v>
      </c>
      <c r="J559" t="s">
        <v>36</v>
      </c>
      <c r="K559" t="s">
        <v>44</v>
      </c>
      <c r="L559" t="s">
        <v>98</v>
      </c>
      <c r="M559">
        <v>1</v>
      </c>
    </row>
    <row r="560" spans="1:13" x14ac:dyDescent="0.25">
      <c r="A560">
        <v>1343</v>
      </c>
      <c r="B560" t="s">
        <v>653</v>
      </c>
      <c r="C560" t="s">
        <v>61</v>
      </c>
      <c r="D560">
        <v>2016</v>
      </c>
      <c r="E560" t="s">
        <v>654</v>
      </c>
      <c r="F560">
        <v>22000</v>
      </c>
      <c r="G560">
        <v>120000</v>
      </c>
      <c r="H560" t="s">
        <v>53</v>
      </c>
      <c r="K560" t="s">
        <v>73</v>
      </c>
      <c r="L560" t="s">
        <v>38</v>
      </c>
      <c r="M560">
        <v>0</v>
      </c>
    </row>
    <row r="561" spans="1:13" x14ac:dyDescent="0.25">
      <c r="A561">
        <v>1081</v>
      </c>
      <c r="B561" t="s">
        <v>655</v>
      </c>
      <c r="C561" t="s">
        <v>32</v>
      </c>
      <c r="D561">
        <v>2018</v>
      </c>
      <c r="E561" t="s">
        <v>656</v>
      </c>
      <c r="F561">
        <v>15000</v>
      </c>
      <c r="G561">
        <v>120000</v>
      </c>
      <c r="H561" t="s">
        <v>58</v>
      </c>
      <c r="I561" t="s">
        <v>59</v>
      </c>
      <c r="J561" t="s">
        <v>66</v>
      </c>
      <c r="K561" t="s">
        <v>73</v>
      </c>
      <c r="L561" t="s">
        <v>38</v>
      </c>
    </row>
    <row r="562" spans="1:13" x14ac:dyDescent="0.25">
      <c r="A562">
        <v>1533</v>
      </c>
      <c r="B562" t="s">
        <v>657</v>
      </c>
      <c r="C562" t="s">
        <v>138</v>
      </c>
      <c r="D562">
        <v>2019</v>
      </c>
      <c r="E562">
        <v>8399</v>
      </c>
      <c r="F562">
        <v>12000</v>
      </c>
      <c r="G562">
        <v>40000</v>
      </c>
      <c r="H562" t="s">
        <v>41</v>
      </c>
      <c r="I562" t="s">
        <v>42</v>
      </c>
      <c r="J562" t="s">
        <v>96</v>
      </c>
      <c r="K562" t="s">
        <v>44</v>
      </c>
      <c r="L562" t="s">
        <v>38</v>
      </c>
      <c r="M562">
        <v>1</v>
      </c>
    </row>
    <row r="563" spans="1:13" x14ac:dyDescent="0.25">
      <c r="A563">
        <v>1390</v>
      </c>
      <c r="B563" t="s">
        <v>658</v>
      </c>
      <c r="C563" t="s">
        <v>68</v>
      </c>
      <c r="D563" t="s">
        <v>52</v>
      </c>
      <c r="E563">
        <v>8297</v>
      </c>
      <c r="F563">
        <v>15000</v>
      </c>
      <c r="G563">
        <v>120000</v>
      </c>
      <c r="H563" t="s">
        <v>84</v>
      </c>
      <c r="I563" t="s">
        <v>59</v>
      </c>
      <c r="J563" t="s">
        <v>36</v>
      </c>
      <c r="K563" t="s">
        <v>77</v>
      </c>
      <c r="L563" t="s">
        <v>126</v>
      </c>
      <c r="M563">
        <v>1</v>
      </c>
    </row>
    <row r="564" spans="1:13" x14ac:dyDescent="0.25">
      <c r="A564">
        <v>1209</v>
      </c>
      <c r="B564" t="s">
        <v>659</v>
      </c>
      <c r="C564" t="s">
        <v>47</v>
      </c>
      <c r="D564">
        <v>2016</v>
      </c>
      <c r="E564">
        <v>3146</v>
      </c>
      <c r="F564" t="s">
        <v>81</v>
      </c>
      <c r="G564">
        <v>25000</v>
      </c>
      <c r="H564" t="s">
        <v>69</v>
      </c>
      <c r="I564" t="s">
        <v>42</v>
      </c>
      <c r="J564" t="s">
        <v>66</v>
      </c>
      <c r="K564" t="s">
        <v>77</v>
      </c>
      <c r="L564" t="s">
        <v>98</v>
      </c>
      <c r="M564">
        <v>1</v>
      </c>
    </row>
    <row r="565" spans="1:13" x14ac:dyDescent="0.25">
      <c r="A565">
        <v>1278</v>
      </c>
      <c r="B565" t="s">
        <v>660</v>
      </c>
      <c r="C565" t="s">
        <v>119</v>
      </c>
      <c r="D565">
        <v>2018</v>
      </c>
      <c r="E565">
        <v>13328</v>
      </c>
      <c r="F565">
        <v>18000</v>
      </c>
      <c r="G565">
        <v>80000</v>
      </c>
      <c r="H565" t="s">
        <v>63</v>
      </c>
      <c r="I565" t="s">
        <v>59</v>
      </c>
      <c r="J565" t="s">
        <v>43</v>
      </c>
      <c r="K565" t="s">
        <v>100</v>
      </c>
      <c r="L565" t="s">
        <v>55</v>
      </c>
      <c r="M565">
        <v>3</v>
      </c>
    </row>
    <row r="566" spans="1:13" x14ac:dyDescent="0.25">
      <c r="A566">
        <v>1390</v>
      </c>
      <c r="B566" t="s">
        <v>661</v>
      </c>
      <c r="C566" t="s">
        <v>103</v>
      </c>
      <c r="D566">
        <v>2022</v>
      </c>
      <c r="E566">
        <v>21052</v>
      </c>
      <c r="F566" t="s">
        <v>83</v>
      </c>
      <c r="G566">
        <v>25000</v>
      </c>
      <c r="H566" t="s">
        <v>69</v>
      </c>
      <c r="K566" t="s">
        <v>100</v>
      </c>
      <c r="M566">
        <v>1</v>
      </c>
    </row>
    <row r="567" spans="1:13" x14ac:dyDescent="0.25">
      <c r="A567">
        <v>1384</v>
      </c>
      <c r="B567" t="s">
        <v>662</v>
      </c>
      <c r="C567" t="s">
        <v>65</v>
      </c>
      <c r="D567">
        <v>2020</v>
      </c>
      <c r="E567">
        <v>26285</v>
      </c>
      <c r="F567">
        <v>31000</v>
      </c>
      <c r="G567">
        <v>40000</v>
      </c>
      <c r="I567" t="s">
        <v>42</v>
      </c>
      <c r="J567" t="s">
        <v>66</v>
      </c>
      <c r="K567" t="s">
        <v>77</v>
      </c>
      <c r="L567" t="s">
        <v>126</v>
      </c>
      <c r="M567">
        <v>0</v>
      </c>
    </row>
    <row r="568" spans="1:13" x14ac:dyDescent="0.25">
      <c r="A568">
        <v>1393</v>
      </c>
      <c r="B568" t="s">
        <v>663</v>
      </c>
      <c r="C568" t="s">
        <v>79</v>
      </c>
      <c r="D568">
        <v>2021</v>
      </c>
      <c r="E568">
        <v>21768</v>
      </c>
      <c r="F568">
        <v>26000</v>
      </c>
      <c r="G568">
        <v>60000</v>
      </c>
      <c r="H568" t="s">
        <v>34</v>
      </c>
      <c r="I568" t="s">
        <v>35</v>
      </c>
      <c r="J568" t="s">
        <v>36</v>
      </c>
      <c r="K568" t="s">
        <v>48</v>
      </c>
      <c r="L568" t="s">
        <v>90</v>
      </c>
      <c r="M568">
        <v>1</v>
      </c>
    </row>
    <row r="569" spans="1:13" x14ac:dyDescent="0.25">
      <c r="A569">
        <v>1377</v>
      </c>
      <c r="B569" t="s">
        <v>664</v>
      </c>
      <c r="C569" t="s">
        <v>103</v>
      </c>
      <c r="D569">
        <v>2018</v>
      </c>
      <c r="E569">
        <v>15191</v>
      </c>
      <c r="F569">
        <v>22000</v>
      </c>
      <c r="G569">
        <v>80000</v>
      </c>
      <c r="H569" t="s">
        <v>53</v>
      </c>
      <c r="I569" t="s">
        <v>42</v>
      </c>
      <c r="J569" t="s">
        <v>43</v>
      </c>
      <c r="K569" t="s">
        <v>73</v>
      </c>
      <c r="L569" t="s">
        <v>109</v>
      </c>
      <c r="M569">
        <v>0</v>
      </c>
    </row>
    <row r="570" spans="1:13" x14ac:dyDescent="0.25">
      <c r="A570">
        <v>1253</v>
      </c>
      <c r="B570" t="s">
        <v>665</v>
      </c>
      <c r="C570" t="s">
        <v>164</v>
      </c>
      <c r="D570">
        <v>2018</v>
      </c>
      <c r="E570">
        <v>28793</v>
      </c>
      <c r="F570">
        <v>31000</v>
      </c>
      <c r="G570">
        <v>120000</v>
      </c>
      <c r="H570" t="s">
        <v>41</v>
      </c>
      <c r="I570" t="s">
        <v>35</v>
      </c>
      <c r="J570" t="s">
        <v>36</v>
      </c>
      <c r="K570" t="s">
        <v>48</v>
      </c>
      <c r="L570" t="s">
        <v>98</v>
      </c>
    </row>
    <row r="571" spans="1:13" x14ac:dyDescent="0.25">
      <c r="A571">
        <v>1258</v>
      </c>
      <c r="B571" t="s">
        <v>434</v>
      </c>
      <c r="C571" t="s">
        <v>75</v>
      </c>
      <c r="D571">
        <v>2022</v>
      </c>
      <c r="E571">
        <v>12642</v>
      </c>
      <c r="F571">
        <v>15000</v>
      </c>
      <c r="G571">
        <v>60000</v>
      </c>
      <c r="H571" t="s">
        <v>34</v>
      </c>
      <c r="J571" t="s">
        <v>96</v>
      </c>
      <c r="K571" t="s">
        <v>48</v>
      </c>
      <c r="L571" t="s">
        <v>49</v>
      </c>
      <c r="M571">
        <v>0</v>
      </c>
    </row>
    <row r="572" spans="1:13" x14ac:dyDescent="0.25">
      <c r="A572">
        <v>1315</v>
      </c>
      <c r="B572" t="s">
        <v>217</v>
      </c>
      <c r="C572" t="s">
        <v>79</v>
      </c>
      <c r="D572">
        <v>2016</v>
      </c>
      <c r="E572" t="s">
        <v>666</v>
      </c>
      <c r="F572">
        <v>18000</v>
      </c>
      <c r="G572">
        <v>120000</v>
      </c>
      <c r="H572" t="s">
        <v>84</v>
      </c>
      <c r="I572" t="s">
        <v>35</v>
      </c>
      <c r="J572" t="s">
        <v>43</v>
      </c>
      <c r="L572" t="s">
        <v>98</v>
      </c>
      <c r="M572">
        <v>2</v>
      </c>
    </row>
    <row r="573" spans="1:13" x14ac:dyDescent="0.25">
      <c r="A573">
        <v>1202</v>
      </c>
      <c r="B573" t="s">
        <v>667</v>
      </c>
      <c r="C573" t="s">
        <v>103</v>
      </c>
      <c r="D573">
        <v>2016</v>
      </c>
      <c r="E573">
        <v>9474</v>
      </c>
      <c r="F573">
        <v>12000</v>
      </c>
      <c r="G573" t="s">
        <v>130</v>
      </c>
      <c r="H573" t="s">
        <v>53</v>
      </c>
      <c r="I573" t="s">
        <v>42</v>
      </c>
      <c r="J573" t="s">
        <v>66</v>
      </c>
      <c r="K573" t="s">
        <v>73</v>
      </c>
      <c r="L573" t="s">
        <v>90</v>
      </c>
      <c r="M573">
        <v>1</v>
      </c>
    </row>
    <row r="574" spans="1:13" x14ac:dyDescent="0.25">
      <c r="A574">
        <v>1170</v>
      </c>
      <c r="B574" t="s">
        <v>280</v>
      </c>
      <c r="C574" t="s">
        <v>65</v>
      </c>
      <c r="D574">
        <v>2020</v>
      </c>
      <c r="E574" t="s">
        <v>668</v>
      </c>
      <c r="F574" t="s">
        <v>87</v>
      </c>
      <c r="G574" t="s">
        <v>108</v>
      </c>
      <c r="H574" t="s">
        <v>84</v>
      </c>
      <c r="I574" t="s">
        <v>72</v>
      </c>
      <c r="J574" t="s">
        <v>36</v>
      </c>
      <c r="K574" t="s">
        <v>77</v>
      </c>
      <c r="L574" t="s">
        <v>55</v>
      </c>
      <c r="M574">
        <v>3</v>
      </c>
    </row>
    <row r="575" spans="1:13" x14ac:dyDescent="0.25">
      <c r="A575">
        <v>1042</v>
      </c>
      <c r="B575" t="s">
        <v>669</v>
      </c>
      <c r="C575" t="s">
        <v>32</v>
      </c>
      <c r="D575">
        <v>2014</v>
      </c>
      <c r="E575" t="s">
        <v>670</v>
      </c>
      <c r="F575">
        <v>7000</v>
      </c>
      <c r="G575" t="s">
        <v>130</v>
      </c>
      <c r="H575" t="s">
        <v>69</v>
      </c>
      <c r="I575" t="s">
        <v>59</v>
      </c>
      <c r="J575" t="s">
        <v>43</v>
      </c>
      <c r="K575" t="s">
        <v>44</v>
      </c>
      <c r="L575" t="s">
        <v>98</v>
      </c>
      <c r="M575">
        <v>2</v>
      </c>
    </row>
    <row r="576" spans="1:13" x14ac:dyDescent="0.25">
      <c r="A576">
        <v>1408</v>
      </c>
      <c r="B576" t="s">
        <v>141</v>
      </c>
      <c r="C576" t="s">
        <v>79</v>
      </c>
      <c r="D576" t="s">
        <v>52</v>
      </c>
      <c r="E576">
        <v>19038</v>
      </c>
      <c r="F576" t="s">
        <v>115</v>
      </c>
      <c r="G576">
        <v>40000</v>
      </c>
      <c r="H576" t="s">
        <v>63</v>
      </c>
      <c r="I576" t="s">
        <v>35</v>
      </c>
      <c r="J576" t="s">
        <v>36</v>
      </c>
      <c r="K576" t="s">
        <v>116</v>
      </c>
      <c r="L576" t="s">
        <v>98</v>
      </c>
      <c r="M576">
        <v>1</v>
      </c>
    </row>
    <row r="577" spans="1:13" x14ac:dyDescent="0.25">
      <c r="A577">
        <v>1377</v>
      </c>
      <c r="B577" t="s">
        <v>583</v>
      </c>
      <c r="C577" t="s">
        <v>40</v>
      </c>
      <c r="E577">
        <v>5711</v>
      </c>
      <c r="F577">
        <v>9000</v>
      </c>
      <c r="G577">
        <v>80000</v>
      </c>
      <c r="H577" t="s">
        <v>34</v>
      </c>
      <c r="I577" t="s">
        <v>42</v>
      </c>
      <c r="J577" t="s">
        <v>36</v>
      </c>
      <c r="K577" t="s">
        <v>44</v>
      </c>
      <c r="L577" t="s">
        <v>126</v>
      </c>
      <c r="M577">
        <v>2</v>
      </c>
    </row>
    <row r="578" spans="1:13" x14ac:dyDescent="0.25">
      <c r="A578">
        <v>1409</v>
      </c>
      <c r="B578" t="s">
        <v>671</v>
      </c>
      <c r="C578" t="s">
        <v>68</v>
      </c>
      <c r="D578">
        <v>2019</v>
      </c>
      <c r="E578">
        <v>25030</v>
      </c>
      <c r="F578">
        <v>31000</v>
      </c>
      <c r="G578">
        <v>25000</v>
      </c>
      <c r="I578" t="s">
        <v>35</v>
      </c>
      <c r="J578" t="s">
        <v>43</v>
      </c>
      <c r="K578" t="s">
        <v>54</v>
      </c>
      <c r="L578" t="s">
        <v>38</v>
      </c>
      <c r="M578">
        <v>1</v>
      </c>
    </row>
    <row r="579" spans="1:13" x14ac:dyDescent="0.25">
      <c r="A579">
        <v>1478</v>
      </c>
      <c r="B579" t="s">
        <v>672</v>
      </c>
      <c r="C579" t="s">
        <v>68</v>
      </c>
      <c r="D579">
        <v>2016</v>
      </c>
      <c r="E579" t="s">
        <v>673</v>
      </c>
      <c r="F579">
        <v>31000</v>
      </c>
      <c r="G579" t="s">
        <v>76</v>
      </c>
      <c r="H579" t="s">
        <v>53</v>
      </c>
      <c r="I579" t="s">
        <v>42</v>
      </c>
      <c r="J579" t="s">
        <v>66</v>
      </c>
      <c r="K579" t="s">
        <v>100</v>
      </c>
      <c r="L579" t="s">
        <v>49</v>
      </c>
      <c r="M579">
        <v>0</v>
      </c>
    </row>
    <row r="580" spans="1:13" x14ac:dyDescent="0.25">
      <c r="A580">
        <v>1225</v>
      </c>
      <c r="B580" t="s">
        <v>674</v>
      </c>
      <c r="C580" t="s">
        <v>103</v>
      </c>
      <c r="D580">
        <v>2014</v>
      </c>
      <c r="E580">
        <v>7859</v>
      </c>
      <c r="F580">
        <v>12000</v>
      </c>
      <c r="G580">
        <v>40000</v>
      </c>
      <c r="H580" t="s">
        <v>84</v>
      </c>
      <c r="I580" t="s">
        <v>42</v>
      </c>
      <c r="K580" t="s">
        <v>116</v>
      </c>
      <c r="L580" t="s">
        <v>49</v>
      </c>
      <c r="M580">
        <v>2</v>
      </c>
    </row>
    <row r="581" spans="1:13" x14ac:dyDescent="0.25">
      <c r="A581">
        <v>1390</v>
      </c>
      <c r="B581" t="s">
        <v>404</v>
      </c>
      <c r="C581" t="s">
        <v>119</v>
      </c>
      <c r="E581">
        <v>5189</v>
      </c>
      <c r="F581">
        <v>9000</v>
      </c>
      <c r="G581">
        <v>120000</v>
      </c>
      <c r="H581" t="s">
        <v>34</v>
      </c>
      <c r="I581" t="s">
        <v>42</v>
      </c>
      <c r="J581" t="s">
        <v>66</v>
      </c>
      <c r="K581" t="s">
        <v>54</v>
      </c>
      <c r="L581" t="s">
        <v>49</v>
      </c>
      <c r="M581">
        <v>2</v>
      </c>
    </row>
    <row r="582" spans="1:13" x14ac:dyDescent="0.25">
      <c r="A582">
        <v>1118</v>
      </c>
      <c r="B582" t="s">
        <v>193</v>
      </c>
      <c r="C582" t="s">
        <v>75</v>
      </c>
      <c r="D582">
        <v>2015</v>
      </c>
      <c r="E582">
        <v>3149</v>
      </c>
      <c r="F582" t="s">
        <v>81</v>
      </c>
      <c r="G582">
        <v>40000</v>
      </c>
      <c r="H582" t="s">
        <v>34</v>
      </c>
      <c r="J582" t="s">
        <v>36</v>
      </c>
      <c r="K582" t="s">
        <v>54</v>
      </c>
      <c r="L582" t="s">
        <v>126</v>
      </c>
    </row>
    <row r="583" spans="1:13" x14ac:dyDescent="0.25">
      <c r="A583">
        <v>1532</v>
      </c>
      <c r="B583" t="s">
        <v>599</v>
      </c>
      <c r="C583" t="s">
        <v>47</v>
      </c>
      <c r="D583">
        <v>2020</v>
      </c>
      <c r="E583">
        <v>22010</v>
      </c>
      <c r="F583">
        <v>26000</v>
      </c>
      <c r="G583" t="s">
        <v>130</v>
      </c>
      <c r="H583" t="s">
        <v>41</v>
      </c>
      <c r="J583" t="s">
        <v>43</v>
      </c>
      <c r="K583" t="s">
        <v>44</v>
      </c>
      <c r="L583" t="s">
        <v>90</v>
      </c>
      <c r="M583">
        <v>2</v>
      </c>
    </row>
    <row r="584" spans="1:13" x14ac:dyDescent="0.25">
      <c r="A584">
        <v>1149</v>
      </c>
      <c r="B584" t="s">
        <v>662</v>
      </c>
      <c r="C584" t="s">
        <v>119</v>
      </c>
      <c r="D584">
        <v>2021</v>
      </c>
      <c r="E584">
        <v>25073</v>
      </c>
      <c r="F584">
        <v>31000</v>
      </c>
      <c r="G584">
        <v>25000</v>
      </c>
      <c r="H584" t="s">
        <v>41</v>
      </c>
      <c r="J584" t="s">
        <v>96</v>
      </c>
      <c r="K584" t="s">
        <v>54</v>
      </c>
      <c r="M584">
        <v>0</v>
      </c>
    </row>
    <row r="585" spans="1:13" x14ac:dyDescent="0.25">
      <c r="A585">
        <v>1298</v>
      </c>
      <c r="B585" t="s">
        <v>675</v>
      </c>
      <c r="C585" t="s">
        <v>65</v>
      </c>
      <c r="E585">
        <v>28233</v>
      </c>
      <c r="F585">
        <v>31000</v>
      </c>
      <c r="G585">
        <v>120000</v>
      </c>
      <c r="H585" t="s">
        <v>63</v>
      </c>
      <c r="I585" t="s">
        <v>42</v>
      </c>
      <c r="J585" t="s">
        <v>66</v>
      </c>
      <c r="K585" t="s">
        <v>77</v>
      </c>
      <c r="L585" t="s">
        <v>126</v>
      </c>
      <c r="M585">
        <v>1</v>
      </c>
    </row>
    <row r="586" spans="1:13" x14ac:dyDescent="0.25">
      <c r="A586">
        <v>1561</v>
      </c>
      <c r="B586" t="s">
        <v>676</v>
      </c>
      <c r="C586" t="s">
        <v>133</v>
      </c>
      <c r="D586">
        <v>2020</v>
      </c>
      <c r="E586">
        <v>15696</v>
      </c>
      <c r="F586">
        <v>18000</v>
      </c>
      <c r="G586">
        <v>120000</v>
      </c>
      <c r="H586" t="s">
        <v>63</v>
      </c>
      <c r="I586" t="s">
        <v>59</v>
      </c>
      <c r="J586" t="s">
        <v>43</v>
      </c>
      <c r="K586" t="s">
        <v>37</v>
      </c>
      <c r="M586">
        <v>2</v>
      </c>
    </row>
    <row r="587" spans="1:13" x14ac:dyDescent="0.25">
      <c r="A587">
        <v>1594</v>
      </c>
      <c r="B587" t="s">
        <v>436</v>
      </c>
      <c r="C587" t="s">
        <v>51</v>
      </c>
      <c r="D587">
        <v>2017</v>
      </c>
      <c r="E587">
        <v>23928</v>
      </c>
      <c r="F587" t="s">
        <v>83</v>
      </c>
      <c r="G587">
        <v>15000</v>
      </c>
      <c r="H587" t="s">
        <v>69</v>
      </c>
      <c r="I587" t="s">
        <v>59</v>
      </c>
      <c r="J587" t="s">
        <v>66</v>
      </c>
      <c r="K587" t="s">
        <v>100</v>
      </c>
      <c r="L587" t="s">
        <v>55</v>
      </c>
      <c r="M587">
        <v>3</v>
      </c>
    </row>
    <row r="588" spans="1:13" x14ac:dyDescent="0.25">
      <c r="A588">
        <v>1370</v>
      </c>
      <c r="B588" t="s">
        <v>371</v>
      </c>
      <c r="C588" t="s">
        <v>51</v>
      </c>
      <c r="D588">
        <v>2016</v>
      </c>
      <c r="E588">
        <v>12398</v>
      </c>
      <c r="F588">
        <v>15000</v>
      </c>
      <c r="G588">
        <v>25000</v>
      </c>
      <c r="H588" t="s">
        <v>58</v>
      </c>
      <c r="I588" t="s">
        <v>59</v>
      </c>
      <c r="J588" t="s">
        <v>43</v>
      </c>
      <c r="K588" t="s">
        <v>100</v>
      </c>
      <c r="L588" t="s">
        <v>126</v>
      </c>
      <c r="M588">
        <v>0</v>
      </c>
    </row>
    <row r="589" spans="1:13" x14ac:dyDescent="0.25">
      <c r="A589">
        <v>1346</v>
      </c>
      <c r="B589" t="s">
        <v>677</v>
      </c>
      <c r="C589" t="s">
        <v>79</v>
      </c>
      <c r="D589">
        <v>2021</v>
      </c>
      <c r="E589">
        <v>10039</v>
      </c>
      <c r="F589">
        <v>12000</v>
      </c>
      <c r="G589">
        <v>15000</v>
      </c>
      <c r="H589" t="s">
        <v>34</v>
      </c>
      <c r="I589" t="s">
        <v>42</v>
      </c>
      <c r="J589" t="s">
        <v>36</v>
      </c>
      <c r="K589" t="s">
        <v>37</v>
      </c>
      <c r="L589" t="s">
        <v>38</v>
      </c>
      <c r="M589">
        <v>3</v>
      </c>
    </row>
    <row r="590" spans="1:13" x14ac:dyDescent="0.25">
      <c r="A590">
        <v>1474</v>
      </c>
      <c r="B590" t="s">
        <v>418</v>
      </c>
      <c r="C590" t="s">
        <v>133</v>
      </c>
      <c r="D590">
        <v>2018</v>
      </c>
      <c r="E590">
        <v>7925</v>
      </c>
      <c r="F590">
        <v>12000</v>
      </c>
      <c r="G590">
        <v>120000</v>
      </c>
      <c r="I590" t="s">
        <v>72</v>
      </c>
      <c r="J590" t="s">
        <v>36</v>
      </c>
      <c r="K590" t="s">
        <v>37</v>
      </c>
      <c r="L590" t="s">
        <v>49</v>
      </c>
      <c r="M590">
        <v>0</v>
      </c>
    </row>
    <row r="591" spans="1:13" x14ac:dyDescent="0.25">
      <c r="A591">
        <v>1586</v>
      </c>
      <c r="B591" t="s">
        <v>323</v>
      </c>
      <c r="C591" t="s">
        <v>32</v>
      </c>
      <c r="D591">
        <v>2021</v>
      </c>
      <c r="E591">
        <v>9193</v>
      </c>
      <c r="F591">
        <v>15000</v>
      </c>
      <c r="G591" t="s">
        <v>76</v>
      </c>
      <c r="H591" t="s">
        <v>58</v>
      </c>
      <c r="I591" t="s">
        <v>59</v>
      </c>
      <c r="J591" t="s">
        <v>43</v>
      </c>
      <c r="K591" t="s">
        <v>48</v>
      </c>
      <c r="L591" t="s">
        <v>45</v>
      </c>
    </row>
    <row r="592" spans="1:13" x14ac:dyDescent="0.25">
      <c r="A592">
        <v>1189</v>
      </c>
      <c r="B592" t="s">
        <v>678</v>
      </c>
      <c r="C592" t="s">
        <v>164</v>
      </c>
      <c r="D592">
        <v>2015</v>
      </c>
      <c r="E592">
        <v>15153</v>
      </c>
      <c r="F592">
        <v>22000</v>
      </c>
      <c r="G592">
        <v>15000</v>
      </c>
      <c r="I592" t="s">
        <v>35</v>
      </c>
      <c r="L592" t="s">
        <v>49</v>
      </c>
      <c r="M592">
        <v>1</v>
      </c>
    </row>
    <row r="593" spans="1:13" x14ac:dyDescent="0.25">
      <c r="A593">
        <v>1321</v>
      </c>
      <c r="B593" t="s">
        <v>679</v>
      </c>
      <c r="C593" t="s">
        <v>32</v>
      </c>
      <c r="D593">
        <v>2016</v>
      </c>
      <c r="E593" t="s">
        <v>680</v>
      </c>
      <c r="F593" t="s">
        <v>204</v>
      </c>
      <c r="G593" t="s">
        <v>76</v>
      </c>
      <c r="H593" t="s">
        <v>58</v>
      </c>
      <c r="I593" t="s">
        <v>35</v>
      </c>
      <c r="K593" t="s">
        <v>54</v>
      </c>
      <c r="L593" t="s">
        <v>126</v>
      </c>
      <c r="M593">
        <v>0</v>
      </c>
    </row>
    <row r="594" spans="1:13" x14ac:dyDescent="0.25">
      <c r="A594">
        <v>1433</v>
      </c>
      <c r="B594" t="s">
        <v>681</v>
      </c>
      <c r="C594" t="s">
        <v>32</v>
      </c>
      <c r="D594">
        <v>2022</v>
      </c>
      <c r="E594">
        <v>12541</v>
      </c>
      <c r="F594">
        <v>18000</v>
      </c>
      <c r="G594" t="s">
        <v>130</v>
      </c>
      <c r="H594" t="s">
        <v>41</v>
      </c>
      <c r="J594" t="s">
        <v>96</v>
      </c>
      <c r="L594" t="s">
        <v>55</v>
      </c>
      <c r="M594">
        <v>1</v>
      </c>
    </row>
    <row r="595" spans="1:13" x14ac:dyDescent="0.25">
      <c r="A595">
        <v>1214</v>
      </c>
      <c r="B595" t="s">
        <v>401</v>
      </c>
      <c r="C595" t="s">
        <v>133</v>
      </c>
      <c r="D595">
        <v>2019</v>
      </c>
      <c r="E595">
        <v>16591</v>
      </c>
      <c r="F595">
        <v>22000</v>
      </c>
      <c r="G595" t="s">
        <v>121</v>
      </c>
      <c r="H595" t="s">
        <v>41</v>
      </c>
      <c r="I595" t="s">
        <v>42</v>
      </c>
      <c r="J595" t="s">
        <v>66</v>
      </c>
      <c r="K595" t="s">
        <v>54</v>
      </c>
      <c r="L595" t="s">
        <v>38</v>
      </c>
      <c r="M595">
        <v>1</v>
      </c>
    </row>
    <row r="596" spans="1:13" x14ac:dyDescent="0.25">
      <c r="A596">
        <v>1076</v>
      </c>
      <c r="B596" t="s">
        <v>67</v>
      </c>
      <c r="C596" t="s">
        <v>47</v>
      </c>
      <c r="E596">
        <v>19948</v>
      </c>
      <c r="F596">
        <v>22000</v>
      </c>
      <c r="G596">
        <v>40000</v>
      </c>
      <c r="H596" t="s">
        <v>58</v>
      </c>
      <c r="I596" t="s">
        <v>59</v>
      </c>
      <c r="J596" t="s">
        <v>43</v>
      </c>
      <c r="K596" t="s">
        <v>37</v>
      </c>
      <c r="L596" t="s">
        <v>45</v>
      </c>
      <c r="M596">
        <v>3</v>
      </c>
    </row>
    <row r="597" spans="1:13" x14ac:dyDescent="0.25">
      <c r="A597">
        <v>1197</v>
      </c>
      <c r="B597" t="s">
        <v>682</v>
      </c>
      <c r="C597" t="s">
        <v>164</v>
      </c>
      <c r="D597">
        <v>2022</v>
      </c>
      <c r="E597">
        <v>8843</v>
      </c>
      <c r="F597">
        <v>15000</v>
      </c>
      <c r="G597">
        <v>15000</v>
      </c>
      <c r="H597" t="s">
        <v>58</v>
      </c>
      <c r="I597" t="s">
        <v>59</v>
      </c>
      <c r="J597" t="s">
        <v>66</v>
      </c>
      <c r="K597" t="s">
        <v>44</v>
      </c>
      <c r="L597" t="s">
        <v>98</v>
      </c>
      <c r="M597">
        <v>3</v>
      </c>
    </row>
    <row r="598" spans="1:13" x14ac:dyDescent="0.25">
      <c r="A598">
        <v>1544</v>
      </c>
      <c r="B598" t="s">
        <v>200</v>
      </c>
      <c r="C598" t="s">
        <v>40</v>
      </c>
      <c r="E598" t="s">
        <v>683</v>
      </c>
      <c r="F598">
        <v>15000</v>
      </c>
      <c r="G598" t="s">
        <v>76</v>
      </c>
      <c r="H598" t="s">
        <v>84</v>
      </c>
      <c r="I598" t="s">
        <v>72</v>
      </c>
      <c r="J598" t="s">
        <v>96</v>
      </c>
      <c r="K598" t="s">
        <v>54</v>
      </c>
      <c r="L598" t="s">
        <v>90</v>
      </c>
      <c r="M598">
        <v>1</v>
      </c>
    </row>
    <row r="599" spans="1:13" x14ac:dyDescent="0.25">
      <c r="A599">
        <v>1107</v>
      </c>
      <c r="B599" t="s">
        <v>684</v>
      </c>
      <c r="C599" t="s">
        <v>65</v>
      </c>
      <c r="D599">
        <v>2014</v>
      </c>
      <c r="E599">
        <v>6180</v>
      </c>
      <c r="F599" t="s">
        <v>81</v>
      </c>
      <c r="G599">
        <v>60000</v>
      </c>
      <c r="H599" t="s">
        <v>69</v>
      </c>
      <c r="J599" t="s">
        <v>43</v>
      </c>
      <c r="K599" t="s">
        <v>37</v>
      </c>
      <c r="M599">
        <v>2</v>
      </c>
    </row>
    <row r="600" spans="1:13" x14ac:dyDescent="0.25">
      <c r="A600">
        <v>1174</v>
      </c>
      <c r="B600" t="s">
        <v>685</v>
      </c>
      <c r="C600" t="s">
        <v>51</v>
      </c>
      <c r="D600">
        <v>2022</v>
      </c>
      <c r="E600">
        <v>16189</v>
      </c>
      <c r="F600">
        <v>18000</v>
      </c>
      <c r="G600" t="s">
        <v>121</v>
      </c>
      <c r="H600" t="s">
        <v>34</v>
      </c>
      <c r="I600" t="s">
        <v>59</v>
      </c>
      <c r="K600" t="s">
        <v>100</v>
      </c>
      <c r="L600" t="s">
        <v>45</v>
      </c>
      <c r="M600">
        <v>0</v>
      </c>
    </row>
    <row r="601" spans="1:13" x14ac:dyDescent="0.25">
      <c r="A601">
        <v>1273</v>
      </c>
      <c r="B601" t="s">
        <v>311</v>
      </c>
      <c r="C601" t="s">
        <v>164</v>
      </c>
      <c r="D601" t="s">
        <v>52</v>
      </c>
      <c r="E601" t="s">
        <v>686</v>
      </c>
      <c r="F601">
        <v>12000</v>
      </c>
      <c r="G601">
        <v>25000</v>
      </c>
      <c r="H601" t="s">
        <v>53</v>
      </c>
      <c r="J601" t="s">
        <v>43</v>
      </c>
      <c r="K601" t="s">
        <v>116</v>
      </c>
      <c r="L601" t="s">
        <v>90</v>
      </c>
      <c r="M601">
        <v>3</v>
      </c>
    </row>
    <row r="602" spans="1:13" x14ac:dyDescent="0.25">
      <c r="A602">
        <v>1234</v>
      </c>
      <c r="B602" t="s">
        <v>687</v>
      </c>
      <c r="C602" t="s">
        <v>79</v>
      </c>
      <c r="D602">
        <v>2021</v>
      </c>
      <c r="E602">
        <v>13496</v>
      </c>
      <c r="F602">
        <v>18000</v>
      </c>
      <c r="G602">
        <v>40000</v>
      </c>
      <c r="H602" t="s">
        <v>34</v>
      </c>
      <c r="I602" t="s">
        <v>72</v>
      </c>
      <c r="J602" t="s">
        <v>36</v>
      </c>
      <c r="K602" t="s">
        <v>37</v>
      </c>
      <c r="L602" t="s">
        <v>49</v>
      </c>
      <c r="M602">
        <v>1</v>
      </c>
    </row>
    <row r="603" spans="1:13" x14ac:dyDescent="0.25">
      <c r="A603">
        <v>1504</v>
      </c>
      <c r="B603" t="s">
        <v>688</v>
      </c>
      <c r="C603" t="s">
        <v>75</v>
      </c>
      <c r="D603">
        <v>2016</v>
      </c>
      <c r="E603">
        <v>3659</v>
      </c>
      <c r="F603" t="s">
        <v>147</v>
      </c>
      <c r="G603">
        <v>15000</v>
      </c>
      <c r="H603" t="s">
        <v>58</v>
      </c>
      <c r="I603" t="s">
        <v>59</v>
      </c>
      <c r="J603" t="s">
        <v>43</v>
      </c>
      <c r="M603">
        <v>0</v>
      </c>
    </row>
    <row r="604" spans="1:13" x14ac:dyDescent="0.25">
      <c r="A604">
        <v>1547</v>
      </c>
      <c r="B604" t="s">
        <v>689</v>
      </c>
      <c r="C604" t="s">
        <v>94</v>
      </c>
      <c r="D604">
        <v>2014</v>
      </c>
      <c r="E604">
        <v>13941</v>
      </c>
      <c r="F604">
        <v>15000</v>
      </c>
      <c r="G604">
        <v>120000</v>
      </c>
      <c r="H604" t="s">
        <v>41</v>
      </c>
      <c r="J604" t="s">
        <v>43</v>
      </c>
      <c r="K604" t="s">
        <v>100</v>
      </c>
      <c r="M604">
        <v>1</v>
      </c>
    </row>
    <row r="605" spans="1:13" x14ac:dyDescent="0.25">
      <c r="A605">
        <v>1052</v>
      </c>
      <c r="B605" t="s">
        <v>690</v>
      </c>
      <c r="C605" t="s">
        <v>57</v>
      </c>
      <c r="D605">
        <v>2015</v>
      </c>
      <c r="E605">
        <v>16792</v>
      </c>
      <c r="F605">
        <v>22000</v>
      </c>
      <c r="G605">
        <v>25000</v>
      </c>
      <c r="H605" t="s">
        <v>84</v>
      </c>
      <c r="I605" t="s">
        <v>72</v>
      </c>
      <c r="J605" t="s">
        <v>66</v>
      </c>
      <c r="L605" t="s">
        <v>49</v>
      </c>
      <c r="M605">
        <v>2</v>
      </c>
    </row>
    <row r="606" spans="1:13" x14ac:dyDescent="0.25">
      <c r="A606">
        <v>1582</v>
      </c>
      <c r="B606" t="s">
        <v>691</v>
      </c>
      <c r="C606" t="s">
        <v>51</v>
      </c>
      <c r="D606">
        <v>2021</v>
      </c>
      <c r="E606">
        <v>15255</v>
      </c>
      <c r="F606">
        <v>18000</v>
      </c>
      <c r="G606">
        <v>40000</v>
      </c>
      <c r="H606" t="s">
        <v>41</v>
      </c>
      <c r="I606" t="s">
        <v>59</v>
      </c>
      <c r="K606" t="s">
        <v>116</v>
      </c>
      <c r="L606" t="s">
        <v>126</v>
      </c>
      <c r="M606">
        <v>2</v>
      </c>
    </row>
    <row r="607" spans="1:13" x14ac:dyDescent="0.25">
      <c r="A607">
        <v>1109</v>
      </c>
      <c r="B607" t="s">
        <v>406</v>
      </c>
      <c r="C607" t="s">
        <v>40</v>
      </c>
      <c r="E607" t="s">
        <v>692</v>
      </c>
      <c r="F607">
        <v>31000</v>
      </c>
      <c r="G607" t="s">
        <v>130</v>
      </c>
      <c r="H607" t="s">
        <v>63</v>
      </c>
      <c r="I607" t="s">
        <v>35</v>
      </c>
      <c r="J607" t="s">
        <v>36</v>
      </c>
      <c r="K607" t="s">
        <v>48</v>
      </c>
      <c r="L607" t="s">
        <v>55</v>
      </c>
      <c r="M607">
        <v>1</v>
      </c>
    </row>
    <row r="608" spans="1:13" x14ac:dyDescent="0.25">
      <c r="A608">
        <v>1007</v>
      </c>
      <c r="B608" t="s">
        <v>387</v>
      </c>
      <c r="C608" t="s">
        <v>75</v>
      </c>
      <c r="D608">
        <v>2022</v>
      </c>
      <c r="E608" t="s">
        <v>693</v>
      </c>
      <c r="F608">
        <v>12000</v>
      </c>
      <c r="G608" t="s">
        <v>92</v>
      </c>
      <c r="H608" t="s">
        <v>34</v>
      </c>
      <c r="I608" t="s">
        <v>72</v>
      </c>
      <c r="J608" t="s">
        <v>96</v>
      </c>
      <c r="K608" t="s">
        <v>44</v>
      </c>
      <c r="L608" t="s">
        <v>98</v>
      </c>
      <c r="M608">
        <v>1</v>
      </c>
    </row>
    <row r="609" spans="1:13" x14ac:dyDescent="0.25">
      <c r="A609">
        <v>1143</v>
      </c>
      <c r="B609" t="s">
        <v>694</v>
      </c>
      <c r="C609" t="s">
        <v>65</v>
      </c>
      <c r="D609">
        <v>2015</v>
      </c>
      <c r="E609">
        <v>26401</v>
      </c>
      <c r="F609">
        <v>31000</v>
      </c>
      <c r="G609">
        <v>120000</v>
      </c>
      <c r="H609" t="s">
        <v>53</v>
      </c>
      <c r="I609" t="s">
        <v>35</v>
      </c>
      <c r="J609" t="s">
        <v>66</v>
      </c>
      <c r="K609" t="s">
        <v>54</v>
      </c>
      <c r="L609" t="s">
        <v>126</v>
      </c>
      <c r="M609">
        <v>1</v>
      </c>
    </row>
    <row r="610" spans="1:13" x14ac:dyDescent="0.25">
      <c r="A610">
        <v>1490</v>
      </c>
      <c r="B610" t="s">
        <v>695</v>
      </c>
      <c r="C610" t="s">
        <v>94</v>
      </c>
      <c r="D610">
        <v>2020</v>
      </c>
      <c r="E610">
        <v>19687</v>
      </c>
      <c r="F610">
        <v>22000</v>
      </c>
      <c r="G610" t="s">
        <v>76</v>
      </c>
      <c r="J610" t="s">
        <v>43</v>
      </c>
      <c r="K610" t="s">
        <v>100</v>
      </c>
      <c r="L610" t="s">
        <v>109</v>
      </c>
      <c r="M610">
        <v>3</v>
      </c>
    </row>
    <row r="611" spans="1:13" x14ac:dyDescent="0.25">
      <c r="A611">
        <v>1159</v>
      </c>
      <c r="B611" t="s">
        <v>599</v>
      </c>
      <c r="C611" t="s">
        <v>94</v>
      </c>
      <c r="D611">
        <v>2016</v>
      </c>
      <c r="E611">
        <v>7827</v>
      </c>
      <c r="F611" t="s">
        <v>81</v>
      </c>
      <c r="G611">
        <v>15000</v>
      </c>
      <c r="H611" t="s">
        <v>41</v>
      </c>
      <c r="I611" t="s">
        <v>72</v>
      </c>
      <c r="J611" t="s">
        <v>43</v>
      </c>
      <c r="K611" t="s">
        <v>73</v>
      </c>
      <c r="L611" t="s">
        <v>98</v>
      </c>
      <c r="M611">
        <v>3</v>
      </c>
    </row>
    <row r="612" spans="1:13" x14ac:dyDescent="0.25">
      <c r="A612">
        <v>1156</v>
      </c>
      <c r="B612" t="s">
        <v>514</v>
      </c>
      <c r="C612" t="s">
        <v>51</v>
      </c>
      <c r="D612">
        <v>2018</v>
      </c>
      <c r="E612">
        <v>26487</v>
      </c>
      <c r="F612">
        <v>31000</v>
      </c>
      <c r="G612">
        <v>15000</v>
      </c>
      <c r="H612" t="s">
        <v>84</v>
      </c>
      <c r="I612" t="s">
        <v>72</v>
      </c>
      <c r="J612" t="s">
        <v>66</v>
      </c>
      <c r="K612" t="s">
        <v>48</v>
      </c>
      <c r="L612" t="s">
        <v>38</v>
      </c>
      <c r="M612">
        <v>3</v>
      </c>
    </row>
    <row r="613" spans="1:13" x14ac:dyDescent="0.25">
      <c r="A613">
        <v>1234</v>
      </c>
      <c r="B613" t="s">
        <v>696</v>
      </c>
      <c r="C613" t="s">
        <v>32</v>
      </c>
      <c r="D613">
        <v>2022</v>
      </c>
      <c r="E613" t="s">
        <v>697</v>
      </c>
      <c r="F613">
        <v>12000</v>
      </c>
      <c r="G613">
        <v>25000</v>
      </c>
      <c r="H613" t="s">
        <v>53</v>
      </c>
      <c r="I613" t="s">
        <v>42</v>
      </c>
      <c r="J613" t="s">
        <v>43</v>
      </c>
      <c r="K613" t="s">
        <v>73</v>
      </c>
      <c r="L613" t="s">
        <v>38</v>
      </c>
      <c r="M613">
        <v>0</v>
      </c>
    </row>
    <row r="614" spans="1:13" x14ac:dyDescent="0.25">
      <c r="A614">
        <v>1227</v>
      </c>
      <c r="B614" t="s">
        <v>698</v>
      </c>
      <c r="C614" t="s">
        <v>68</v>
      </c>
      <c r="D614">
        <v>2020</v>
      </c>
      <c r="E614">
        <v>22490</v>
      </c>
      <c r="F614">
        <v>26000</v>
      </c>
      <c r="G614">
        <v>80000</v>
      </c>
      <c r="H614" t="s">
        <v>41</v>
      </c>
      <c r="I614" t="s">
        <v>72</v>
      </c>
      <c r="J614" t="s">
        <v>36</v>
      </c>
      <c r="K614" t="s">
        <v>54</v>
      </c>
      <c r="L614" t="s">
        <v>109</v>
      </c>
      <c r="M614">
        <v>2</v>
      </c>
    </row>
    <row r="615" spans="1:13" x14ac:dyDescent="0.25">
      <c r="A615">
        <v>1041</v>
      </c>
      <c r="B615" t="s">
        <v>699</v>
      </c>
      <c r="C615" t="s">
        <v>79</v>
      </c>
      <c r="D615">
        <v>2020</v>
      </c>
      <c r="E615" t="s">
        <v>700</v>
      </c>
      <c r="F615">
        <v>15000</v>
      </c>
      <c r="G615">
        <v>40000</v>
      </c>
      <c r="H615" t="s">
        <v>69</v>
      </c>
      <c r="I615" t="s">
        <v>59</v>
      </c>
      <c r="J615" t="s">
        <v>96</v>
      </c>
      <c r="K615" t="s">
        <v>37</v>
      </c>
      <c r="L615" t="s">
        <v>98</v>
      </c>
      <c r="M615">
        <v>1</v>
      </c>
    </row>
    <row r="616" spans="1:13" x14ac:dyDescent="0.25">
      <c r="A616">
        <v>1099</v>
      </c>
      <c r="B616" t="s">
        <v>701</v>
      </c>
      <c r="C616" t="s">
        <v>65</v>
      </c>
      <c r="D616">
        <v>2021</v>
      </c>
      <c r="E616">
        <v>18507</v>
      </c>
      <c r="F616">
        <v>22000</v>
      </c>
      <c r="G616">
        <v>40000</v>
      </c>
      <c r="H616" t="s">
        <v>58</v>
      </c>
      <c r="I616" t="s">
        <v>72</v>
      </c>
      <c r="J616" t="s">
        <v>96</v>
      </c>
      <c r="K616" t="s">
        <v>44</v>
      </c>
    </row>
    <row r="617" spans="1:13" x14ac:dyDescent="0.25">
      <c r="A617">
        <v>1089</v>
      </c>
      <c r="B617" t="s">
        <v>702</v>
      </c>
      <c r="C617" t="s">
        <v>79</v>
      </c>
      <c r="D617">
        <v>2017</v>
      </c>
      <c r="E617">
        <v>12214</v>
      </c>
      <c r="F617" t="s">
        <v>129</v>
      </c>
      <c r="G617">
        <v>25000</v>
      </c>
      <c r="H617" t="s">
        <v>84</v>
      </c>
      <c r="I617" t="s">
        <v>35</v>
      </c>
      <c r="K617" t="s">
        <v>77</v>
      </c>
      <c r="L617" t="s">
        <v>38</v>
      </c>
      <c r="M617">
        <v>3</v>
      </c>
    </row>
    <row r="618" spans="1:13" x14ac:dyDescent="0.25">
      <c r="A618">
        <v>1206</v>
      </c>
      <c r="B618" t="s">
        <v>181</v>
      </c>
      <c r="C618" t="s">
        <v>32</v>
      </c>
      <c r="D618">
        <v>2015</v>
      </c>
      <c r="E618">
        <v>15058</v>
      </c>
      <c r="F618">
        <v>22000</v>
      </c>
      <c r="G618" t="s">
        <v>130</v>
      </c>
      <c r="H618" t="s">
        <v>34</v>
      </c>
      <c r="J618" t="s">
        <v>96</v>
      </c>
      <c r="L618" t="s">
        <v>109</v>
      </c>
      <c r="M618">
        <v>2</v>
      </c>
    </row>
    <row r="619" spans="1:13" x14ac:dyDescent="0.25">
      <c r="A619">
        <v>1429</v>
      </c>
      <c r="B619" t="s">
        <v>703</v>
      </c>
      <c r="C619" t="s">
        <v>138</v>
      </c>
      <c r="D619" t="s">
        <v>52</v>
      </c>
      <c r="E619">
        <v>7446</v>
      </c>
      <c r="F619">
        <v>9000</v>
      </c>
      <c r="G619">
        <v>60000</v>
      </c>
      <c r="H619" t="s">
        <v>58</v>
      </c>
      <c r="J619" t="s">
        <v>96</v>
      </c>
      <c r="K619" t="s">
        <v>100</v>
      </c>
      <c r="L619" t="s">
        <v>45</v>
      </c>
      <c r="M619">
        <v>0</v>
      </c>
    </row>
    <row r="620" spans="1:13" x14ac:dyDescent="0.25">
      <c r="A620">
        <v>1525</v>
      </c>
      <c r="B620" t="s">
        <v>230</v>
      </c>
      <c r="C620" t="s">
        <v>68</v>
      </c>
      <c r="D620">
        <v>2017</v>
      </c>
      <c r="E620">
        <v>19391</v>
      </c>
      <c r="F620">
        <v>26000</v>
      </c>
      <c r="G620">
        <v>60000</v>
      </c>
      <c r="H620" t="s">
        <v>34</v>
      </c>
      <c r="J620" t="s">
        <v>43</v>
      </c>
      <c r="K620" t="s">
        <v>48</v>
      </c>
      <c r="L620" t="s">
        <v>45</v>
      </c>
      <c r="M620">
        <v>1</v>
      </c>
    </row>
    <row r="621" spans="1:13" x14ac:dyDescent="0.25">
      <c r="A621">
        <v>1525</v>
      </c>
      <c r="B621" t="s">
        <v>371</v>
      </c>
      <c r="C621" t="s">
        <v>57</v>
      </c>
      <c r="D621">
        <v>2014</v>
      </c>
      <c r="E621">
        <v>9216</v>
      </c>
      <c r="F621">
        <v>12000</v>
      </c>
      <c r="G621">
        <v>80000</v>
      </c>
      <c r="H621" t="s">
        <v>69</v>
      </c>
      <c r="I621" t="s">
        <v>42</v>
      </c>
      <c r="J621" t="s">
        <v>96</v>
      </c>
      <c r="K621" t="s">
        <v>54</v>
      </c>
      <c r="M621">
        <v>0</v>
      </c>
    </row>
    <row r="622" spans="1:13" x14ac:dyDescent="0.25">
      <c r="A622">
        <v>1040</v>
      </c>
      <c r="B622" t="s">
        <v>270</v>
      </c>
      <c r="C622" t="s">
        <v>57</v>
      </c>
      <c r="D622">
        <v>2017</v>
      </c>
      <c r="E622">
        <v>4049</v>
      </c>
      <c r="F622">
        <v>7000</v>
      </c>
      <c r="G622">
        <v>80000</v>
      </c>
      <c r="H622" t="s">
        <v>58</v>
      </c>
      <c r="I622" t="s">
        <v>72</v>
      </c>
      <c r="J622" t="s">
        <v>36</v>
      </c>
      <c r="K622" t="s">
        <v>77</v>
      </c>
      <c r="L622" t="s">
        <v>38</v>
      </c>
    </row>
    <row r="623" spans="1:13" x14ac:dyDescent="0.25">
      <c r="A623">
        <v>1332</v>
      </c>
      <c r="B623" t="s">
        <v>704</v>
      </c>
      <c r="C623" t="s">
        <v>32</v>
      </c>
      <c r="D623">
        <v>2014</v>
      </c>
      <c r="E623" t="s">
        <v>705</v>
      </c>
      <c r="F623">
        <v>22000</v>
      </c>
      <c r="G623">
        <v>120000</v>
      </c>
      <c r="H623" t="s">
        <v>58</v>
      </c>
      <c r="I623" t="s">
        <v>59</v>
      </c>
      <c r="K623" t="s">
        <v>54</v>
      </c>
      <c r="L623" t="s">
        <v>109</v>
      </c>
      <c r="M623">
        <v>0</v>
      </c>
    </row>
    <row r="624" spans="1:13" x14ac:dyDescent="0.25">
      <c r="A624">
        <v>1262</v>
      </c>
      <c r="B624" t="s">
        <v>410</v>
      </c>
      <c r="C624" t="s">
        <v>40</v>
      </c>
      <c r="D624">
        <v>2019</v>
      </c>
      <c r="E624">
        <v>11709</v>
      </c>
      <c r="F624">
        <v>15000</v>
      </c>
      <c r="G624">
        <v>120000</v>
      </c>
      <c r="H624" t="s">
        <v>84</v>
      </c>
      <c r="I624" t="s">
        <v>59</v>
      </c>
      <c r="J624" t="s">
        <v>96</v>
      </c>
      <c r="L624" t="s">
        <v>38</v>
      </c>
      <c r="M624">
        <v>3</v>
      </c>
    </row>
    <row r="625" spans="1:13" x14ac:dyDescent="0.25">
      <c r="A625">
        <v>1159</v>
      </c>
      <c r="B625" t="s">
        <v>414</v>
      </c>
      <c r="C625" t="s">
        <v>119</v>
      </c>
      <c r="D625">
        <v>2019</v>
      </c>
      <c r="E625">
        <v>12236</v>
      </c>
      <c r="F625">
        <v>18000</v>
      </c>
      <c r="G625">
        <v>25000</v>
      </c>
      <c r="H625" t="s">
        <v>58</v>
      </c>
      <c r="I625" t="s">
        <v>59</v>
      </c>
      <c r="J625" t="s">
        <v>36</v>
      </c>
      <c r="K625" t="s">
        <v>116</v>
      </c>
      <c r="L625" t="s">
        <v>90</v>
      </c>
      <c r="M625">
        <v>3</v>
      </c>
    </row>
    <row r="626" spans="1:13" x14ac:dyDescent="0.25">
      <c r="A626">
        <v>1288</v>
      </c>
      <c r="B626" t="s">
        <v>551</v>
      </c>
      <c r="C626" t="s">
        <v>57</v>
      </c>
      <c r="D626">
        <v>2016</v>
      </c>
      <c r="E626" t="s">
        <v>706</v>
      </c>
      <c r="F626">
        <v>15000</v>
      </c>
      <c r="G626" t="s">
        <v>121</v>
      </c>
      <c r="H626" t="s">
        <v>34</v>
      </c>
      <c r="J626" t="s">
        <v>66</v>
      </c>
      <c r="K626" t="s">
        <v>37</v>
      </c>
      <c r="L626" t="s">
        <v>90</v>
      </c>
      <c r="M626">
        <v>0</v>
      </c>
    </row>
    <row r="627" spans="1:13" x14ac:dyDescent="0.25">
      <c r="A627">
        <v>1539</v>
      </c>
      <c r="B627" t="s">
        <v>161</v>
      </c>
      <c r="C627" t="s">
        <v>103</v>
      </c>
      <c r="D627">
        <v>2017</v>
      </c>
      <c r="E627" t="s">
        <v>707</v>
      </c>
      <c r="F627">
        <v>31000</v>
      </c>
      <c r="G627" t="s">
        <v>108</v>
      </c>
      <c r="H627" t="s">
        <v>84</v>
      </c>
      <c r="I627" t="s">
        <v>59</v>
      </c>
      <c r="J627" t="s">
        <v>43</v>
      </c>
      <c r="K627" t="s">
        <v>73</v>
      </c>
      <c r="L627" t="s">
        <v>49</v>
      </c>
      <c r="M627">
        <v>0</v>
      </c>
    </row>
    <row r="628" spans="1:13" x14ac:dyDescent="0.25">
      <c r="A628">
        <v>1013</v>
      </c>
      <c r="B628" t="s">
        <v>297</v>
      </c>
      <c r="C628" t="s">
        <v>68</v>
      </c>
      <c r="D628">
        <v>2016</v>
      </c>
      <c r="E628">
        <v>11808</v>
      </c>
      <c r="F628" t="s">
        <v>89</v>
      </c>
      <c r="G628">
        <v>15000</v>
      </c>
      <c r="H628" t="s">
        <v>63</v>
      </c>
      <c r="I628" t="s">
        <v>35</v>
      </c>
      <c r="J628" t="s">
        <v>66</v>
      </c>
      <c r="K628" t="s">
        <v>100</v>
      </c>
      <c r="L628" t="s">
        <v>55</v>
      </c>
    </row>
    <row r="629" spans="1:13" x14ac:dyDescent="0.25">
      <c r="A629">
        <v>1249</v>
      </c>
      <c r="B629" t="s">
        <v>708</v>
      </c>
      <c r="C629" t="s">
        <v>138</v>
      </c>
      <c r="D629">
        <v>2016</v>
      </c>
      <c r="E629" t="s">
        <v>709</v>
      </c>
      <c r="F629">
        <v>18000</v>
      </c>
      <c r="G629">
        <v>40000</v>
      </c>
      <c r="H629" t="s">
        <v>84</v>
      </c>
      <c r="I629" t="s">
        <v>35</v>
      </c>
      <c r="J629" t="s">
        <v>36</v>
      </c>
      <c r="K629" t="s">
        <v>37</v>
      </c>
      <c r="M629">
        <v>2</v>
      </c>
    </row>
    <row r="630" spans="1:13" x14ac:dyDescent="0.25">
      <c r="A630">
        <v>1024</v>
      </c>
      <c r="B630" t="s">
        <v>216</v>
      </c>
      <c r="C630" t="s">
        <v>32</v>
      </c>
      <c r="D630">
        <v>2022</v>
      </c>
      <c r="E630">
        <v>24991</v>
      </c>
      <c r="F630">
        <v>26000</v>
      </c>
      <c r="G630">
        <v>25000</v>
      </c>
      <c r="H630" t="s">
        <v>69</v>
      </c>
      <c r="I630" t="s">
        <v>42</v>
      </c>
      <c r="J630" t="s">
        <v>43</v>
      </c>
      <c r="K630" t="s">
        <v>37</v>
      </c>
      <c r="L630" t="s">
        <v>55</v>
      </c>
      <c r="M630">
        <v>1</v>
      </c>
    </row>
    <row r="631" spans="1:13" x14ac:dyDescent="0.25">
      <c r="A631">
        <v>1341</v>
      </c>
      <c r="B631" t="s">
        <v>710</v>
      </c>
      <c r="C631" t="s">
        <v>32</v>
      </c>
      <c r="D631">
        <v>2017</v>
      </c>
      <c r="E631" t="s">
        <v>711</v>
      </c>
      <c r="F631">
        <v>9000</v>
      </c>
      <c r="G631">
        <v>40000</v>
      </c>
      <c r="H631" t="s">
        <v>41</v>
      </c>
      <c r="J631" t="s">
        <v>66</v>
      </c>
      <c r="K631" t="s">
        <v>100</v>
      </c>
      <c r="L631" t="s">
        <v>98</v>
      </c>
    </row>
    <row r="632" spans="1:13" x14ac:dyDescent="0.25">
      <c r="A632">
        <v>1308</v>
      </c>
      <c r="B632" t="s">
        <v>195</v>
      </c>
      <c r="C632" t="s">
        <v>61</v>
      </c>
      <c r="E632">
        <v>7517</v>
      </c>
      <c r="F632">
        <v>12000</v>
      </c>
      <c r="G632">
        <v>120000</v>
      </c>
      <c r="H632" t="s">
        <v>69</v>
      </c>
      <c r="I632" t="s">
        <v>59</v>
      </c>
      <c r="J632" t="s">
        <v>96</v>
      </c>
      <c r="K632" t="s">
        <v>54</v>
      </c>
      <c r="L632" t="s">
        <v>49</v>
      </c>
      <c r="M632">
        <v>0</v>
      </c>
    </row>
    <row r="633" spans="1:13" x14ac:dyDescent="0.25">
      <c r="A633">
        <v>1457</v>
      </c>
      <c r="B633" t="s">
        <v>593</v>
      </c>
      <c r="C633" t="s">
        <v>164</v>
      </c>
      <c r="D633" t="s">
        <v>52</v>
      </c>
      <c r="E633">
        <v>9790</v>
      </c>
      <c r="F633">
        <v>12000</v>
      </c>
      <c r="G633">
        <v>40000</v>
      </c>
      <c r="H633" t="s">
        <v>84</v>
      </c>
      <c r="I633" t="s">
        <v>35</v>
      </c>
      <c r="K633" t="s">
        <v>48</v>
      </c>
      <c r="L633" t="s">
        <v>45</v>
      </c>
      <c r="M633">
        <v>1</v>
      </c>
    </row>
    <row r="634" spans="1:13" x14ac:dyDescent="0.25">
      <c r="A634">
        <v>1326</v>
      </c>
      <c r="B634" t="s">
        <v>206</v>
      </c>
      <c r="C634" t="s">
        <v>75</v>
      </c>
      <c r="D634">
        <v>2019</v>
      </c>
      <c r="E634">
        <v>7846</v>
      </c>
      <c r="F634">
        <v>12000</v>
      </c>
      <c r="G634">
        <v>25000</v>
      </c>
      <c r="H634" t="s">
        <v>63</v>
      </c>
      <c r="I634" t="s">
        <v>42</v>
      </c>
      <c r="J634" t="s">
        <v>66</v>
      </c>
      <c r="K634" t="s">
        <v>48</v>
      </c>
      <c r="L634" t="s">
        <v>98</v>
      </c>
    </row>
    <row r="635" spans="1:13" x14ac:dyDescent="0.25">
      <c r="A635">
        <v>1393</v>
      </c>
      <c r="B635" t="s">
        <v>712</v>
      </c>
      <c r="C635" t="s">
        <v>133</v>
      </c>
      <c r="D635">
        <v>2022</v>
      </c>
      <c r="E635" t="s">
        <v>713</v>
      </c>
      <c r="F635">
        <v>31000</v>
      </c>
      <c r="G635">
        <v>80000</v>
      </c>
      <c r="H635" t="s">
        <v>53</v>
      </c>
      <c r="I635" t="s">
        <v>35</v>
      </c>
      <c r="J635" t="s">
        <v>66</v>
      </c>
      <c r="K635" t="s">
        <v>44</v>
      </c>
      <c r="L635" t="s">
        <v>126</v>
      </c>
      <c r="M635">
        <v>1</v>
      </c>
    </row>
    <row r="636" spans="1:13" x14ac:dyDescent="0.25">
      <c r="A636">
        <v>1357</v>
      </c>
      <c r="B636" t="s">
        <v>411</v>
      </c>
      <c r="C636" t="s">
        <v>40</v>
      </c>
      <c r="D636">
        <v>2019</v>
      </c>
      <c r="E636">
        <v>29098</v>
      </c>
      <c r="F636">
        <v>31000</v>
      </c>
      <c r="G636">
        <v>25000</v>
      </c>
      <c r="H636" t="s">
        <v>58</v>
      </c>
      <c r="I636" t="s">
        <v>72</v>
      </c>
      <c r="J636" t="s">
        <v>43</v>
      </c>
      <c r="K636" t="s">
        <v>100</v>
      </c>
      <c r="M636">
        <v>3</v>
      </c>
    </row>
    <row r="637" spans="1:13" x14ac:dyDescent="0.25">
      <c r="A637">
        <v>1146</v>
      </c>
      <c r="B637" t="s">
        <v>714</v>
      </c>
      <c r="C637" t="s">
        <v>119</v>
      </c>
      <c r="D637">
        <v>2017</v>
      </c>
      <c r="E637">
        <v>12872</v>
      </c>
      <c r="F637" t="s">
        <v>89</v>
      </c>
      <c r="G637">
        <v>15000</v>
      </c>
      <c r="H637" t="s">
        <v>63</v>
      </c>
      <c r="I637" t="s">
        <v>35</v>
      </c>
      <c r="J637" t="s">
        <v>36</v>
      </c>
      <c r="K637" t="s">
        <v>37</v>
      </c>
      <c r="L637" t="s">
        <v>55</v>
      </c>
    </row>
    <row r="638" spans="1:13" x14ac:dyDescent="0.25">
      <c r="A638">
        <v>1250</v>
      </c>
      <c r="B638" t="s">
        <v>235</v>
      </c>
      <c r="C638" t="s">
        <v>57</v>
      </c>
      <c r="D638">
        <v>2014</v>
      </c>
      <c r="E638" t="s">
        <v>715</v>
      </c>
      <c r="F638">
        <v>12000</v>
      </c>
      <c r="G638">
        <v>40000</v>
      </c>
      <c r="H638" t="s">
        <v>58</v>
      </c>
      <c r="I638" t="s">
        <v>42</v>
      </c>
      <c r="J638" t="s">
        <v>43</v>
      </c>
      <c r="K638" t="s">
        <v>100</v>
      </c>
      <c r="M638">
        <v>2</v>
      </c>
    </row>
    <row r="639" spans="1:13" x14ac:dyDescent="0.25">
      <c r="A639">
        <v>1293</v>
      </c>
      <c r="B639" t="s">
        <v>716</v>
      </c>
      <c r="C639" t="s">
        <v>133</v>
      </c>
      <c r="D639">
        <v>2020</v>
      </c>
      <c r="E639" t="s">
        <v>717</v>
      </c>
      <c r="F639" t="s">
        <v>115</v>
      </c>
      <c r="G639">
        <v>60000</v>
      </c>
      <c r="H639" t="s">
        <v>58</v>
      </c>
      <c r="J639" t="s">
        <v>66</v>
      </c>
      <c r="K639" t="s">
        <v>73</v>
      </c>
      <c r="L639" t="s">
        <v>98</v>
      </c>
      <c r="M639">
        <v>3</v>
      </c>
    </row>
    <row r="640" spans="1:13" x14ac:dyDescent="0.25">
      <c r="A640">
        <v>1232</v>
      </c>
      <c r="B640" t="s">
        <v>718</v>
      </c>
      <c r="C640" t="s">
        <v>138</v>
      </c>
      <c r="D640">
        <v>2022</v>
      </c>
      <c r="E640">
        <v>12889</v>
      </c>
      <c r="F640">
        <v>18000</v>
      </c>
      <c r="G640">
        <v>80000</v>
      </c>
      <c r="H640" t="s">
        <v>34</v>
      </c>
      <c r="I640" t="s">
        <v>42</v>
      </c>
      <c r="J640" t="s">
        <v>66</v>
      </c>
      <c r="K640" t="s">
        <v>48</v>
      </c>
      <c r="L640" t="s">
        <v>126</v>
      </c>
      <c r="M640">
        <v>1</v>
      </c>
    </row>
    <row r="641" spans="1:13" x14ac:dyDescent="0.25">
      <c r="A641">
        <v>1320</v>
      </c>
      <c r="B641" t="s">
        <v>419</v>
      </c>
      <c r="C641" t="s">
        <v>94</v>
      </c>
      <c r="D641">
        <v>2016</v>
      </c>
      <c r="E641">
        <v>4163</v>
      </c>
      <c r="F641">
        <v>9000</v>
      </c>
      <c r="G641">
        <v>120000</v>
      </c>
      <c r="H641" t="s">
        <v>41</v>
      </c>
      <c r="I641" t="s">
        <v>72</v>
      </c>
      <c r="J641" t="s">
        <v>43</v>
      </c>
      <c r="K641" t="s">
        <v>77</v>
      </c>
      <c r="L641" t="s">
        <v>45</v>
      </c>
      <c r="M641">
        <v>0</v>
      </c>
    </row>
    <row r="642" spans="1:13" x14ac:dyDescent="0.25">
      <c r="A642">
        <v>1245</v>
      </c>
      <c r="B642" t="s">
        <v>719</v>
      </c>
      <c r="C642" t="s">
        <v>32</v>
      </c>
      <c r="D642">
        <v>2015</v>
      </c>
      <c r="E642">
        <v>18252</v>
      </c>
      <c r="F642">
        <v>22000</v>
      </c>
      <c r="G642" t="s">
        <v>121</v>
      </c>
      <c r="H642" t="s">
        <v>41</v>
      </c>
      <c r="I642" t="s">
        <v>72</v>
      </c>
      <c r="J642" t="s">
        <v>66</v>
      </c>
      <c r="L642" t="s">
        <v>38</v>
      </c>
      <c r="M642">
        <v>0</v>
      </c>
    </row>
    <row r="643" spans="1:13" x14ac:dyDescent="0.25">
      <c r="A643">
        <v>1577</v>
      </c>
      <c r="B643" t="s">
        <v>720</v>
      </c>
      <c r="C643" t="s">
        <v>119</v>
      </c>
      <c r="D643">
        <v>2018</v>
      </c>
      <c r="E643">
        <v>3374</v>
      </c>
      <c r="F643">
        <v>9000</v>
      </c>
      <c r="G643" t="s">
        <v>121</v>
      </c>
      <c r="H643" t="s">
        <v>84</v>
      </c>
      <c r="I643" t="s">
        <v>72</v>
      </c>
      <c r="J643" t="s">
        <v>36</v>
      </c>
      <c r="K643" t="s">
        <v>44</v>
      </c>
      <c r="L643" t="s">
        <v>45</v>
      </c>
      <c r="M643">
        <v>3</v>
      </c>
    </row>
    <row r="644" spans="1:13" x14ac:dyDescent="0.25">
      <c r="A644">
        <v>1099</v>
      </c>
      <c r="B644" t="s">
        <v>721</v>
      </c>
      <c r="C644" t="s">
        <v>47</v>
      </c>
      <c r="D644">
        <v>2019</v>
      </c>
      <c r="E644">
        <v>22085</v>
      </c>
      <c r="F644">
        <v>26000</v>
      </c>
      <c r="G644">
        <v>120000</v>
      </c>
      <c r="H644" t="s">
        <v>58</v>
      </c>
      <c r="I644" t="s">
        <v>35</v>
      </c>
      <c r="K644" t="s">
        <v>48</v>
      </c>
      <c r="L644" t="s">
        <v>55</v>
      </c>
    </row>
    <row r="645" spans="1:13" x14ac:dyDescent="0.25">
      <c r="A645">
        <v>1080</v>
      </c>
      <c r="B645" t="s">
        <v>247</v>
      </c>
      <c r="C645" t="s">
        <v>68</v>
      </c>
      <c r="D645">
        <v>2018</v>
      </c>
      <c r="E645">
        <v>5410</v>
      </c>
      <c r="F645" t="s">
        <v>204</v>
      </c>
      <c r="G645">
        <v>25000</v>
      </c>
      <c r="H645" t="s">
        <v>53</v>
      </c>
      <c r="I645" t="s">
        <v>42</v>
      </c>
      <c r="J645" t="s">
        <v>66</v>
      </c>
    </row>
    <row r="646" spans="1:13" x14ac:dyDescent="0.25">
      <c r="A646">
        <v>1441</v>
      </c>
      <c r="B646" t="s">
        <v>636</v>
      </c>
      <c r="C646" t="s">
        <v>61</v>
      </c>
      <c r="D646">
        <v>2021</v>
      </c>
      <c r="E646" t="s">
        <v>722</v>
      </c>
      <c r="F646">
        <v>12000</v>
      </c>
      <c r="G646">
        <v>40000</v>
      </c>
      <c r="H646" t="s">
        <v>53</v>
      </c>
      <c r="I646" t="s">
        <v>42</v>
      </c>
      <c r="K646" t="s">
        <v>37</v>
      </c>
      <c r="L646" t="s">
        <v>90</v>
      </c>
    </row>
    <row r="647" spans="1:13" x14ac:dyDescent="0.25">
      <c r="A647">
        <v>1089</v>
      </c>
      <c r="B647" t="s">
        <v>354</v>
      </c>
      <c r="C647" t="s">
        <v>133</v>
      </c>
      <c r="D647">
        <v>2015</v>
      </c>
      <c r="E647">
        <v>3465</v>
      </c>
      <c r="F647">
        <v>7000</v>
      </c>
      <c r="G647" t="s">
        <v>33</v>
      </c>
      <c r="H647" t="s">
        <v>69</v>
      </c>
      <c r="I647" t="s">
        <v>42</v>
      </c>
      <c r="J647" t="s">
        <v>36</v>
      </c>
      <c r="K647" t="s">
        <v>54</v>
      </c>
      <c r="L647" t="s">
        <v>109</v>
      </c>
      <c r="M647">
        <v>2</v>
      </c>
    </row>
    <row r="648" spans="1:13" x14ac:dyDescent="0.25">
      <c r="A648">
        <v>1484</v>
      </c>
      <c r="B648" t="s">
        <v>479</v>
      </c>
      <c r="C648" t="s">
        <v>75</v>
      </c>
      <c r="D648">
        <v>2015</v>
      </c>
      <c r="E648">
        <v>7226</v>
      </c>
      <c r="F648">
        <v>12000</v>
      </c>
      <c r="G648">
        <v>120000</v>
      </c>
      <c r="H648" t="s">
        <v>58</v>
      </c>
      <c r="I648" t="s">
        <v>35</v>
      </c>
      <c r="K648" t="s">
        <v>116</v>
      </c>
      <c r="L648" t="s">
        <v>126</v>
      </c>
      <c r="M648">
        <v>2</v>
      </c>
    </row>
    <row r="649" spans="1:13" x14ac:dyDescent="0.25">
      <c r="A649">
        <v>1451</v>
      </c>
      <c r="B649" t="s">
        <v>723</v>
      </c>
      <c r="C649" t="s">
        <v>51</v>
      </c>
      <c r="D649">
        <v>2020</v>
      </c>
      <c r="E649">
        <v>19425</v>
      </c>
      <c r="F649">
        <v>26000</v>
      </c>
      <c r="G649">
        <v>80000</v>
      </c>
      <c r="H649" t="s">
        <v>63</v>
      </c>
      <c r="I649" t="s">
        <v>35</v>
      </c>
      <c r="J649" t="s">
        <v>43</v>
      </c>
      <c r="L649" t="s">
        <v>55</v>
      </c>
      <c r="M649">
        <v>2</v>
      </c>
    </row>
    <row r="650" spans="1:13" x14ac:dyDescent="0.25">
      <c r="A650">
        <v>1008</v>
      </c>
      <c r="B650" t="s">
        <v>724</v>
      </c>
      <c r="C650" t="s">
        <v>68</v>
      </c>
      <c r="E650" t="s">
        <v>725</v>
      </c>
      <c r="F650" t="s">
        <v>147</v>
      </c>
      <c r="G650">
        <v>120000</v>
      </c>
      <c r="H650" t="s">
        <v>34</v>
      </c>
      <c r="I650" t="s">
        <v>35</v>
      </c>
      <c r="J650" t="s">
        <v>66</v>
      </c>
      <c r="K650" t="s">
        <v>48</v>
      </c>
      <c r="L650" t="s">
        <v>55</v>
      </c>
      <c r="M650">
        <v>0</v>
      </c>
    </row>
    <row r="651" spans="1:13" x14ac:dyDescent="0.25">
      <c r="A651">
        <v>1111</v>
      </c>
      <c r="B651" t="s">
        <v>166</v>
      </c>
      <c r="C651" t="s">
        <v>79</v>
      </c>
      <c r="D651">
        <v>2021</v>
      </c>
      <c r="E651" t="s">
        <v>726</v>
      </c>
      <c r="F651">
        <v>31000</v>
      </c>
      <c r="G651">
        <v>120000</v>
      </c>
      <c r="H651" t="s">
        <v>34</v>
      </c>
      <c r="I651" t="s">
        <v>59</v>
      </c>
      <c r="J651" t="s">
        <v>66</v>
      </c>
      <c r="K651" t="s">
        <v>48</v>
      </c>
      <c r="L651" t="s">
        <v>109</v>
      </c>
      <c r="M651">
        <v>0</v>
      </c>
    </row>
    <row r="652" spans="1:13" x14ac:dyDescent="0.25">
      <c r="A652">
        <v>1117</v>
      </c>
      <c r="B652" t="s">
        <v>727</v>
      </c>
      <c r="C652" t="s">
        <v>61</v>
      </c>
      <c r="D652">
        <v>2019</v>
      </c>
      <c r="E652">
        <v>24247</v>
      </c>
      <c r="F652" t="s">
        <v>87</v>
      </c>
      <c r="G652" t="s">
        <v>33</v>
      </c>
      <c r="I652" t="s">
        <v>42</v>
      </c>
      <c r="J652" t="s">
        <v>66</v>
      </c>
      <c r="K652" t="s">
        <v>44</v>
      </c>
      <c r="L652" t="s">
        <v>126</v>
      </c>
    </row>
    <row r="653" spans="1:13" x14ac:dyDescent="0.25">
      <c r="A653">
        <v>1055</v>
      </c>
      <c r="B653" t="s">
        <v>728</v>
      </c>
      <c r="C653" t="s">
        <v>94</v>
      </c>
      <c r="D653">
        <v>2014</v>
      </c>
      <c r="E653">
        <v>17122</v>
      </c>
      <c r="F653" t="s">
        <v>115</v>
      </c>
      <c r="G653">
        <v>60000</v>
      </c>
      <c r="H653" t="s">
        <v>34</v>
      </c>
      <c r="I653" t="s">
        <v>72</v>
      </c>
      <c r="J653" t="s">
        <v>96</v>
      </c>
      <c r="K653" t="s">
        <v>100</v>
      </c>
      <c r="L653" t="s">
        <v>49</v>
      </c>
      <c r="M653">
        <v>1</v>
      </c>
    </row>
    <row r="654" spans="1:13" x14ac:dyDescent="0.25">
      <c r="A654">
        <v>1429</v>
      </c>
      <c r="B654" t="s">
        <v>729</v>
      </c>
      <c r="C654" t="s">
        <v>75</v>
      </c>
      <c r="D654">
        <v>2018</v>
      </c>
      <c r="E654">
        <v>22557</v>
      </c>
      <c r="F654">
        <v>26000</v>
      </c>
      <c r="G654">
        <v>15000</v>
      </c>
      <c r="H654" t="s">
        <v>41</v>
      </c>
      <c r="I654" t="s">
        <v>35</v>
      </c>
      <c r="J654" t="s">
        <v>43</v>
      </c>
      <c r="K654" t="s">
        <v>44</v>
      </c>
      <c r="L654" t="s">
        <v>45</v>
      </c>
      <c r="M654">
        <v>1</v>
      </c>
    </row>
    <row r="655" spans="1:13" x14ac:dyDescent="0.25">
      <c r="A655">
        <v>1164</v>
      </c>
      <c r="B655" t="s">
        <v>730</v>
      </c>
      <c r="C655" t="s">
        <v>47</v>
      </c>
      <c r="D655">
        <v>2019</v>
      </c>
      <c r="E655">
        <v>21105</v>
      </c>
      <c r="F655">
        <v>26000</v>
      </c>
      <c r="G655">
        <v>60000</v>
      </c>
      <c r="H655" t="s">
        <v>34</v>
      </c>
      <c r="I655" t="s">
        <v>35</v>
      </c>
      <c r="K655" t="s">
        <v>77</v>
      </c>
      <c r="L655" t="s">
        <v>49</v>
      </c>
    </row>
    <row r="656" spans="1:13" x14ac:dyDescent="0.25">
      <c r="A656">
        <v>1151</v>
      </c>
      <c r="B656" t="s">
        <v>597</v>
      </c>
      <c r="C656" t="s">
        <v>164</v>
      </c>
      <c r="D656">
        <v>2019</v>
      </c>
      <c r="E656">
        <v>19768</v>
      </c>
      <c r="F656">
        <v>22000</v>
      </c>
      <c r="G656">
        <v>15000</v>
      </c>
      <c r="H656" t="s">
        <v>34</v>
      </c>
      <c r="I656" t="s">
        <v>72</v>
      </c>
      <c r="K656" t="s">
        <v>73</v>
      </c>
      <c r="L656" t="s">
        <v>55</v>
      </c>
      <c r="M656">
        <v>1</v>
      </c>
    </row>
    <row r="657" spans="1:13" x14ac:dyDescent="0.25">
      <c r="A657">
        <v>1430</v>
      </c>
      <c r="B657" t="s">
        <v>731</v>
      </c>
      <c r="C657" t="s">
        <v>138</v>
      </c>
      <c r="D657" t="s">
        <v>52</v>
      </c>
      <c r="E657">
        <v>6210</v>
      </c>
      <c r="F657">
        <v>9000</v>
      </c>
      <c r="G657">
        <v>15000</v>
      </c>
      <c r="H657" t="s">
        <v>53</v>
      </c>
      <c r="I657" t="s">
        <v>72</v>
      </c>
      <c r="J657" t="s">
        <v>66</v>
      </c>
      <c r="K657" t="s">
        <v>77</v>
      </c>
      <c r="L657" t="s">
        <v>126</v>
      </c>
      <c r="M657">
        <v>2</v>
      </c>
    </row>
    <row r="658" spans="1:13" x14ac:dyDescent="0.25">
      <c r="A658">
        <v>1511</v>
      </c>
      <c r="B658" t="s">
        <v>200</v>
      </c>
      <c r="C658" t="s">
        <v>79</v>
      </c>
      <c r="D658">
        <v>2014</v>
      </c>
      <c r="E658">
        <v>12887</v>
      </c>
      <c r="F658">
        <v>18000</v>
      </c>
      <c r="G658">
        <v>40000</v>
      </c>
      <c r="H658" t="s">
        <v>63</v>
      </c>
      <c r="J658" t="s">
        <v>43</v>
      </c>
      <c r="L658" t="s">
        <v>109</v>
      </c>
      <c r="M658">
        <v>0</v>
      </c>
    </row>
    <row r="659" spans="1:13" x14ac:dyDescent="0.25">
      <c r="A659">
        <v>1166</v>
      </c>
      <c r="B659" t="s">
        <v>732</v>
      </c>
      <c r="C659" t="s">
        <v>57</v>
      </c>
      <c r="D659">
        <v>2021</v>
      </c>
      <c r="E659">
        <v>23551</v>
      </c>
      <c r="F659">
        <v>26000</v>
      </c>
      <c r="G659">
        <v>40000</v>
      </c>
      <c r="H659" t="s">
        <v>34</v>
      </c>
      <c r="I659" t="s">
        <v>72</v>
      </c>
      <c r="K659" t="s">
        <v>37</v>
      </c>
      <c r="L659" t="s">
        <v>49</v>
      </c>
      <c r="M659">
        <v>0</v>
      </c>
    </row>
    <row r="660" spans="1:13" x14ac:dyDescent="0.25">
      <c r="A660">
        <v>1508</v>
      </c>
      <c r="B660" t="s">
        <v>733</v>
      </c>
      <c r="C660" t="s">
        <v>75</v>
      </c>
      <c r="D660" t="s">
        <v>52</v>
      </c>
      <c r="E660">
        <v>2631</v>
      </c>
      <c r="F660">
        <v>7000</v>
      </c>
      <c r="G660">
        <v>80000</v>
      </c>
      <c r="K660" t="s">
        <v>73</v>
      </c>
      <c r="L660" t="s">
        <v>45</v>
      </c>
      <c r="M660">
        <v>3</v>
      </c>
    </row>
    <row r="661" spans="1:13" x14ac:dyDescent="0.25">
      <c r="A661">
        <v>1200</v>
      </c>
      <c r="B661" t="s">
        <v>128</v>
      </c>
      <c r="C661" t="s">
        <v>47</v>
      </c>
      <c r="D661">
        <v>2017</v>
      </c>
      <c r="E661">
        <v>26879</v>
      </c>
      <c r="F661">
        <v>31000</v>
      </c>
      <c r="G661">
        <v>80000</v>
      </c>
      <c r="I661" t="s">
        <v>59</v>
      </c>
      <c r="J661" t="s">
        <v>43</v>
      </c>
      <c r="K661" t="s">
        <v>73</v>
      </c>
      <c r="L661" t="s">
        <v>109</v>
      </c>
      <c r="M661">
        <v>1</v>
      </c>
    </row>
    <row r="662" spans="1:13" x14ac:dyDescent="0.25">
      <c r="A662">
        <v>1004</v>
      </c>
      <c r="B662" t="s">
        <v>734</v>
      </c>
      <c r="C662" t="s">
        <v>51</v>
      </c>
      <c r="D662">
        <v>2018</v>
      </c>
      <c r="E662">
        <v>13603</v>
      </c>
      <c r="F662">
        <v>18000</v>
      </c>
      <c r="G662" t="s">
        <v>130</v>
      </c>
      <c r="H662" t="s">
        <v>58</v>
      </c>
      <c r="I662" t="s">
        <v>72</v>
      </c>
      <c r="K662" t="s">
        <v>44</v>
      </c>
      <c r="L662" t="s">
        <v>109</v>
      </c>
      <c r="M662">
        <v>1</v>
      </c>
    </row>
    <row r="663" spans="1:13" x14ac:dyDescent="0.25">
      <c r="A663">
        <v>1052</v>
      </c>
      <c r="B663" t="s">
        <v>449</v>
      </c>
      <c r="C663" t="s">
        <v>103</v>
      </c>
      <c r="D663">
        <v>2017</v>
      </c>
      <c r="E663">
        <v>19952</v>
      </c>
      <c r="F663">
        <v>26000</v>
      </c>
      <c r="G663" t="s">
        <v>33</v>
      </c>
      <c r="H663" t="s">
        <v>34</v>
      </c>
      <c r="I663" t="s">
        <v>42</v>
      </c>
      <c r="J663" t="s">
        <v>43</v>
      </c>
      <c r="K663" t="s">
        <v>44</v>
      </c>
      <c r="M663">
        <v>1</v>
      </c>
    </row>
    <row r="664" spans="1:13" x14ac:dyDescent="0.25">
      <c r="A664">
        <v>1121</v>
      </c>
      <c r="B664" t="s">
        <v>735</v>
      </c>
      <c r="C664" t="s">
        <v>103</v>
      </c>
      <c r="D664">
        <v>2017</v>
      </c>
      <c r="E664">
        <v>6966</v>
      </c>
      <c r="F664">
        <v>9000</v>
      </c>
      <c r="G664">
        <v>120000</v>
      </c>
      <c r="H664" t="s">
        <v>69</v>
      </c>
      <c r="J664" t="s">
        <v>66</v>
      </c>
      <c r="K664" t="s">
        <v>44</v>
      </c>
      <c r="L664" t="s">
        <v>38</v>
      </c>
      <c r="M664">
        <v>0</v>
      </c>
    </row>
    <row r="665" spans="1:13" x14ac:dyDescent="0.25">
      <c r="A665">
        <v>1028</v>
      </c>
      <c r="B665" t="s">
        <v>736</v>
      </c>
      <c r="C665" t="s">
        <v>75</v>
      </c>
      <c r="D665">
        <v>2014</v>
      </c>
      <c r="E665">
        <v>19849</v>
      </c>
      <c r="F665">
        <v>26000</v>
      </c>
      <c r="G665">
        <v>15000</v>
      </c>
      <c r="H665" t="s">
        <v>34</v>
      </c>
      <c r="I665" t="s">
        <v>35</v>
      </c>
      <c r="J665" t="s">
        <v>66</v>
      </c>
      <c r="K665" t="s">
        <v>116</v>
      </c>
      <c r="L665" t="s">
        <v>109</v>
      </c>
      <c r="M665">
        <v>1</v>
      </c>
    </row>
    <row r="666" spans="1:13" x14ac:dyDescent="0.25">
      <c r="A666">
        <v>1251</v>
      </c>
      <c r="B666" t="s">
        <v>730</v>
      </c>
      <c r="C666" t="s">
        <v>119</v>
      </c>
      <c r="D666" t="s">
        <v>52</v>
      </c>
      <c r="E666">
        <v>12413</v>
      </c>
      <c r="F666">
        <v>15000</v>
      </c>
      <c r="G666">
        <v>40000</v>
      </c>
      <c r="H666" t="s">
        <v>69</v>
      </c>
      <c r="I666" t="s">
        <v>35</v>
      </c>
      <c r="J666" t="s">
        <v>96</v>
      </c>
      <c r="K666" t="s">
        <v>37</v>
      </c>
      <c r="L666" t="s">
        <v>90</v>
      </c>
      <c r="M666">
        <v>0</v>
      </c>
    </row>
    <row r="667" spans="1:13" x14ac:dyDescent="0.25">
      <c r="A667">
        <v>1145</v>
      </c>
      <c r="B667" t="s">
        <v>737</v>
      </c>
      <c r="C667" t="s">
        <v>32</v>
      </c>
      <c r="D667">
        <v>2015</v>
      </c>
      <c r="E667">
        <v>28995</v>
      </c>
      <c r="F667">
        <v>31000</v>
      </c>
      <c r="G667" t="s">
        <v>121</v>
      </c>
      <c r="I667" t="s">
        <v>72</v>
      </c>
      <c r="J667" t="s">
        <v>66</v>
      </c>
      <c r="K667" t="s">
        <v>48</v>
      </c>
      <c r="L667" t="s">
        <v>49</v>
      </c>
      <c r="M667">
        <v>3</v>
      </c>
    </row>
    <row r="668" spans="1:13" x14ac:dyDescent="0.25">
      <c r="A668">
        <v>1215</v>
      </c>
      <c r="B668" t="s">
        <v>710</v>
      </c>
      <c r="C668" t="s">
        <v>40</v>
      </c>
      <c r="D668">
        <v>2020</v>
      </c>
      <c r="E668">
        <v>2875</v>
      </c>
      <c r="F668">
        <v>9000</v>
      </c>
      <c r="G668">
        <v>60000</v>
      </c>
      <c r="I668" t="s">
        <v>42</v>
      </c>
      <c r="J668" t="s">
        <v>66</v>
      </c>
      <c r="K668" t="s">
        <v>54</v>
      </c>
      <c r="L668" t="s">
        <v>126</v>
      </c>
      <c r="M668">
        <v>1</v>
      </c>
    </row>
    <row r="669" spans="1:13" x14ac:dyDescent="0.25">
      <c r="A669">
        <v>1005</v>
      </c>
      <c r="B669" t="s">
        <v>738</v>
      </c>
      <c r="C669" t="s">
        <v>68</v>
      </c>
      <c r="D669">
        <v>2015</v>
      </c>
      <c r="E669" t="s">
        <v>739</v>
      </c>
      <c r="F669">
        <v>22000</v>
      </c>
      <c r="G669">
        <v>40000</v>
      </c>
      <c r="H669" t="s">
        <v>53</v>
      </c>
      <c r="J669" t="s">
        <v>36</v>
      </c>
      <c r="L669" t="s">
        <v>126</v>
      </c>
    </row>
    <row r="670" spans="1:13" x14ac:dyDescent="0.25">
      <c r="A670">
        <v>1335</v>
      </c>
      <c r="B670" t="s">
        <v>740</v>
      </c>
      <c r="C670" t="s">
        <v>164</v>
      </c>
      <c r="D670">
        <v>2017</v>
      </c>
      <c r="E670" t="s">
        <v>741</v>
      </c>
      <c r="F670" t="s">
        <v>115</v>
      </c>
      <c r="G670">
        <v>15000</v>
      </c>
      <c r="H670" t="s">
        <v>58</v>
      </c>
      <c r="I670" t="s">
        <v>72</v>
      </c>
      <c r="J670" t="s">
        <v>96</v>
      </c>
      <c r="K670" t="s">
        <v>116</v>
      </c>
      <c r="L670" t="s">
        <v>38</v>
      </c>
      <c r="M670">
        <v>0</v>
      </c>
    </row>
    <row r="671" spans="1:13" x14ac:dyDescent="0.25">
      <c r="A671">
        <v>1524</v>
      </c>
      <c r="B671" t="s">
        <v>189</v>
      </c>
      <c r="C671" t="s">
        <v>79</v>
      </c>
      <c r="D671">
        <v>2022</v>
      </c>
      <c r="E671">
        <v>12939</v>
      </c>
      <c r="F671">
        <v>18000</v>
      </c>
      <c r="G671">
        <v>60000</v>
      </c>
      <c r="H671" t="s">
        <v>53</v>
      </c>
      <c r="I671" t="s">
        <v>72</v>
      </c>
      <c r="J671" t="s">
        <v>43</v>
      </c>
      <c r="K671" t="s">
        <v>37</v>
      </c>
      <c r="L671" t="s">
        <v>45</v>
      </c>
      <c r="M671">
        <v>1</v>
      </c>
    </row>
    <row r="672" spans="1:13" x14ac:dyDescent="0.25">
      <c r="A672">
        <v>1326</v>
      </c>
      <c r="B672" t="s">
        <v>470</v>
      </c>
      <c r="C672" t="s">
        <v>47</v>
      </c>
      <c r="D672">
        <v>2021</v>
      </c>
      <c r="E672">
        <v>21529</v>
      </c>
      <c r="F672">
        <v>26000</v>
      </c>
      <c r="G672">
        <v>60000</v>
      </c>
      <c r="H672" t="s">
        <v>63</v>
      </c>
      <c r="I672" t="s">
        <v>72</v>
      </c>
      <c r="J672" t="s">
        <v>36</v>
      </c>
      <c r="K672" t="s">
        <v>116</v>
      </c>
      <c r="L672" t="s">
        <v>90</v>
      </c>
      <c r="M672">
        <v>0</v>
      </c>
    </row>
    <row r="673" spans="1:13" x14ac:dyDescent="0.25">
      <c r="A673">
        <v>1360</v>
      </c>
      <c r="B673" t="s">
        <v>71</v>
      </c>
      <c r="C673" t="s">
        <v>65</v>
      </c>
      <c r="E673">
        <v>20053</v>
      </c>
      <c r="F673" t="s">
        <v>83</v>
      </c>
      <c r="G673">
        <v>40000</v>
      </c>
      <c r="H673" t="s">
        <v>34</v>
      </c>
      <c r="I673" t="s">
        <v>42</v>
      </c>
      <c r="J673" t="s">
        <v>96</v>
      </c>
      <c r="K673" t="s">
        <v>77</v>
      </c>
      <c r="L673" t="s">
        <v>49</v>
      </c>
      <c r="M673">
        <v>1</v>
      </c>
    </row>
    <row r="674" spans="1:13" x14ac:dyDescent="0.25">
      <c r="A674">
        <v>1326</v>
      </c>
      <c r="B674" t="s">
        <v>262</v>
      </c>
      <c r="C674" t="s">
        <v>79</v>
      </c>
      <c r="D674">
        <v>2019</v>
      </c>
      <c r="E674">
        <v>9999</v>
      </c>
      <c r="F674">
        <v>12000</v>
      </c>
      <c r="G674" t="s">
        <v>130</v>
      </c>
      <c r="H674" t="s">
        <v>63</v>
      </c>
      <c r="I674" t="s">
        <v>42</v>
      </c>
      <c r="K674" t="s">
        <v>37</v>
      </c>
      <c r="L674" t="s">
        <v>98</v>
      </c>
      <c r="M674">
        <v>2</v>
      </c>
    </row>
    <row r="675" spans="1:13" x14ac:dyDescent="0.25">
      <c r="A675">
        <v>1076</v>
      </c>
      <c r="B675" t="s">
        <v>461</v>
      </c>
      <c r="C675" t="s">
        <v>47</v>
      </c>
      <c r="D675">
        <v>2022</v>
      </c>
      <c r="E675">
        <v>9405</v>
      </c>
      <c r="F675">
        <v>15000</v>
      </c>
      <c r="G675">
        <v>15000</v>
      </c>
      <c r="H675" t="s">
        <v>34</v>
      </c>
      <c r="I675" t="s">
        <v>72</v>
      </c>
      <c r="J675" t="s">
        <v>96</v>
      </c>
      <c r="K675" t="s">
        <v>77</v>
      </c>
      <c r="L675" t="s">
        <v>38</v>
      </c>
      <c r="M675">
        <v>0</v>
      </c>
    </row>
    <row r="676" spans="1:13" x14ac:dyDescent="0.25">
      <c r="A676">
        <v>1127</v>
      </c>
      <c r="B676" t="s">
        <v>742</v>
      </c>
      <c r="C676" t="s">
        <v>133</v>
      </c>
      <c r="D676">
        <v>2021</v>
      </c>
      <c r="E676">
        <v>2550</v>
      </c>
      <c r="F676">
        <v>7000</v>
      </c>
      <c r="G676">
        <v>40000</v>
      </c>
      <c r="H676" t="s">
        <v>53</v>
      </c>
      <c r="J676" t="s">
        <v>36</v>
      </c>
      <c r="K676" t="s">
        <v>54</v>
      </c>
      <c r="L676" t="s">
        <v>126</v>
      </c>
    </row>
    <row r="677" spans="1:13" x14ac:dyDescent="0.25">
      <c r="A677">
        <v>1546</v>
      </c>
      <c r="B677" t="s">
        <v>743</v>
      </c>
      <c r="C677" t="s">
        <v>40</v>
      </c>
      <c r="D677">
        <v>2021</v>
      </c>
      <c r="E677">
        <v>13701</v>
      </c>
      <c r="F677" t="s">
        <v>129</v>
      </c>
      <c r="G677">
        <v>25000</v>
      </c>
      <c r="H677" t="s">
        <v>84</v>
      </c>
      <c r="I677" t="s">
        <v>59</v>
      </c>
      <c r="J677" t="s">
        <v>36</v>
      </c>
      <c r="K677" t="s">
        <v>48</v>
      </c>
      <c r="L677" t="s">
        <v>45</v>
      </c>
      <c r="M677">
        <v>2</v>
      </c>
    </row>
    <row r="678" spans="1:13" x14ac:dyDescent="0.25">
      <c r="A678">
        <v>1505</v>
      </c>
      <c r="B678" t="s">
        <v>744</v>
      </c>
      <c r="C678" t="s">
        <v>61</v>
      </c>
      <c r="D678">
        <v>2019</v>
      </c>
      <c r="E678">
        <v>20442</v>
      </c>
      <c r="F678">
        <v>26000</v>
      </c>
      <c r="G678">
        <v>15000</v>
      </c>
      <c r="I678" t="s">
        <v>59</v>
      </c>
      <c r="J678" t="s">
        <v>36</v>
      </c>
      <c r="K678" t="s">
        <v>44</v>
      </c>
      <c r="L678" t="s">
        <v>49</v>
      </c>
      <c r="M678">
        <v>0</v>
      </c>
    </row>
    <row r="679" spans="1:13" x14ac:dyDescent="0.25">
      <c r="A679">
        <v>1446</v>
      </c>
      <c r="B679" t="s">
        <v>580</v>
      </c>
      <c r="C679" t="s">
        <v>119</v>
      </c>
      <c r="D679">
        <v>2014</v>
      </c>
      <c r="E679">
        <v>5139</v>
      </c>
      <c r="F679" t="s">
        <v>147</v>
      </c>
      <c r="G679">
        <v>25000</v>
      </c>
      <c r="H679" t="s">
        <v>63</v>
      </c>
      <c r="J679" t="s">
        <v>36</v>
      </c>
      <c r="K679" t="s">
        <v>73</v>
      </c>
      <c r="L679" t="s">
        <v>45</v>
      </c>
      <c r="M679">
        <v>0</v>
      </c>
    </row>
    <row r="680" spans="1:13" x14ac:dyDescent="0.25">
      <c r="A680">
        <v>1388</v>
      </c>
      <c r="B680" t="s">
        <v>745</v>
      </c>
      <c r="C680" t="s">
        <v>32</v>
      </c>
      <c r="D680">
        <v>2014</v>
      </c>
      <c r="E680">
        <v>14840</v>
      </c>
      <c r="F680">
        <v>18000</v>
      </c>
      <c r="G680" t="s">
        <v>76</v>
      </c>
      <c r="I680" t="s">
        <v>35</v>
      </c>
      <c r="J680" t="s">
        <v>66</v>
      </c>
      <c r="K680" t="s">
        <v>44</v>
      </c>
      <c r="L680" t="s">
        <v>90</v>
      </c>
    </row>
    <row r="681" spans="1:13" x14ac:dyDescent="0.25">
      <c r="A681">
        <v>1540</v>
      </c>
      <c r="B681" t="s">
        <v>746</v>
      </c>
      <c r="C681" t="s">
        <v>103</v>
      </c>
      <c r="D681" t="s">
        <v>52</v>
      </c>
      <c r="E681">
        <v>28998</v>
      </c>
      <c r="F681">
        <v>31000</v>
      </c>
      <c r="G681">
        <v>120000</v>
      </c>
      <c r="H681" t="s">
        <v>69</v>
      </c>
      <c r="I681" t="s">
        <v>72</v>
      </c>
      <c r="J681" t="s">
        <v>43</v>
      </c>
      <c r="K681" t="s">
        <v>77</v>
      </c>
      <c r="L681" t="s">
        <v>49</v>
      </c>
      <c r="M681">
        <v>2</v>
      </c>
    </row>
    <row r="682" spans="1:13" x14ac:dyDescent="0.25">
      <c r="A682">
        <v>1079</v>
      </c>
      <c r="B682" t="s">
        <v>547</v>
      </c>
      <c r="C682" t="s">
        <v>51</v>
      </c>
      <c r="D682">
        <v>2015</v>
      </c>
      <c r="E682" t="s">
        <v>747</v>
      </c>
      <c r="F682">
        <v>22000</v>
      </c>
      <c r="G682" t="s">
        <v>121</v>
      </c>
      <c r="H682" t="s">
        <v>53</v>
      </c>
      <c r="I682" t="s">
        <v>59</v>
      </c>
      <c r="J682" t="s">
        <v>43</v>
      </c>
      <c r="K682" t="s">
        <v>77</v>
      </c>
      <c r="L682" t="s">
        <v>55</v>
      </c>
      <c r="M682">
        <v>0</v>
      </c>
    </row>
    <row r="683" spans="1:13" x14ac:dyDescent="0.25">
      <c r="A683">
        <v>1157</v>
      </c>
      <c r="B683" t="s">
        <v>70</v>
      </c>
      <c r="C683" t="s">
        <v>61</v>
      </c>
      <c r="D683">
        <v>2017</v>
      </c>
      <c r="E683">
        <v>15196</v>
      </c>
      <c r="F683" t="s">
        <v>115</v>
      </c>
      <c r="G683" t="s">
        <v>130</v>
      </c>
      <c r="H683" t="s">
        <v>63</v>
      </c>
      <c r="I683" t="s">
        <v>59</v>
      </c>
      <c r="J683" t="s">
        <v>43</v>
      </c>
      <c r="L683" t="s">
        <v>38</v>
      </c>
      <c r="M683">
        <v>3</v>
      </c>
    </row>
    <row r="684" spans="1:13" x14ac:dyDescent="0.25">
      <c r="A684">
        <v>1591</v>
      </c>
      <c r="B684" t="s">
        <v>150</v>
      </c>
      <c r="C684" t="s">
        <v>47</v>
      </c>
      <c r="D684">
        <v>2015</v>
      </c>
      <c r="E684">
        <v>15655</v>
      </c>
      <c r="F684" t="s">
        <v>129</v>
      </c>
      <c r="G684">
        <v>60000</v>
      </c>
      <c r="H684" t="s">
        <v>84</v>
      </c>
      <c r="I684" t="s">
        <v>42</v>
      </c>
      <c r="J684" t="s">
        <v>36</v>
      </c>
      <c r="K684" t="s">
        <v>116</v>
      </c>
      <c r="L684" t="s">
        <v>90</v>
      </c>
      <c r="M684">
        <v>2</v>
      </c>
    </row>
    <row r="685" spans="1:13" x14ac:dyDescent="0.25">
      <c r="A685">
        <v>1563</v>
      </c>
      <c r="B685" t="s">
        <v>453</v>
      </c>
      <c r="C685" t="s">
        <v>40</v>
      </c>
      <c r="D685">
        <v>2021</v>
      </c>
      <c r="E685" t="s">
        <v>748</v>
      </c>
      <c r="F685">
        <v>31000</v>
      </c>
      <c r="G685" t="s">
        <v>130</v>
      </c>
      <c r="H685" t="s">
        <v>34</v>
      </c>
      <c r="J685" t="s">
        <v>96</v>
      </c>
      <c r="K685" t="s">
        <v>73</v>
      </c>
      <c r="L685" t="s">
        <v>55</v>
      </c>
      <c r="M685">
        <v>2</v>
      </c>
    </row>
    <row r="686" spans="1:13" x14ac:dyDescent="0.25">
      <c r="A686">
        <v>1198</v>
      </c>
      <c r="B686" t="s">
        <v>749</v>
      </c>
      <c r="C686" t="s">
        <v>79</v>
      </c>
      <c r="D686">
        <v>2015</v>
      </c>
      <c r="E686">
        <v>2867</v>
      </c>
      <c r="F686">
        <v>7000</v>
      </c>
      <c r="G686">
        <v>120000</v>
      </c>
      <c r="J686" t="s">
        <v>43</v>
      </c>
      <c r="K686" t="s">
        <v>37</v>
      </c>
      <c r="L686" t="s">
        <v>126</v>
      </c>
      <c r="M686">
        <v>1</v>
      </c>
    </row>
    <row r="687" spans="1:13" x14ac:dyDescent="0.25">
      <c r="A687">
        <v>1272</v>
      </c>
      <c r="B687" t="s">
        <v>750</v>
      </c>
      <c r="C687" t="s">
        <v>32</v>
      </c>
      <c r="D687">
        <v>2017</v>
      </c>
      <c r="E687">
        <v>7708</v>
      </c>
      <c r="F687">
        <v>9000</v>
      </c>
      <c r="G687">
        <v>15000</v>
      </c>
      <c r="H687" t="s">
        <v>34</v>
      </c>
      <c r="I687" t="s">
        <v>59</v>
      </c>
      <c r="J687" t="s">
        <v>43</v>
      </c>
      <c r="K687" t="s">
        <v>37</v>
      </c>
      <c r="L687" t="s">
        <v>38</v>
      </c>
      <c r="M687">
        <v>2</v>
      </c>
    </row>
    <row r="688" spans="1:13" x14ac:dyDescent="0.25">
      <c r="A688">
        <v>1294</v>
      </c>
      <c r="B688" t="s">
        <v>751</v>
      </c>
      <c r="C688" t="s">
        <v>133</v>
      </c>
      <c r="D688">
        <v>2017</v>
      </c>
      <c r="E688">
        <v>8153</v>
      </c>
      <c r="F688" t="s">
        <v>204</v>
      </c>
      <c r="G688">
        <v>25000</v>
      </c>
      <c r="I688" t="s">
        <v>72</v>
      </c>
      <c r="J688" t="s">
        <v>66</v>
      </c>
      <c r="K688" t="s">
        <v>100</v>
      </c>
      <c r="L688" t="s">
        <v>109</v>
      </c>
      <c r="M688">
        <v>0</v>
      </c>
    </row>
    <row r="689" spans="1:13" x14ac:dyDescent="0.25">
      <c r="A689">
        <v>1485</v>
      </c>
      <c r="B689" t="s">
        <v>366</v>
      </c>
      <c r="C689" t="s">
        <v>57</v>
      </c>
      <c r="D689">
        <v>2016</v>
      </c>
      <c r="E689">
        <v>19839</v>
      </c>
      <c r="F689" t="s">
        <v>115</v>
      </c>
      <c r="G689">
        <v>60000</v>
      </c>
      <c r="H689" t="s">
        <v>84</v>
      </c>
      <c r="I689" t="s">
        <v>42</v>
      </c>
      <c r="J689" t="s">
        <v>36</v>
      </c>
      <c r="K689" t="s">
        <v>44</v>
      </c>
      <c r="L689" t="s">
        <v>55</v>
      </c>
    </row>
    <row r="690" spans="1:13" x14ac:dyDescent="0.25">
      <c r="A690">
        <v>1017</v>
      </c>
      <c r="B690" t="s">
        <v>226</v>
      </c>
      <c r="C690" t="s">
        <v>40</v>
      </c>
      <c r="D690">
        <v>2021</v>
      </c>
      <c r="E690">
        <v>13104</v>
      </c>
      <c r="F690">
        <v>15000</v>
      </c>
      <c r="G690">
        <v>60000</v>
      </c>
      <c r="H690" t="s">
        <v>58</v>
      </c>
      <c r="I690" t="s">
        <v>42</v>
      </c>
      <c r="J690" t="s">
        <v>36</v>
      </c>
      <c r="K690" t="s">
        <v>37</v>
      </c>
      <c r="L690" t="s">
        <v>45</v>
      </c>
      <c r="M690">
        <v>2</v>
      </c>
    </row>
    <row r="691" spans="1:13" x14ac:dyDescent="0.25">
      <c r="A691">
        <v>1259</v>
      </c>
      <c r="B691" t="s">
        <v>488</v>
      </c>
      <c r="C691" t="s">
        <v>138</v>
      </c>
      <c r="D691">
        <v>2021</v>
      </c>
      <c r="E691">
        <v>18892</v>
      </c>
      <c r="F691" t="s">
        <v>115</v>
      </c>
      <c r="G691">
        <v>80000</v>
      </c>
      <c r="H691" t="s">
        <v>63</v>
      </c>
      <c r="K691" t="s">
        <v>116</v>
      </c>
      <c r="L691" t="s">
        <v>49</v>
      </c>
      <c r="M691">
        <v>2</v>
      </c>
    </row>
    <row r="692" spans="1:13" x14ac:dyDescent="0.25">
      <c r="A692">
        <v>1365</v>
      </c>
      <c r="B692" t="s">
        <v>320</v>
      </c>
      <c r="C692" t="s">
        <v>40</v>
      </c>
      <c r="D692">
        <v>2016</v>
      </c>
      <c r="E692">
        <v>19599</v>
      </c>
      <c r="F692">
        <v>26000</v>
      </c>
      <c r="G692">
        <v>25000</v>
      </c>
      <c r="H692" t="s">
        <v>34</v>
      </c>
      <c r="I692" t="s">
        <v>72</v>
      </c>
      <c r="J692" t="s">
        <v>66</v>
      </c>
      <c r="K692" t="s">
        <v>37</v>
      </c>
      <c r="L692" t="s">
        <v>38</v>
      </c>
      <c r="M692">
        <v>3</v>
      </c>
    </row>
    <row r="693" spans="1:13" x14ac:dyDescent="0.25">
      <c r="A693">
        <v>1357</v>
      </c>
      <c r="B693" t="s">
        <v>752</v>
      </c>
      <c r="C693" t="s">
        <v>32</v>
      </c>
      <c r="D693">
        <v>2018</v>
      </c>
      <c r="E693">
        <v>28567</v>
      </c>
      <c r="F693">
        <v>31000</v>
      </c>
      <c r="G693">
        <v>80000</v>
      </c>
      <c r="H693" t="s">
        <v>69</v>
      </c>
      <c r="I693" t="s">
        <v>72</v>
      </c>
      <c r="J693" t="s">
        <v>66</v>
      </c>
      <c r="K693" t="s">
        <v>73</v>
      </c>
      <c r="M693">
        <v>2</v>
      </c>
    </row>
    <row r="694" spans="1:13" x14ac:dyDescent="0.25">
      <c r="A694">
        <v>1112</v>
      </c>
      <c r="B694" t="s">
        <v>753</v>
      </c>
      <c r="C694" t="s">
        <v>32</v>
      </c>
      <c r="D694">
        <v>2020</v>
      </c>
      <c r="E694">
        <v>27158</v>
      </c>
      <c r="F694">
        <v>31000</v>
      </c>
      <c r="G694">
        <v>80000</v>
      </c>
      <c r="I694" t="s">
        <v>42</v>
      </c>
      <c r="K694" t="s">
        <v>54</v>
      </c>
      <c r="M694">
        <v>1</v>
      </c>
    </row>
    <row r="695" spans="1:13" x14ac:dyDescent="0.25">
      <c r="A695">
        <v>1464</v>
      </c>
      <c r="B695" t="s">
        <v>754</v>
      </c>
      <c r="C695" t="s">
        <v>51</v>
      </c>
      <c r="D695">
        <v>2021</v>
      </c>
      <c r="E695" t="s">
        <v>755</v>
      </c>
      <c r="F695">
        <v>18000</v>
      </c>
      <c r="G695">
        <v>15000</v>
      </c>
      <c r="H695" t="s">
        <v>41</v>
      </c>
      <c r="I695" t="s">
        <v>59</v>
      </c>
      <c r="J695" t="s">
        <v>96</v>
      </c>
      <c r="K695" t="s">
        <v>73</v>
      </c>
      <c r="L695" t="s">
        <v>98</v>
      </c>
      <c r="M695">
        <v>2</v>
      </c>
    </row>
    <row r="696" spans="1:13" x14ac:dyDescent="0.25">
      <c r="A696">
        <v>1514</v>
      </c>
      <c r="B696" t="s">
        <v>662</v>
      </c>
      <c r="C696" t="s">
        <v>40</v>
      </c>
      <c r="D696">
        <v>2014</v>
      </c>
      <c r="E696">
        <v>14132</v>
      </c>
      <c r="F696">
        <v>18000</v>
      </c>
      <c r="G696" t="s">
        <v>33</v>
      </c>
      <c r="H696" t="s">
        <v>84</v>
      </c>
      <c r="I696" t="s">
        <v>72</v>
      </c>
      <c r="J696" t="s">
        <v>66</v>
      </c>
      <c r="K696" t="s">
        <v>77</v>
      </c>
      <c r="L696" t="s">
        <v>98</v>
      </c>
    </row>
    <row r="697" spans="1:13" x14ac:dyDescent="0.25">
      <c r="A697">
        <v>1254</v>
      </c>
      <c r="B697" t="s">
        <v>756</v>
      </c>
      <c r="C697" t="s">
        <v>75</v>
      </c>
      <c r="D697">
        <v>2018</v>
      </c>
      <c r="E697">
        <v>10124</v>
      </c>
      <c r="F697">
        <v>15000</v>
      </c>
      <c r="G697">
        <v>15000</v>
      </c>
      <c r="H697" t="s">
        <v>84</v>
      </c>
      <c r="I697" t="s">
        <v>72</v>
      </c>
      <c r="J697" t="s">
        <v>96</v>
      </c>
      <c r="K697" t="s">
        <v>54</v>
      </c>
      <c r="L697" t="s">
        <v>90</v>
      </c>
    </row>
    <row r="698" spans="1:13" x14ac:dyDescent="0.25">
      <c r="A698">
        <v>1256</v>
      </c>
      <c r="B698" t="s">
        <v>236</v>
      </c>
      <c r="C698" t="s">
        <v>103</v>
      </c>
      <c r="D698" t="s">
        <v>52</v>
      </c>
      <c r="E698" t="s">
        <v>757</v>
      </c>
      <c r="F698">
        <v>22000</v>
      </c>
      <c r="G698">
        <v>80000</v>
      </c>
      <c r="H698" t="s">
        <v>84</v>
      </c>
      <c r="I698" t="s">
        <v>72</v>
      </c>
      <c r="K698" t="s">
        <v>116</v>
      </c>
      <c r="M698">
        <v>1</v>
      </c>
    </row>
    <row r="699" spans="1:13" x14ac:dyDescent="0.25">
      <c r="A699">
        <v>1320</v>
      </c>
      <c r="B699" t="s">
        <v>758</v>
      </c>
      <c r="C699" t="s">
        <v>94</v>
      </c>
      <c r="D699">
        <v>2020</v>
      </c>
      <c r="E699">
        <v>3687</v>
      </c>
      <c r="F699">
        <v>9000</v>
      </c>
      <c r="G699">
        <v>25000</v>
      </c>
      <c r="H699" t="s">
        <v>63</v>
      </c>
      <c r="I699" t="s">
        <v>59</v>
      </c>
      <c r="J699" t="s">
        <v>43</v>
      </c>
      <c r="K699" t="s">
        <v>48</v>
      </c>
      <c r="L699" t="s">
        <v>98</v>
      </c>
      <c r="M699">
        <v>3</v>
      </c>
    </row>
    <row r="700" spans="1:13" x14ac:dyDescent="0.25">
      <c r="A700">
        <v>1309</v>
      </c>
      <c r="B700" t="s">
        <v>759</v>
      </c>
      <c r="C700" t="s">
        <v>40</v>
      </c>
      <c r="D700">
        <v>2022</v>
      </c>
      <c r="E700">
        <v>5276</v>
      </c>
      <c r="F700">
        <v>7000</v>
      </c>
      <c r="G700">
        <v>60000</v>
      </c>
      <c r="H700" t="s">
        <v>69</v>
      </c>
      <c r="I700" t="s">
        <v>35</v>
      </c>
      <c r="J700" t="s">
        <v>43</v>
      </c>
      <c r="K700" t="s">
        <v>100</v>
      </c>
      <c r="L700" t="s">
        <v>98</v>
      </c>
      <c r="M700">
        <v>0</v>
      </c>
    </row>
    <row r="701" spans="1:13" x14ac:dyDescent="0.25">
      <c r="A701">
        <v>1276</v>
      </c>
      <c r="B701" t="s">
        <v>303</v>
      </c>
      <c r="C701" t="s">
        <v>138</v>
      </c>
      <c r="D701">
        <v>2022</v>
      </c>
      <c r="E701">
        <v>29307</v>
      </c>
      <c r="F701">
        <v>31000</v>
      </c>
      <c r="G701">
        <v>15000</v>
      </c>
      <c r="H701" t="s">
        <v>84</v>
      </c>
      <c r="I701" t="s">
        <v>72</v>
      </c>
      <c r="K701" t="s">
        <v>116</v>
      </c>
      <c r="L701" t="s">
        <v>109</v>
      </c>
      <c r="M701">
        <v>0</v>
      </c>
    </row>
    <row r="702" spans="1:13" x14ac:dyDescent="0.25">
      <c r="A702">
        <v>1147</v>
      </c>
      <c r="B702" t="s">
        <v>760</v>
      </c>
      <c r="C702" t="s">
        <v>32</v>
      </c>
      <c r="E702">
        <v>4321</v>
      </c>
      <c r="F702">
        <v>7000</v>
      </c>
      <c r="G702" t="s">
        <v>108</v>
      </c>
      <c r="H702" t="s">
        <v>58</v>
      </c>
      <c r="I702" t="s">
        <v>72</v>
      </c>
      <c r="J702" t="s">
        <v>96</v>
      </c>
      <c r="K702" t="s">
        <v>73</v>
      </c>
      <c r="L702" t="s">
        <v>55</v>
      </c>
    </row>
    <row r="703" spans="1:13" x14ac:dyDescent="0.25">
      <c r="A703">
        <v>1532</v>
      </c>
      <c r="B703" t="s">
        <v>131</v>
      </c>
      <c r="C703" t="s">
        <v>47</v>
      </c>
      <c r="D703">
        <v>2015</v>
      </c>
      <c r="E703" t="s">
        <v>761</v>
      </c>
      <c r="F703">
        <v>9000</v>
      </c>
      <c r="G703">
        <v>15000</v>
      </c>
      <c r="I703" t="s">
        <v>59</v>
      </c>
      <c r="J703" t="s">
        <v>36</v>
      </c>
      <c r="K703" t="s">
        <v>37</v>
      </c>
      <c r="L703" t="s">
        <v>45</v>
      </c>
      <c r="M703">
        <v>3</v>
      </c>
    </row>
    <row r="704" spans="1:13" x14ac:dyDescent="0.25">
      <c r="A704">
        <v>1126</v>
      </c>
      <c r="B704" t="s">
        <v>762</v>
      </c>
      <c r="C704" t="s">
        <v>133</v>
      </c>
      <c r="D704">
        <v>2016</v>
      </c>
      <c r="E704">
        <v>11868</v>
      </c>
      <c r="F704">
        <v>15000</v>
      </c>
      <c r="G704" t="s">
        <v>121</v>
      </c>
      <c r="H704" t="s">
        <v>53</v>
      </c>
      <c r="I704" t="s">
        <v>42</v>
      </c>
      <c r="L704" t="s">
        <v>38</v>
      </c>
      <c r="M704">
        <v>3</v>
      </c>
    </row>
    <row r="705" spans="1:13" x14ac:dyDescent="0.25">
      <c r="A705">
        <v>1376</v>
      </c>
      <c r="B705" t="s">
        <v>763</v>
      </c>
      <c r="C705" t="s">
        <v>133</v>
      </c>
      <c r="D705">
        <v>2018</v>
      </c>
      <c r="E705">
        <v>16181</v>
      </c>
      <c r="F705">
        <v>18000</v>
      </c>
      <c r="G705">
        <v>120000</v>
      </c>
      <c r="H705" t="s">
        <v>84</v>
      </c>
      <c r="I705" t="s">
        <v>59</v>
      </c>
      <c r="J705" t="s">
        <v>43</v>
      </c>
      <c r="K705" t="s">
        <v>48</v>
      </c>
      <c r="L705" t="s">
        <v>90</v>
      </c>
      <c r="M705">
        <v>0</v>
      </c>
    </row>
    <row r="706" spans="1:13" x14ac:dyDescent="0.25">
      <c r="A706">
        <v>1594</v>
      </c>
      <c r="B706" t="s">
        <v>764</v>
      </c>
      <c r="C706" t="s">
        <v>51</v>
      </c>
      <c r="D706">
        <v>2021</v>
      </c>
      <c r="E706">
        <v>4810</v>
      </c>
      <c r="F706">
        <v>9000</v>
      </c>
      <c r="G706">
        <v>80000</v>
      </c>
      <c r="I706" t="s">
        <v>35</v>
      </c>
      <c r="J706" t="s">
        <v>96</v>
      </c>
      <c r="K706" t="s">
        <v>100</v>
      </c>
      <c r="L706" t="s">
        <v>55</v>
      </c>
      <c r="M706">
        <v>3</v>
      </c>
    </row>
    <row r="707" spans="1:13" x14ac:dyDescent="0.25">
      <c r="A707">
        <v>1215</v>
      </c>
      <c r="B707" t="s">
        <v>532</v>
      </c>
      <c r="C707" t="s">
        <v>65</v>
      </c>
      <c r="D707">
        <v>2014</v>
      </c>
      <c r="E707">
        <v>6899</v>
      </c>
      <c r="F707">
        <v>12000</v>
      </c>
      <c r="G707">
        <v>40000</v>
      </c>
      <c r="H707" t="s">
        <v>84</v>
      </c>
      <c r="I707" t="s">
        <v>42</v>
      </c>
      <c r="J707" t="s">
        <v>66</v>
      </c>
      <c r="K707" t="s">
        <v>44</v>
      </c>
      <c r="L707" t="s">
        <v>109</v>
      </c>
      <c r="M707">
        <v>3</v>
      </c>
    </row>
    <row r="708" spans="1:13" x14ac:dyDescent="0.25">
      <c r="A708">
        <v>1385</v>
      </c>
      <c r="B708" t="s">
        <v>765</v>
      </c>
      <c r="C708" t="s">
        <v>164</v>
      </c>
      <c r="D708">
        <v>2018</v>
      </c>
      <c r="E708">
        <v>16442</v>
      </c>
      <c r="F708">
        <v>18000</v>
      </c>
      <c r="G708" t="s">
        <v>92</v>
      </c>
      <c r="H708" t="s">
        <v>69</v>
      </c>
      <c r="I708" t="s">
        <v>42</v>
      </c>
      <c r="J708" t="s">
        <v>96</v>
      </c>
      <c r="K708" t="s">
        <v>44</v>
      </c>
      <c r="L708" t="s">
        <v>98</v>
      </c>
      <c r="M708">
        <v>0</v>
      </c>
    </row>
    <row r="709" spans="1:13" x14ac:dyDescent="0.25">
      <c r="A709">
        <v>1511</v>
      </c>
      <c r="B709" t="s">
        <v>223</v>
      </c>
      <c r="C709" t="s">
        <v>68</v>
      </c>
      <c r="D709">
        <v>2014</v>
      </c>
      <c r="E709">
        <v>10210</v>
      </c>
      <c r="F709">
        <v>12000</v>
      </c>
      <c r="G709">
        <v>25000</v>
      </c>
      <c r="H709" t="s">
        <v>53</v>
      </c>
      <c r="I709" t="s">
        <v>35</v>
      </c>
      <c r="J709" t="s">
        <v>66</v>
      </c>
      <c r="K709" t="s">
        <v>48</v>
      </c>
      <c r="L709" t="s">
        <v>98</v>
      </c>
      <c r="M709">
        <v>0</v>
      </c>
    </row>
    <row r="710" spans="1:13" x14ac:dyDescent="0.25">
      <c r="A710">
        <v>1452</v>
      </c>
      <c r="B710" t="s">
        <v>221</v>
      </c>
      <c r="C710" t="s">
        <v>68</v>
      </c>
      <c r="E710">
        <v>16694</v>
      </c>
      <c r="F710">
        <v>18000</v>
      </c>
      <c r="G710">
        <v>15000</v>
      </c>
      <c r="H710" t="s">
        <v>58</v>
      </c>
      <c r="I710" t="s">
        <v>72</v>
      </c>
      <c r="J710" t="s">
        <v>36</v>
      </c>
      <c r="K710" t="s">
        <v>116</v>
      </c>
      <c r="L710" t="s">
        <v>98</v>
      </c>
      <c r="M710">
        <v>1</v>
      </c>
    </row>
    <row r="711" spans="1:13" x14ac:dyDescent="0.25">
      <c r="A711">
        <v>1230</v>
      </c>
      <c r="B711" t="s">
        <v>766</v>
      </c>
      <c r="C711" t="s">
        <v>47</v>
      </c>
      <c r="D711">
        <v>2017</v>
      </c>
      <c r="E711">
        <v>13416</v>
      </c>
      <c r="F711">
        <v>18000</v>
      </c>
      <c r="G711">
        <v>60000</v>
      </c>
      <c r="H711" t="s">
        <v>53</v>
      </c>
      <c r="I711" t="s">
        <v>35</v>
      </c>
      <c r="K711" t="s">
        <v>73</v>
      </c>
      <c r="L711" t="s">
        <v>49</v>
      </c>
      <c r="M711">
        <v>1</v>
      </c>
    </row>
    <row r="712" spans="1:13" x14ac:dyDescent="0.25">
      <c r="A712">
        <v>1559</v>
      </c>
      <c r="B712" t="s">
        <v>546</v>
      </c>
      <c r="C712" t="s">
        <v>68</v>
      </c>
      <c r="D712">
        <v>2016</v>
      </c>
      <c r="E712">
        <v>2658</v>
      </c>
      <c r="F712">
        <v>7000</v>
      </c>
      <c r="G712">
        <v>40000</v>
      </c>
      <c r="I712" t="s">
        <v>42</v>
      </c>
      <c r="J712" t="s">
        <v>66</v>
      </c>
      <c r="K712" t="s">
        <v>116</v>
      </c>
      <c r="M712">
        <v>2</v>
      </c>
    </row>
    <row r="713" spans="1:13" x14ac:dyDescent="0.25">
      <c r="A713">
        <v>1385</v>
      </c>
      <c r="B713" t="s">
        <v>464</v>
      </c>
      <c r="C713" t="s">
        <v>79</v>
      </c>
      <c r="E713">
        <v>7405</v>
      </c>
      <c r="F713">
        <v>12000</v>
      </c>
      <c r="G713" t="s">
        <v>76</v>
      </c>
      <c r="H713" t="s">
        <v>69</v>
      </c>
      <c r="I713" t="s">
        <v>35</v>
      </c>
      <c r="J713" t="s">
        <v>36</v>
      </c>
      <c r="K713" t="s">
        <v>116</v>
      </c>
      <c r="L713" t="s">
        <v>38</v>
      </c>
      <c r="M713">
        <v>0</v>
      </c>
    </row>
    <row r="714" spans="1:13" x14ac:dyDescent="0.25">
      <c r="A714">
        <v>1366</v>
      </c>
      <c r="B714" t="s">
        <v>593</v>
      </c>
      <c r="C714" t="s">
        <v>61</v>
      </c>
      <c r="D714">
        <v>2014</v>
      </c>
      <c r="E714" t="s">
        <v>767</v>
      </c>
      <c r="F714">
        <v>15000</v>
      </c>
      <c r="G714">
        <v>40000</v>
      </c>
      <c r="H714" t="s">
        <v>84</v>
      </c>
      <c r="K714" t="s">
        <v>77</v>
      </c>
    </row>
    <row r="715" spans="1:13" x14ac:dyDescent="0.25">
      <c r="A715">
        <v>1596</v>
      </c>
      <c r="B715" t="s">
        <v>768</v>
      </c>
      <c r="C715" t="s">
        <v>51</v>
      </c>
      <c r="D715">
        <v>2020</v>
      </c>
      <c r="E715">
        <v>286</v>
      </c>
      <c r="F715">
        <v>7000</v>
      </c>
      <c r="G715">
        <v>80000</v>
      </c>
      <c r="H715" t="s">
        <v>41</v>
      </c>
      <c r="I715" t="s">
        <v>35</v>
      </c>
      <c r="J715" t="s">
        <v>96</v>
      </c>
      <c r="K715" t="s">
        <v>48</v>
      </c>
      <c r="L715" t="s">
        <v>45</v>
      </c>
      <c r="M715">
        <v>1</v>
      </c>
    </row>
    <row r="716" spans="1:13" x14ac:dyDescent="0.25">
      <c r="A716">
        <v>1063</v>
      </c>
      <c r="B716" t="s">
        <v>769</v>
      </c>
      <c r="C716" t="s">
        <v>61</v>
      </c>
      <c r="D716">
        <v>2014</v>
      </c>
      <c r="E716">
        <v>6519</v>
      </c>
      <c r="F716" t="s">
        <v>204</v>
      </c>
      <c r="G716">
        <v>25000</v>
      </c>
      <c r="H716" t="s">
        <v>41</v>
      </c>
      <c r="I716" t="s">
        <v>72</v>
      </c>
      <c r="J716" t="s">
        <v>36</v>
      </c>
      <c r="K716" t="s">
        <v>48</v>
      </c>
      <c r="L716" t="s">
        <v>49</v>
      </c>
    </row>
    <row r="717" spans="1:13" x14ac:dyDescent="0.25">
      <c r="A717">
        <v>1036</v>
      </c>
      <c r="B717" t="s">
        <v>640</v>
      </c>
      <c r="C717" t="s">
        <v>133</v>
      </c>
      <c r="D717">
        <v>2016</v>
      </c>
      <c r="E717">
        <v>16659</v>
      </c>
      <c r="F717">
        <v>18000</v>
      </c>
      <c r="G717">
        <v>120000</v>
      </c>
      <c r="I717" t="s">
        <v>72</v>
      </c>
      <c r="J717" t="s">
        <v>66</v>
      </c>
      <c r="K717" t="s">
        <v>73</v>
      </c>
      <c r="L717" t="s">
        <v>126</v>
      </c>
      <c r="M717">
        <v>0</v>
      </c>
    </row>
    <row r="718" spans="1:13" x14ac:dyDescent="0.25">
      <c r="A718">
        <v>1565</v>
      </c>
      <c r="B718" t="s">
        <v>770</v>
      </c>
      <c r="C718" t="s">
        <v>47</v>
      </c>
      <c r="D718">
        <v>2022</v>
      </c>
      <c r="E718">
        <v>19400</v>
      </c>
      <c r="F718">
        <v>26000</v>
      </c>
      <c r="G718">
        <v>120000</v>
      </c>
      <c r="H718" t="s">
        <v>58</v>
      </c>
      <c r="I718" t="s">
        <v>59</v>
      </c>
      <c r="J718" t="s">
        <v>43</v>
      </c>
      <c r="L718" t="s">
        <v>90</v>
      </c>
      <c r="M718">
        <v>0</v>
      </c>
    </row>
    <row r="719" spans="1:13" x14ac:dyDescent="0.25">
      <c r="A719">
        <v>1447</v>
      </c>
      <c r="B719" t="s">
        <v>279</v>
      </c>
      <c r="C719" t="s">
        <v>138</v>
      </c>
      <c r="D719">
        <v>2015</v>
      </c>
      <c r="E719">
        <v>19414</v>
      </c>
      <c r="F719">
        <v>22000</v>
      </c>
      <c r="G719" t="s">
        <v>130</v>
      </c>
      <c r="H719" t="s">
        <v>41</v>
      </c>
      <c r="I719" t="s">
        <v>42</v>
      </c>
      <c r="J719" t="s">
        <v>43</v>
      </c>
      <c r="L719" t="s">
        <v>126</v>
      </c>
      <c r="M719">
        <v>0</v>
      </c>
    </row>
    <row r="720" spans="1:13" x14ac:dyDescent="0.25">
      <c r="A720">
        <v>1184</v>
      </c>
      <c r="B720" t="s">
        <v>771</v>
      </c>
      <c r="C720" t="s">
        <v>119</v>
      </c>
      <c r="D720">
        <v>2014</v>
      </c>
      <c r="E720">
        <v>6962</v>
      </c>
      <c r="F720">
        <v>9000</v>
      </c>
      <c r="G720">
        <v>15000</v>
      </c>
      <c r="H720" t="s">
        <v>53</v>
      </c>
      <c r="I720" t="s">
        <v>72</v>
      </c>
      <c r="J720" t="s">
        <v>66</v>
      </c>
      <c r="K720" t="s">
        <v>48</v>
      </c>
      <c r="L720" t="s">
        <v>55</v>
      </c>
      <c r="M720">
        <v>0</v>
      </c>
    </row>
    <row r="721" spans="1:13" x14ac:dyDescent="0.25">
      <c r="A721">
        <v>1365</v>
      </c>
      <c r="B721" t="s">
        <v>675</v>
      </c>
      <c r="C721" t="s">
        <v>75</v>
      </c>
      <c r="D721">
        <v>2015</v>
      </c>
      <c r="E721">
        <v>15314</v>
      </c>
      <c r="F721">
        <v>18000</v>
      </c>
      <c r="G721">
        <v>80000</v>
      </c>
      <c r="H721" t="s">
        <v>69</v>
      </c>
      <c r="I721" t="s">
        <v>72</v>
      </c>
      <c r="K721" t="s">
        <v>54</v>
      </c>
      <c r="L721" t="s">
        <v>38</v>
      </c>
    </row>
    <row r="722" spans="1:13" x14ac:dyDescent="0.25">
      <c r="A722">
        <v>1497</v>
      </c>
      <c r="B722" t="s">
        <v>82</v>
      </c>
      <c r="C722" t="s">
        <v>65</v>
      </c>
      <c r="D722">
        <v>2019</v>
      </c>
      <c r="E722">
        <v>5161</v>
      </c>
      <c r="F722">
        <v>9000</v>
      </c>
      <c r="G722" t="s">
        <v>76</v>
      </c>
      <c r="H722" t="s">
        <v>53</v>
      </c>
      <c r="I722" t="s">
        <v>72</v>
      </c>
      <c r="K722" t="s">
        <v>77</v>
      </c>
      <c r="L722" t="s">
        <v>49</v>
      </c>
      <c r="M722">
        <v>2</v>
      </c>
    </row>
    <row r="723" spans="1:13" x14ac:dyDescent="0.25">
      <c r="A723">
        <v>1116</v>
      </c>
      <c r="B723" t="s">
        <v>70</v>
      </c>
      <c r="C723" t="s">
        <v>164</v>
      </c>
      <c r="D723">
        <v>2014</v>
      </c>
      <c r="E723" t="s">
        <v>772</v>
      </c>
      <c r="F723">
        <v>15000</v>
      </c>
      <c r="G723">
        <v>120000</v>
      </c>
      <c r="H723" t="s">
        <v>34</v>
      </c>
      <c r="I723" t="s">
        <v>72</v>
      </c>
      <c r="J723" t="s">
        <v>36</v>
      </c>
      <c r="K723" t="s">
        <v>73</v>
      </c>
      <c r="L723" t="s">
        <v>45</v>
      </c>
    </row>
    <row r="724" spans="1:13" x14ac:dyDescent="0.25">
      <c r="A724">
        <v>1045</v>
      </c>
      <c r="B724" t="s">
        <v>773</v>
      </c>
      <c r="C724" t="s">
        <v>94</v>
      </c>
      <c r="D724">
        <v>2021</v>
      </c>
      <c r="E724">
        <v>2849</v>
      </c>
      <c r="F724">
        <v>7000</v>
      </c>
      <c r="G724">
        <v>60000</v>
      </c>
      <c r="H724" t="s">
        <v>41</v>
      </c>
      <c r="I724" t="s">
        <v>72</v>
      </c>
      <c r="J724" t="s">
        <v>36</v>
      </c>
      <c r="L724" t="s">
        <v>109</v>
      </c>
      <c r="M724">
        <v>0</v>
      </c>
    </row>
    <row r="725" spans="1:13" x14ac:dyDescent="0.25">
      <c r="A725">
        <v>1437</v>
      </c>
      <c r="B725" t="s">
        <v>631</v>
      </c>
      <c r="C725" t="s">
        <v>61</v>
      </c>
      <c r="D725">
        <v>2018</v>
      </c>
      <c r="E725">
        <v>11207</v>
      </c>
      <c r="F725">
        <v>15000</v>
      </c>
      <c r="G725">
        <v>15000</v>
      </c>
      <c r="H725" t="s">
        <v>84</v>
      </c>
      <c r="J725" t="s">
        <v>43</v>
      </c>
      <c r="K725" t="s">
        <v>54</v>
      </c>
      <c r="M725">
        <v>3</v>
      </c>
    </row>
    <row r="726" spans="1:13" x14ac:dyDescent="0.25">
      <c r="A726">
        <v>1243</v>
      </c>
      <c r="B726" t="s">
        <v>774</v>
      </c>
      <c r="C726" t="s">
        <v>103</v>
      </c>
      <c r="E726" t="s">
        <v>775</v>
      </c>
      <c r="F726" t="s">
        <v>129</v>
      </c>
      <c r="G726">
        <v>25000</v>
      </c>
      <c r="H726" t="s">
        <v>69</v>
      </c>
      <c r="I726" t="s">
        <v>35</v>
      </c>
      <c r="J726" t="s">
        <v>66</v>
      </c>
      <c r="L726" t="s">
        <v>45</v>
      </c>
      <c r="M726">
        <v>2</v>
      </c>
    </row>
    <row r="727" spans="1:13" x14ac:dyDescent="0.25">
      <c r="A727">
        <v>1012</v>
      </c>
      <c r="B727" t="s">
        <v>647</v>
      </c>
      <c r="C727" t="s">
        <v>94</v>
      </c>
      <c r="D727">
        <v>2014</v>
      </c>
      <c r="E727" t="s">
        <v>776</v>
      </c>
      <c r="F727">
        <v>18000</v>
      </c>
      <c r="G727">
        <v>40000</v>
      </c>
      <c r="H727" t="s">
        <v>69</v>
      </c>
      <c r="I727" t="s">
        <v>42</v>
      </c>
      <c r="J727" t="s">
        <v>43</v>
      </c>
      <c r="K727" t="s">
        <v>116</v>
      </c>
      <c r="L727" t="s">
        <v>126</v>
      </c>
      <c r="M727">
        <v>3</v>
      </c>
    </row>
    <row r="728" spans="1:13" x14ac:dyDescent="0.25">
      <c r="A728">
        <v>1223</v>
      </c>
      <c r="B728" t="s">
        <v>333</v>
      </c>
      <c r="C728" t="s">
        <v>40</v>
      </c>
      <c r="D728">
        <v>2021</v>
      </c>
      <c r="E728">
        <v>2067</v>
      </c>
      <c r="F728">
        <v>7000</v>
      </c>
      <c r="G728" t="s">
        <v>130</v>
      </c>
      <c r="H728" t="s">
        <v>63</v>
      </c>
      <c r="I728" t="s">
        <v>35</v>
      </c>
      <c r="J728" t="s">
        <v>43</v>
      </c>
      <c r="K728" t="s">
        <v>100</v>
      </c>
      <c r="L728" t="s">
        <v>45</v>
      </c>
      <c r="M728">
        <v>2</v>
      </c>
    </row>
    <row r="729" spans="1:13" x14ac:dyDescent="0.25">
      <c r="A729">
        <v>1150</v>
      </c>
      <c r="B729" t="s">
        <v>509</v>
      </c>
      <c r="C729" t="s">
        <v>65</v>
      </c>
      <c r="D729">
        <v>2021</v>
      </c>
      <c r="E729">
        <v>5837</v>
      </c>
      <c r="F729">
        <v>12000</v>
      </c>
      <c r="G729" t="s">
        <v>33</v>
      </c>
      <c r="H729" t="s">
        <v>41</v>
      </c>
      <c r="I729" t="s">
        <v>42</v>
      </c>
      <c r="K729" t="s">
        <v>116</v>
      </c>
      <c r="L729" t="s">
        <v>109</v>
      </c>
      <c r="M729">
        <v>0</v>
      </c>
    </row>
    <row r="730" spans="1:13" x14ac:dyDescent="0.25">
      <c r="A730">
        <v>1553</v>
      </c>
      <c r="B730" t="s">
        <v>690</v>
      </c>
      <c r="C730" t="s">
        <v>119</v>
      </c>
      <c r="D730">
        <v>2014</v>
      </c>
      <c r="E730">
        <v>16868</v>
      </c>
      <c r="F730">
        <v>18000</v>
      </c>
      <c r="G730">
        <v>40000</v>
      </c>
      <c r="H730" t="s">
        <v>84</v>
      </c>
      <c r="J730" t="s">
        <v>43</v>
      </c>
      <c r="K730" t="s">
        <v>37</v>
      </c>
      <c r="M730">
        <v>0</v>
      </c>
    </row>
    <row r="731" spans="1:13" x14ac:dyDescent="0.25">
      <c r="A731">
        <v>1073</v>
      </c>
      <c r="B731" t="s">
        <v>777</v>
      </c>
      <c r="C731" t="s">
        <v>119</v>
      </c>
      <c r="D731">
        <v>2017</v>
      </c>
      <c r="E731">
        <v>17958</v>
      </c>
      <c r="F731">
        <v>22000</v>
      </c>
      <c r="G731" t="s">
        <v>121</v>
      </c>
      <c r="H731" t="s">
        <v>63</v>
      </c>
      <c r="J731" t="s">
        <v>96</v>
      </c>
      <c r="K731" t="s">
        <v>44</v>
      </c>
      <c r="L731" t="s">
        <v>98</v>
      </c>
      <c r="M731">
        <v>2</v>
      </c>
    </row>
    <row r="732" spans="1:13" x14ac:dyDescent="0.25">
      <c r="A732">
        <v>1297</v>
      </c>
      <c r="B732" t="s">
        <v>720</v>
      </c>
      <c r="C732" t="s">
        <v>133</v>
      </c>
      <c r="D732">
        <v>2018</v>
      </c>
      <c r="E732">
        <v>2983</v>
      </c>
      <c r="F732">
        <v>7000</v>
      </c>
      <c r="G732" t="s">
        <v>33</v>
      </c>
      <c r="H732" t="s">
        <v>53</v>
      </c>
      <c r="I732" t="s">
        <v>72</v>
      </c>
      <c r="L732" t="s">
        <v>109</v>
      </c>
      <c r="M732">
        <v>1</v>
      </c>
    </row>
    <row r="733" spans="1:13" x14ac:dyDescent="0.25">
      <c r="A733">
        <v>1390</v>
      </c>
      <c r="B733" t="s">
        <v>195</v>
      </c>
      <c r="C733" t="s">
        <v>94</v>
      </c>
      <c r="E733">
        <v>51</v>
      </c>
      <c r="F733">
        <v>7000</v>
      </c>
      <c r="G733">
        <v>120000</v>
      </c>
      <c r="H733" t="s">
        <v>53</v>
      </c>
      <c r="L733" t="s">
        <v>98</v>
      </c>
    </row>
    <row r="734" spans="1:13" x14ac:dyDescent="0.25">
      <c r="A734">
        <v>1532</v>
      </c>
      <c r="B734" t="s">
        <v>778</v>
      </c>
      <c r="C734" t="s">
        <v>32</v>
      </c>
      <c r="D734">
        <v>2022</v>
      </c>
      <c r="E734">
        <v>2131</v>
      </c>
      <c r="F734">
        <v>7000</v>
      </c>
      <c r="G734">
        <v>80000</v>
      </c>
      <c r="H734" t="s">
        <v>69</v>
      </c>
      <c r="I734" t="s">
        <v>42</v>
      </c>
      <c r="J734" t="s">
        <v>96</v>
      </c>
      <c r="K734" t="s">
        <v>77</v>
      </c>
      <c r="L734" t="s">
        <v>109</v>
      </c>
      <c r="M734">
        <v>1</v>
      </c>
    </row>
    <row r="735" spans="1:13" x14ac:dyDescent="0.25">
      <c r="A735">
        <v>1419</v>
      </c>
      <c r="B735" t="s">
        <v>779</v>
      </c>
      <c r="C735" t="s">
        <v>138</v>
      </c>
      <c r="D735">
        <v>2019</v>
      </c>
      <c r="E735">
        <v>6026</v>
      </c>
      <c r="F735">
        <v>9000</v>
      </c>
      <c r="G735">
        <v>120000</v>
      </c>
      <c r="H735" t="s">
        <v>63</v>
      </c>
      <c r="I735" t="s">
        <v>59</v>
      </c>
      <c r="K735" t="s">
        <v>77</v>
      </c>
      <c r="L735" t="s">
        <v>55</v>
      </c>
      <c r="M735">
        <v>3</v>
      </c>
    </row>
    <row r="736" spans="1:13" x14ac:dyDescent="0.25">
      <c r="A736">
        <v>1598</v>
      </c>
      <c r="B736" t="s">
        <v>780</v>
      </c>
      <c r="C736" t="s">
        <v>119</v>
      </c>
      <c r="E736">
        <v>8994</v>
      </c>
      <c r="F736">
        <v>12000</v>
      </c>
      <c r="G736">
        <v>80000</v>
      </c>
      <c r="H736" t="s">
        <v>63</v>
      </c>
      <c r="I736" t="s">
        <v>72</v>
      </c>
      <c r="J736" t="s">
        <v>36</v>
      </c>
      <c r="K736" t="s">
        <v>37</v>
      </c>
      <c r="L736" t="s">
        <v>98</v>
      </c>
      <c r="M736">
        <v>3</v>
      </c>
    </row>
    <row r="737" spans="1:13" x14ac:dyDescent="0.25">
      <c r="A737">
        <v>1464</v>
      </c>
      <c r="B737" t="s">
        <v>163</v>
      </c>
      <c r="C737" t="s">
        <v>164</v>
      </c>
      <c r="E737" t="s">
        <v>781</v>
      </c>
      <c r="F737" t="s">
        <v>87</v>
      </c>
      <c r="G737">
        <v>120000</v>
      </c>
      <c r="I737" t="s">
        <v>35</v>
      </c>
      <c r="J737" t="s">
        <v>66</v>
      </c>
      <c r="K737" t="s">
        <v>73</v>
      </c>
      <c r="L737" t="s">
        <v>98</v>
      </c>
      <c r="M737">
        <v>0</v>
      </c>
    </row>
    <row r="738" spans="1:13" x14ac:dyDescent="0.25">
      <c r="A738">
        <v>1432</v>
      </c>
      <c r="B738" t="s">
        <v>582</v>
      </c>
      <c r="C738" t="s">
        <v>57</v>
      </c>
      <c r="D738">
        <v>2015</v>
      </c>
      <c r="E738">
        <v>6664</v>
      </c>
      <c r="F738">
        <v>12000</v>
      </c>
      <c r="G738">
        <v>80000</v>
      </c>
      <c r="H738" t="s">
        <v>69</v>
      </c>
      <c r="I738" t="s">
        <v>35</v>
      </c>
      <c r="J738" t="s">
        <v>96</v>
      </c>
      <c r="K738" t="s">
        <v>44</v>
      </c>
      <c r="L738" t="s">
        <v>49</v>
      </c>
      <c r="M738">
        <v>0</v>
      </c>
    </row>
    <row r="739" spans="1:13" x14ac:dyDescent="0.25">
      <c r="A739">
        <v>1446</v>
      </c>
      <c r="B739" t="s">
        <v>782</v>
      </c>
      <c r="C739" t="s">
        <v>75</v>
      </c>
      <c r="D739">
        <v>2019</v>
      </c>
      <c r="E739">
        <v>24833</v>
      </c>
      <c r="F739">
        <v>31000</v>
      </c>
      <c r="G739" t="s">
        <v>92</v>
      </c>
      <c r="H739" t="s">
        <v>58</v>
      </c>
      <c r="K739" t="s">
        <v>37</v>
      </c>
      <c r="L739" t="s">
        <v>90</v>
      </c>
      <c r="M739">
        <v>0</v>
      </c>
    </row>
    <row r="740" spans="1:13" x14ac:dyDescent="0.25">
      <c r="A740">
        <v>1180</v>
      </c>
      <c r="B740" t="s">
        <v>771</v>
      </c>
      <c r="C740" t="s">
        <v>79</v>
      </c>
      <c r="D740" t="s">
        <v>52</v>
      </c>
      <c r="E740">
        <v>27375</v>
      </c>
      <c r="F740">
        <v>31000</v>
      </c>
      <c r="G740">
        <v>60000</v>
      </c>
      <c r="H740" t="s">
        <v>84</v>
      </c>
      <c r="I740" t="s">
        <v>42</v>
      </c>
      <c r="J740" t="s">
        <v>96</v>
      </c>
      <c r="K740" t="s">
        <v>116</v>
      </c>
      <c r="L740" t="s">
        <v>109</v>
      </c>
      <c r="M740">
        <v>0</v>
      </c>
    </row>
    <row r="741" spans="1:13" x14ac:dyDescent="0.25">
      <c r="A741">
        <v>1146</v>
      </c>
      <c r="B741" t="s">
        <v>783</v>
      </c>
      <c r="C741" t="s">
        <v>103</v>
      </c>
      <c r="D741">
        <v>2018</v>
      </c>
      <c r="E741" t="s">
        <v>784</v>
      </c>
      <c r="F741">
        <v>22000</v>
      </c>
      <c r="G741">
        <v>60000</v>
      </c>
      <c r="H741" t="s">
        <v>53</v>
      </c>
      <c r="I741" t="s">
        <v>59</v>
      </c>
      <c r="K741" t="s">
        <v>54</v>
      </c>
      <c r="L741" t="s">
        <v>109</v>
      </c>
      <c r="M741">
        <v>0</v>
      </c>
    </row>
    <row r="742" spans="1:13" x14ac:dyDescent="0.25">
      <c r="A742">
        <v>1498</v>
      </c>
      <c r="B742" t="s">
        <v>785</v>
      </c>
      <c r="C742" t="s">
        <v>79</v>
      </c>
      <c r="D742">
        <v>2018</v>
      </c>
      <c r="E742">
        <v>8642</v>
      </c>
      <c r="F742">
        <v>12000</v>
      </c>
      <c r="G742">
        <v>15000</v>
      </c>
      <c r="H742" t="s">
        <v>69</v>
      </c>
      <c r="J742" t="s">
        <v>36</v>
      </c>
      <c r="K742" t="s">
        <v>77</v>
      </c>
      <c r="L742" t="s">
        <v>45</v>
      </c>
      <c r="M742">
        <v>1</v>
      </c>
    </row>
    <row r="743" spans="1:13" x14ac:dyDescent="0.25">
      <c r="A743">
        <v>1552</v>
      </c>
      <c r="B743" t="s">
        <v>657</v>
      </c>
      <c r="C743" t="s">
        <v>32</v>
      </c>
      <c r="D743">
        <v>2017</v>
      </c>
      <c r="E743">
        <v>6098</v>
      </c>
      <c r="F743">
        <v>12000</v>
      </c>
      <c r="G743">
        <v>15000</v>
      </c>
      <c r="H743" t="s">
        <v>41</v>
      </c>
      <c r="I743" t="s">
        <v>72</v>
      </c>
      <c r="J743" t="s">
        <v>66</v>
      </c>
      <c r="K743" t="s">
        <v>54</v>
      </c>
      <c r="L743" t="s">
        <v>98</v>
      </c>
      <c r="M743">
        <v>3</v>
      </c>
    </row>
    <row r="744" spans="1:13" x14ac:dyDescent="0.25">
      <c r="A744">
        <v>1455</v>
      </c>
      <c r="B744" t="s">
        <v>786</v>
      </c>
      <c r="C744" t="s">
        <v>164</v>
      </c>
      <c r="D744">
        <v>2021</v>
      </c>
      <c r="E744">
        <v>11133</v>
      </c>
      <c r="F744">
        <v>18000</v>
      </c>
      <c r="G744" t="s">
        <v>76</v>
      </c>
      <c r="H744" t="s">
        <v>58</v>
      </c>
      <c r="I744" t="s">
        <v>72</v>
      </c>
      <c r="J744" t="s">
        <v>36</v>
      </c>
      <c r="K744" t="s">
        <v>44</v>
      </c>
      <c r="L744" t="s">
        <v>49</v>
      </c>
      <c r="M744">
        <v>1</v>
      </c>
    </row>
    <row r="745" spans="1:13" x14ac:dyDescent="0.25">
      <c r="A745">
        <v>1464</v>
      </c>
      <c r="B745" t="s">
        <v>135</v>
      </c>
      <c r="C745" t="s">
        <v>75</v>
      </c>
      <c r="D745">
        <v>2019</v>
      </c>
      <c r="E745">
        <v>8253</v>
      </c>
      <c r="F745">
        <v>12000</v>
      </c>
      <c r="G745">
        <v>80000</v>
      </c>
      <c r="H745" t="s">
        <v>63</v>
      </c>
      <c r="I745" t="s">
        <v>35</v>
      </c>
      <c r="J745" t="s">
        <v>43</v>
      </c>
      <c r="K745" t="s">
        <v>37</v>
      </c>
      <c r="M745">
        <v>2</v>
      </c>
    </row>
    <row r="746" spans="1:13" x14ac:dyDescent="0.25">
      <c r="A746">
        <v>1251</v>
      </c>
      <c r="B746" t="s">
        <v>787</v>
      </c>
      <c r="C746" t="s">
        <v>47</v>
      </c>
      <c r="D746">
        <v>2022</v>
      </c>
      <c r="E746" t="s">
        <v>788</v>
      </c>
      <c r="F746">
        <v>7000</v>
      </c>
      <c r="G746">
        <v>120000</v>
      </c>
      <c r="H746" t="s">
        <v>53</v>
      </c>
      <c r="I746" t="s">
        <v>72</v>
      </c>
      <c r="J746" t="s">
        <v>43</v>
      </c>
      <c r="K746" t="s">
        <v>100</v>
      </c>
      <c r="L746" t="s">
        <v>55</v>
      </c>
      <c r="M746">
        <v>1</v>
      </c>
    </row>
    <row r="747" spans="1:13" x14ac:dyDescent="0.25">
      <c r="A747">
        <v>1528</v>
      </c>
      <c r="B747" t="s">
        <v>610</v>
      </c>
      <c r="C747" t="s">
        <v>133</v>
      </c>
      <c r="D747">
        <v>2018</v>
      </c>
      <c r="E747">
        <v>5800</v>
      </c>
      <c r="F747">
        <v>12000</v>
      </c>
      <c r="G747" t="s">
        <v>33</v>
      </c>
      <c r="H747" t="s">
        <v>84</v>
      </c>
      <c r="I747" t="s">
        <v>59</v>
      </c>
      <c r="K747" t="s">
        <v>77</v>
      </c>
      <c r="L747" t="s">
        <v>90</v>
      </c>
      <c r="M747">
        <v>0</v>
      </c>
    </row>
    <row r="748" spans="1:13" x14ac:dyDescent="0.25">
      <c r="A748">
        <v>1357</v>
      </c>
      <c r="B748" t="s">
        <v>789</v>
      </c>
      <c r="C748" t="s">
        <v>103</v>
      </c>
      <c r="D748">
        <v>2018</v>
      </c>
      <c r="E748">
        <v>20217</v>
      </c>
      <c r="F748">
        <v>26000</v>
      </c>
      <c r="G748" t="s">
        <v>108</v>
      </c>
      <c r="H748" t="s">
        <v>69</v>
      </c>
      <c r="I748" t="s">
        <v>42</v>
      </c>
      <c r="J748" t="s">
        <v>96</v>
      </c>
      <c r="K748" t="s">
        <v>116</v>
      </c>
      <c r="L748" t="s">
        <v>55</v>
      </c>
      <c r="M748">
        <v>3</v>
      </c>
    </row>
    <row r="749" spans="1:13" x14ac:dyDescent="0.25">
      <c r="A749">
        <v>1115</v>
      </c>
      <c r="B749" t="s">
        <v>790</v>
      </c>
      <c r="C749" t="s">
        <v>79</v>
      </c>
      <c r="D749">
        <v>2022</v>
      </c>
      <c r="E749">
        <v>29210</v>
      </c>
      <c r="F749">
        <v>31000</v>
      </c>
      <c r="G749">
        <v>40000</v>
      </c>
      <c r="H749" t="s">
        <v>34</v>
      </c>
      <c r="I749" t="s">
        <v>59</v>
      </c>
      <c r="J749" t="s">
        <v>96</v>
      </c>
      <c r="K749" t="s">
        <v>77</v>
      </c>
      <c r="L749" t="s">
        <v>98</v>
      </c>
      <c r="M749">
        <v>0</v>
      </c>
    </row>
    <row r="750" spans="1:13" x14ac:dyDescent="0.25">
      <c r="A750">
        <v>1407</v>
      </c>
      <c r="B750" t="s">
        <v>550</v>
      </c>
      <c r="C750" t="s">
        <v>57</v>
      </c>
      <c r="D750">
        <v>2021</v>
      </c>
      <c r="E750">
        <v>20070</v>
      </c>
      <c r="F750">
        <v>22000</v>
      </c>
      <c r="G750">
        <v>120000</v>
      </c>
      <c r="J750" t="s">
        <v>43</v>
      </c>
      <c r="K750" t="s">
        <v>77</v>
      </c>
      <c r="L750" t="s">
        <v>126</v>
      </c>
      <c r="M750">
        <v>2</v>
      </c>
    </row>
    <row r="751" spans="1:13" x14ac:dyDescent="0.25">
      <c r="A751">
        <v>1330</v>
      </c>
      <c r="B751" t="s">
        <v>791</v>
      </c>
      <c r="C751" t="s">
        <v>65</v>
      </c>
      <c r="D751">
        <v>2022</v>
      </c>
      <c r="E751">
        <v>13502</v>
      </c>
      <c r="F751">
        <v>15000</v>
      </c>
      <c r="G751">
        <v>60000</v>
      </c>
      <c r="I751" t="s">
        <v>59</v>
      </c>
      <c r="J751" t="s">
        <v>43</v>
      </c>
      <c r="K751" t="s">
        <v>54</v>
      </c>
      <c r="L751" t="s">
        <v>126</v>
      </c>
      <c r="M751">
        <v>2</v>
      </c>
    </row>
    <row r="752" spans="1:13" x14ac:dyDescent="0.25">
      <c r="A752">
        <v>1458</v>
      </c>
      <c r="B752" t="s">
        <v>792</v>
      </c>
      <c r="C752" t="s">
        <v>133</v>
      </c>
      <c r="D752">
        <v>2017</v>
      </c>
      <c r="E752">
        <v>20627</v>
      </c>
      <c r="F752">
        <v>22000</v>
      </c>
      <c r="G752" t="s">
        <v>108</v>
      </c>
      <c r="H752" t="s">
        <v>53</v>
      </c>
      <c r="I752" t="s">
        <v>35</v>
      </c>
      <c r="K752" t="s">
        <v>44</v>
      </c>
      <c r="L752" t="s">
        <v>90</v>
      </c>
    </row>
    <row r="753" spans="1:13" x14ac:dyDescent="0.25">
      <c r="A753">
        <v>1361</v>
      </c>
      <c r="B753" t="s">
        <v>229</v>
      </c>
      <c r="C753" t="s">
        <v>40</v>
      </c>
      <c r="D753">
        <v>2014</v>
      </c>
      <c r="E753">
        <v>19227</v>
      </c>
      <c r="F753">
        <v>26000</v>
      </c>
      <c r="G753">
        <v>15000</v>
      </c>
      <c r="H753" t="s">
        <v>53</v>
      </c>
      <c r="I753" t="s">
        <v>72</v>
      </c>
      <c r="K753" t="s">
        <v>77</v>
      </c>
      <c r="L753" t="s">
        <v>90</v>
      </c>
    </row>
    <row r="754" spans="1:13" x14ac:dyDescent="0.25">
      <c r="A754">
        <v>1423</v>
      </c>
      <c r="B754" t="s">
        <v>106</v>
      </c>
      <c r="C754" t="s">
        <v>94</v>
      </c>
      <c r="D754">
        <v>2017</v>
      </c>
      <c r="E754">
        <v>13938</v>
      </c>
      <c r="F754">
        <v>18000</v>
      </c>
      <c r="G754">
        <v>25000</v>
      </c>
      <c r="H754" t="s">
        <v>41</v>
      </c>
      <c r="I754" t="s">
        <v>35</v>
      </c>
      <c r="K754" t="s">
        <v>37</v>
      </c>
      <c r="M754">
        <v>3</v>
      </c>
    </row>
    <row r="755" spans="1:13" x14ac:dyDescent="0.25">
      <c r="A755">
        <v>1235</v>
      </c>
      <c r="B755" t="s">
        <v>793</v>
      </c>
      <c r="C755" t="s">
        <v>133</v>
      </c>
      <c r="D755">
        <v>2014</v>
      </c>
      <c r="E755">
        <v>8531</v>
      </c>
      <c r="F755">
        <v>12000</v>
      </c>
      <c r="G755" t="s">
        <v>130</v>
      </c>
      <c r="H755" t="s">
        <v>84</v>
      </c>
      <c r="I755" t="s">
        <v>59</v>
      </c>
      <c r="J755" t="s">
        <v>43</v>
      </c>
      <c r="K755" t="s">
        <v>100</v>
      </c>
      <c r="L755" t="s">
        <v>45</v>
      </c>
      <c r="M755">
        <v>0</v>
      </c>
    </row>
    <row r="756" spans="1:13" x14ac:dyDescent="0.25">
      <c r="A756">
        <v>1155</v>
      </c>
      <c r="B756" t="s">
        <v>794</v>
      </c>
      <c r="C756" t="s">
        <v>75</v>
      </c>
      <c r="D756">
        <v>2015</v>
      </c>
      <c r="E756" t="s">
        <v>795</v>
      </c>
      <c r="F756">
        <v>26000</v>
      </c>
      <c r="G756">
        <v>15000</v>
      </c>
      <c r="H756" t="s">
        <v>69</v>
      </c>
      <c r="I756" t="s">
        <v>72</v>
      </c>
      <c r="J756" t="s">
        <v>43</v>
      </c>
      <c r="L756" t="s">
        <v>126</v>
      </c>
      <c r="M756">
        <v>2</v>
      </c>
    </row>
    <row r="757" spans="1:13" x14ac:dyDescent="0.25">
      <c r="A757">
        <v>1482</v>
      </c>
      <c r="B757" t="s">
        <v>438</v>
      </c>
      <c r="C757" t="s">
        <v>65</v>
      </c>
      <c r="D757">
        <v>2021</v>
      </c>
      <c r="E757">
        <v>11836</v>
      </c>
      <c r="F757">
        <v>15000</v>
      </c>
      <c r="G757" t="s">
        <v>76</v>
      </c>
      <c r="H757" t="s">
        <v>34</v>
      </c>
      <c r="J757" t="s">
        <v>96</v>
      </c>
      <c r="K757" t="s">
        <v>116</v>
      </c>
      <c r="L757" t="s">
        <v>45</v>
      </c>
    </row>
    <row r="758" spans="1:13" x14ac:dyDescent="0.25">
      <c r="A758">
        <v>1381</v>
      </c>
      <c r="B758" t="s">
        <v>228</v>
      </c>
      <c r="C758" t="s">
        <v>119</v>
      </c>
      <c r="D758">
        <v>2020</v>
      </c>
      <c r="E758">
        <v>40</v>
      </c>
      <c r="F758">
        <v>7000</v>
      </c>
      <c r="G758">
        <v>60000</v>
      </c>
      <c r="H758" t="s">
        <v>41</v>
      </c>
      <c r="I758" t="s">
        <v>59</v>
      </c>
      <c r="J758" t="s">
        <v>66</v>
      </c>
      <c r="K758" t="s">
        <v>116</v>
      </c>
      <c r="L758" t="s">
        <v>109</v>
      </c>
      <c r="M758">
        <v>3</v>
      </c>
    </row>
    <row r="759" spans="1:13" x14ac:dyDescent="0.25">
      <c r="A759">
        <v>1097</v>
      </c>
      <c r="B759" t="s">
        <v>796</v>
      </c>
      <c r="C759" t="s">
        <v>32</v>
      </c>
      <c r="D759" t="s">
        <v>52</v>
      </c>
      <c r="E759">
        <v>15823</v>
      </c>
      <c r="F759">
        <v>18000</v>
      </c>
      <c r="G759">
        <v>40000</v>
      </c>
      <c r="H759" t="s">
        <v>53</v>
      </c>
      <c r="I759" t="s">
        <v>35</v>
      </c>
      <c r="J759" t="s">
        <v>66</v>
      </c>
      <c r="K759" t="s">
        <v>48</v>
      </c>
      <c r="L759" t="s">
        <v>55</v>
      </c>
    </row>
    <row r="760" spans="1:13" x14ac:dyDescent="0.25">
      <c r="A760">
        <v>1345</v>
      </c>
      <c r="B760" t="s">
        <v>797</v>
      </c>
      <c r="C760" t="s">
        <v>119</v>
      </c>
      <c r="D760">
        <v>2014</v>
      </c>
      <c r="E760">
        <v>26627</v>
      </c>
      <c r="F760" t="s">
        <v>87</v>
      </c>
      <c r="G760">
        <v>40000</v>
      </c>
      <c r="H760" t="s">
        <v>34</v>
      </c>
      <c r="I760" t="s">
        <v>35</v>
      </c>
      <c r="J760" t="s">
        <v>96</v>
      </c>
      <c r="K760" t="s">
        <v>77</v>
      </c>
      <c r="M760">
        <v>3</v>
      </c>
    </row>
    <row r="761" spans="1:13" x14ac:dyDescent="0.25">
      <c r="A761">
        <v>1526</v>
      </c>
      <c r="B761" t="s">
        <v>798</v>
      </c>
      <c r="C761" t="s">
        <v>133</v>
      </c>
      <c r="D761">
        <v>2019</v>
      </c>
      <c r="E761">
        <v>10221</v>
      </c>
      <c r="F761">
        <v>15000</v>
      </c>
      <c r="G761">
        <v>40000</v>
      </c>
      <c r="H761" t="s">
        <v>84</v>
      </c>
      <c r="I761" t="s">
        <v>59</v>
      </c>
      <c r="J761" t="s">
        <v>36</v>
      </c>
      <c r="K761" t="s">
        <v>48</v>
      </c>
      <c r="L761" t="s">
        <v>90</v>
      </c>
      <c r="M761">
        <v>0</v>
      </c>
    </row>
    <row r="762" spans="1:13" x14ac:dyDescent="0.25">
      <c r="A762">
        <v>1116</v>
      </c>
      <c r="B762" t="s">
        <v>595</v>
      </c>
      <c r="C762" t="s">
        <v>57</v>
      </c>
      <c r="D762">
        <v>2022</v>
      </c>
      <c r="E762" t="s">
        <v>799</v>
      </c>
      <c r="F762">
        <v>9000</v>
      </c>
      <c r="G762" t="s">
        <v>33</v>
      </c>
      <c r="I762" t="s">
        <v>42</v>
      </c>
      <c r="K762" t="s">
        <v>48</v>
      </c>
      <c r="L762" t="s">
        <v>98</v>
      </c>
      <c r="M762">
        <v>0</v>
      </c>
    </row>
    <row r="763" spans="1:13" x14ac:dyDescent="0.25">
      <c r="A763">
        <v>1535</v>
      </c>
      <c r="B763" t="s">
        <v>800</v>
      </c>
      <c r="C763" t="s">
        <v>51</v>
      </c>
      <c r="D763">
        <v>2015</v>
      </c>
      <c r="E763">
        <v>19103</v>
      </c>
      <c r="F763">
        <v>26000</v>
      </c>
      <c r="G763">
        <v>40000</v>
      </c>
      <c r="H763" t="s">
        <v>58</v>
      </c>
      <c r="I763" t="s">
        <v>42</v>
      </c>
      <c r="J763" t="s">
        <v>96</v>
      </c>
      <c r="L763" t="s">
        <v>38</v>
      </c>
    </row>
    <row r="764" spans="1:13" x14ac:dyDescent="0.25">
      <c r="A764">
        <v>1338</v>
      </c>
      <c r="B764" t="s">
        <v>97</v>
      </c>
      <c r="C764" t="s">
        <v>79</v>
      </c>
      <c r="D764">
        <v>2022</v>
      </c>
      <c r="E764">
        <v>13209</v>
      </c>
      <c r="F764">
        <v>18000</v>
      </c>
      <c r="G764">
        <v>60000</v>
      </c>
      <c r="H764" t="s">
        <v>58</v>
      </c>
      <c r="I764" t="s">
        <v>42</v>
      </c>
      <c r="K764" t="s">
        <v>116</v>
      </c>
      <c r="L764" t="s">
        <v>126</v>
      </c>
      <c r="M764">
        <v>2</v>
      </c>
    </row>
    <row r="765" spans="1:13" x14ac:dyDescent="0.25">
      <c r="A765">
        <v>1319</v>
      </c>
      <c r="B765" t="s">
        <v>801</v>
      </c>
      <c r="C765" t="s">
        <v>103</v>
      </c>
      <c r="D765">
        <v>2016</v>
      </c>
      <c r="E765">
        <v>10451</v>
      </c>
      <c r="F765">
        <v>12000</v>
      </c>
      <c r="G765" t="s">
        <v>92</v>
      </c>
      <c r="I765" t="s">
        <v>72</v>
      </c>
      <c r="J765" t="s">
        <v>36</v>
      </c>
      <c r="K765" t="s">
        <v>73</v>
      </c>
      <c r="L765" t="s">
        <v>55</v>
      </c>
    </row>
    <row r="766" spans="1:13" x14ac:dyDescent="0.25">
      <c r="A766">
        <v>1353</v>
      </c>
      <c r="B766" t="s">
        <v>489</v>
      </c>
      <c r="C766" t="s">
        <v>57</v>
      </c>
      <c r="D766">
        <v>2015</v>
      </c>
      <c r="E766">
        <v>16420</v>
      </c>
      <c r="F766">
        <v>22000</v>
      </c>
      <c r="G766">
        <v>120000</v>
      </c>
      <c r="H766" t="s">
        <v>34</v>
      </c>
      <c r="J766" t="s">
        <v>96</v>
      </c>
      <c r="K766" t="s">
        <v>44</v>
      </c>
      <c r="L766" t="s">
        <v>98</v>
      </c>
      <c r="M766">
        <v>2</v>
      </c>
    </row>
    <row r="767" spans="1:13" x14ac:dyDescent="0.25">
      <c r="A767">
        <v>1286</v>
      </c>
      <c r="B767" t="s">
        <v>649</v>
      </c>
      <c r="C767" t="s">
        <v>47</v>
      </c>
      <c r="D767">
        <v>2015</v>
      </c>
      <c r="E767" t="s">
        <v>802</v>
      </c>
      <c r="F767">
        <v>12000</v>
      </c>
      <c r="G767" t="s">
        <v>76</v>
      </c>
      <c r="H767" t="s">
        <v>34</v>
      </c>
      <c r="I767" t="s">
        <v>72</v>
      </c>
      <c r="K767" t="s">
        <v>54</v>
      </c>
      <c r="L767" t="s">
        <v>55</v>
      </c>
      <c r="M767">
        <v>1</v>
      </c>
    </row>
    <row r="768" spans="1:13" x14ac:dyDescent="0.25">
      <c r="A768">
        <v>1146</v>
      </c>
      <c r="B768" t="s">
        <v>803</v>
      </c>
      <c r="C768" t="s">
        <v>57</v>
      </c>
      <c r="D768">
        <v>2014</v>
      </c>
      <c r="E768" t="s">
        <v>804</v>
      </c>
      <c r="F768">
        <v>15000</v>
      </c>
      <c r="G768">
        <v>25000</v>
      </c>
      <c r="H768" t="s">
        <v>41</v>
      </c>
      <c r="I768" t="s">
        <v>42</v>
      </c>
      <c r="K768" t="s">
        <v>116</v>
      </c>
      <c r="L768" t="s">
        <v>98</v>
      </c>
      <c r="M768">
        <v>3</v>
      </c>
    </row>
    <row r="769" spans="1:13" x14ac:dyDescent="0.25">
      <c r="A769">
        <v>1386</v>
      </c>
      <c r="B769" t="s">
        <v>449</v>
      </c>
      <c r="C769" t="s">
        <v>61</v>
      </c>
      <c r="D769">
        <v>2018</v>
      </c>
      <c r="E769">
        <v>3412</v>
      </c>
      <c r="F769">
        <v>9000</v>
      </c>
      <c r="G769">
        <v>25000</v>
      </c>
      <c r="H769" t="s">
        <v>63</v>
      </c>
      <c r="J769" t="s">
        <v>36</v>
      </c>
      <c r="K769" t="s">
        <v>77</v>
      </c>
      <c r="L769" t="s">
        <v>90</v>
      </c>
      <c r="M769">
        <v>2</v>
      </c>
    </row>
    <row r="770" spans="1:13" x14ac:dyDescent="0.25">
      <c r="A770">
        <v>1123</v>
      </c>
      <c r="B770" t="s">
        <v>647</v>
      </c>
      <c r="C770" t="s">
        <v>164</v>
      </c>
      <c r="D770">
        <v>2020</v>
      </c>
      <c r="E770">
        <v>24306</v>
      </c>
      <c r="F770">
        <v>31000</v>
      </c>
      <c r="G770">
        <v>60000</v>
      </c>
      <c r="H770" t="s">
        <v>41</v>
      </c>
      <c r="I770" t="s">
        <v>72</v>
      </c>
      <c r="J770" t="s">
        <v>43</v>
      </c>
      <c r="K770" t="s">
        <v>44</v>
      </c>
      <c r="L770" t="s">
        <v>98</v>
      </c>
      <c r="M770">
        <v>1</v>
      </c>
    </row>
    <row r="771" spans="1:13" x14ac:dyDescent="0.25">
      <c r="A771">
        <v>1452</v>
      </c>
      <c r="B771" t="s">
        <v>805</v>
      </c>
      <c r="C771" t="s">
        <v>47</v>
      </c>
      <c r="D771">
        <v>2020</v>
      </c>
      <c r="E771">
        <v>20913</v>
      </c>
      <c r="F771">
        <v>22000</v>
      </c>
      <c r="G771">
        <v>25000</v>
      </c>
      <c r="H771" t="s">
        <v>63</v>
      </c>
      <c r="I771" t="s">
        <v>35</v>
      </c>
      <c r="J771" t="s">
        <v>96</v>
      </c>
      <c r="K771" t="s">
        <v>54</v>
      </c>
      <c r="M771">
        <v>0</v>
      </c>
    </row>
    <row r="772" spans="1:13" x14ac:dyDescent="0.25">
      <c r="A772">
        <v>1044</v>
      </c>
      <c r="B772" t="s">
        <v>217</v>
      </c>
      <c r="C772" t="s">
        <v>65</v>
      </c>
      <c r="D772">
        <v>2014</v>
      </c>
      <c r="E772">
        <v>13079</v>
      </c>
      <c r="F772">
        <v>18000</v>
      </c>
      <c r="G772">
        <v>120000</v>
      </c>
      <c r="H772" t="s">
        <v>41</v>
      </c>
      <c r="J772" t="s">
        <v>36</v>
      </c>
      <c r="K772" t="s">
        <v>116</v>
      </c>
      <c r="L772" t="s">
        <v>55</v>
      </c>
      <c r="M772">
        <v>3</v>
      </c>
    </row>
    <row r="773" spans="1:13" x14ac:dyDescent="0.25">
      <c r="A773">
        <v>1156</v>
      </c>
      <c r="B773" t="s">
        <v>357</v>
      </c>
      <c r="C773" t="s">
        <v>57</v>
      </c>
      <c r="D773">
        <v>2021</v>
      </c>
      <c r="E773">
        <v>4973</v>
      </c>
      <c r="F773">
        <v>9000</v>
      </c>
      <c r="G773">
        <v>15000</v>
      </c>
      <c r="H773" t="s">
        <v>84</v>
      </c>
      <c r="I773" t="s">
        <v>59</v>
      </c>
      <c r="J773" t="s">
        <v>36</v>
      </c>
      <c r="K773" t="s">
        <v>73</v>
      </c>
      <c r="L773" t="s">
        <v>55</v>
      </c>
      <c r="M773">
        <v>0</v>
      </c>
    </row>
    <row r="774" spans="1:13" x14ac:dyDescent="0.25">
      <c r="A774">
        <v>1340</v>
      </c>
      <c r="B774" t="s">
        <v>806</v>
      </c>
      <c r="C774" t="s">
        <v>61</v>
      </c>
      <c r="D774">
        <v>2015</v>
      </c>
      <c r="E774">
        <v>11634</v>
      </c>
      <c r="F774">
        <v>18000</v>
      </c>
      <c r="G774">
        <v>25000</v>
      </c>
      <c r="H774" t="s">
        <v>58</v>
      </c>
      <c r="J774" t="s">
        <v>96</v>
      </c>
      <c r="L774" t="s">
        <v>126</v>
      </c>
      <c r="M774">
        <v>3</v>
      </c>
    </row>
    <row r="775" spans="1:13" x14ac:dyDescent="0.25">
      <c r="A775">
        <v>1151</v>
      </c>
      <c r="B775" t="s">
        <v>807</v>
      </c>
      <c r="C775" t="s">
        <v>103</v>
      </c>
      <c r="D775" t="s">
        <v>52</v>
      </c>
      <c r="E775">
        <v>4420</v>
      </c>
      <c r="F775" t="s">
        <v>147</v>
      </c>
      <c r="G775">
        <v>15000</v>
      </c>
      <c r="H775" t="s">
        <v>69</v>
      </c>
      <c r="J775" t="s">
        <v>66</v>
      </c>
      <c r="L775" t="s">
        <v>98</v>
      </c>
      <c r="M775">
        <v>1</v>
      </c>
    </row>
    <row r="776" spans="1:13" x14ac:dyDescent="0.25">
      <c r="A776">
        <v>1349</v>
      </c>
      <c r="B776" t="s">
        <v>304</v>
      </c>
      <c r="C776" t="s">
        <v>40</v>
      </c>
      <c r="D776">
        <v>2018</v>
      </c>
      <c r="E776">
        <v>14128</v>
      </c>
      <c r="F776">
        <v>18000</v>
      </c>
      <c r="G776" t="s">
        <v>121</v>
      </c>
      <c r="I776" t="s">
        <v>35</v>
      </c>
      <c r="J776" t="s">
        <v>36</v>
      </c>
      <c r="K776" t="s">
        <v>37</v>
      </c>
      <c r="L776" t="s">
        <v>90</v>
      </c>
      <c r="M776">
        <v>0</v>
      </c>
    </row>
    <row r="777" spans="1:13" x14ac:dyDescent="0.25">
      <c r="A777">
        <v>1383</v>
      </c>
      <c r="B777" t="s">
        <v>808</v>
      </c>
      <c r="C777" t="s">
        <v>57</v>
      </c>
      <c r="D777">
        <v>2019</v>
      </c>
      <c r="E777">
        <v>5915</v>
      </c>
      <c r="F777">
        <v>7000</v>
      </c>
      <c r="G777">
        <v>25000</v>
      </c>
      <c r="H777" t="s">
        <v>69</v>
      </c>
      <c r="I777" t="s">
        <v>42</v>
      </c>
      <c r="J777" t="s">
        <v>66</v>
      </c>
      <c r="K777" t="s">
        <v>54</v>
      </c>
      <c r="L777" t="s">
        <v>126</v>
      </c>
      <c r="M777">
        <v>3</v>
      </c>
    </row>
    <row r="778" spans="1:13" x14ac:dyDescent="0.25">
      <c r="A778">
        <v>1423</v>
      </c>
      <c r="B778" t="s">
        <v>809</v>
      </c>
      <c r="C778" t="s">
        <v>51</v>
      </c>
      <c r="D778">
        <v>2016</v>
      </c>
      <c r="E778">
        <v>12372</v>
      </c>
      <c r="F778">
        <v>18000</v>
      </c>
      <c r="G778">
        <v>25000</v>
      </c>
      <c r="H778" t="s">
        <v>58</v>
      </c>
      <c r="I778" t="s">
        <v>72</v>
      </c>
      <c r="J778" t="s">
        <v>96</v>
      </c>
      <c r="K778" t="s">
        <v>116</v>
      </c>
      <c r="L778" t="s">
        <v>45</v>
      </c>
      <c r="M778">
        <v>0</v>
      </c>
    </row>
    <row r="779" spans="1:13" x14ac:dyDescent="0.25">
      <c r="A779">
        <v>1460</v>
      </c>
      <c r="B779" t="s">
        <v>810</v>
      </c>
      <c r="C779" t="s">
        <v>133</v>
      </c>
      <c r="D779">
        <v>2019</v>
      </c>
      <c r="E779">
        <v>15743</v>
      </c>
      <c r="F779">
        <v>22000</v>
      </c>
      <c r="G779" t="s">
        <v>130</v>
      </c>
      <c r="H779" t="s">
        <v>34</v>
      </c>
      <c r="I779" t="s">
        <v>42</v>
      </c>
      <c r="K779" t="s">
        <v>77</v>
      </c>
      <c r="L779" t="s">
        <v>98</v>
      </c>
      <c r="M779">
        <v>2</v>
      </c>
    </row>
    <row r="780" spans="1:13" x14ac:dyDescent="0.25">
      <c r="A780">
        <v>1275</v>
      </c>
      <c r="B780" t="s">
        <v>180</v>
      </c>
      <c r="C780" t="s">
        <v>51</v>
      </c>
      <c r="D780">
        <v>2017</v>
      </c>
      <c r="E780" t="s">
        <v>811</v>
      </c>
      <c r="F780">
        <v>22000</v>
      </c>
      <c r="G780">
        <v>120000</v>
      </c>
      <c r="I780" t="s">
        <v>72</v>
      </c>
      <c r="J780" t="s">
        <v>36</v>
      </c>
      <c r="K780" t="s">
        <v>37</v>
      </c>
      <c r="M780">
        <v>1</v>
      </c>
    </row>
    <row r="781" spans="1:13" x14ac:dyDescent="0.25">
      <c r="A781">
        <v>1577</v>
      </c>
      <c r="B781" t="s">
        <v>316</v>
      </c>
      <c r="C781" t="s">
        <v>133</v>
      </c>
      <c r="D781">
        <v>2016</v>
      </c>
      <c r="E781">
        <v>27355</v>
      </c>
      <c r="F781">
        <v>31000</v>
      </c>
      <c r="G781" t="s">
        <v>121</v>
      </c>
      <c r="H781" t="s">
        <v>84</v>
      </c>
      <c r="I781" t="s">
        <v>72</v>
      </c>
      <c r="J781" t="s">
        <v>36</v>
      </c>
      <c r="K781" t="s">
        <v>100</v>
      </c>
      <c r="L781" t="s">
        <v>98</v>
      </c>
      <c r="M781">
        <v>3</v>
      </c>
    </row>
    <row r="782" spans="1:13" x14ac:dyDescent="0.25">
      <c r="A782">
        <v>1166</v>
      </c>
      <c r="B782" t="s">
        <v>518</v>
      </c>
      <c r="C782" t="s">
        <v>61</v>
      </c>
      <c r="D782">
        <v>2019</v>
      </c>
      <c r="E782">
        <v>5068</v>
      </c>
      <c r="F782">
        <v>9000</v>
      </c>
      <c r="G782" t="s">
        <v>33</v>
      </c>
      <c r="K782" t="s">
        <v>48</v>
      </c>
      <c r="L782" t="s">
        <v>98</v>
      </c>
      <c r="M782">
        <v>3</v>
      </c>
    </row>
    <row r="783" spans="1:13" x14ac:dyDescent="0.25">
      <c r="A783">
        <v>1410</v>
      </c>
      <c r="B783" t="s">
        <v>703</v>
      </c>
      <c r="C783" t="s">
        <v>119</v>
      </c>
      <c r="D783">
        <v>2018</v>
      </c>
      <c r="E783">
        <v>18233</v>
      </c>
      <c r="F783">
        <v>22000</v>
      </c>
      <c r="G783">
        <v>80000</v>
      </c>
      <c r="H783" t="s">
        <v>84</v>
      </c>
      <c r="I783" t="s">
        <v>59</v>
      </c>
      <c r="J783" t="s">
        <v>43</v>
      </c>
      <c r="K783" t="s">
        <v>54</v>
      </c>
      <c r="L783" t="s">
        <v>98</v>
      </c>
    </row>
    <row r="784" spans="1:13" x14ac:dyDescent="0.25">
      <c r="A784">
        <v>1203</v>
      </c>
      <c r="B784" t="s">
        <v>812</v>
      </c>
      <c r="C784" t="s">
        <v>40</v>
      </c>
      <c r="D784">
        <v>2016</v>
      </c>
      <c r="E784">
        <v>6111</v>
      </c>
      <c r="F784">
        <v>12000</v>
      </c>
      <c r="G784" t="s">
        <v>130</v>
      </c>
      <c r="H784" t="s">
        <v>63</v>
      </c>
      <c r="I784" t="s">
        <v>35</v>
      </c>
      <c r="J784" t="s">
        <v>36</v>
      </c>
      <c r="K784" t="s">
        <v>54</v>
      </c>
      <c r="L784" t="s">
        <v>90</v>
      </c>
      <c r="M784">
        <v>2</v>
      </c>
    </row>
    <row r="785" spans="1:13" x14ac:dyDescent="0.25">
      <c r="A785">
        <v>1205</v>
      </c>
      <c r="B785" t="s">
        <v>117</v>
      </c>
      <c r="C785" t="s">
        <v>138</v>
      </c>
      <c r="D785">
        <v>2020</v>
      </c>
      <c r="E785">
        <v>10994</v>
      </c>
      <c r="F785">
        <v>12000</v>
      </c>
      <c r="G785" t="s">
        <v>92</v>
      </c>
      <c r="H785" t="s">
        <v>53</v>
      </c>
      <c r="I785" t="s">
        <v>42</v>
      </c>
      <c r="J785" t="s">
        <v>43</v>
      </c>
      <c r="K785" t="s">
        <v>37</v>
      </c>
      <c r="L785" t="s">
        <v>38</v>
      </c>
      <c r="M785">
        <v>1</v>
      </c>
    </row>
    <row r="786" spans="1:13" x14ac:dyDescent="0.25">
      <c r="A786">
        <v>1482</v>
      </c>
      <c r="B786" t="s">
        <v>813</v>
      </c>
      <c r="C786" t="s">
        <v>79</v>
      </c>
      <c r="D786">
        <v>2014</v>
      </c>
      <c r="E786">
        <v>27177</v>
      </c>
      <c r="F786">
        <v>31000</v>
      </c>
      <c r="G786" t="s">
        <v>33</v>
      </c>
      <c r="I786" t="s">
        <v>59</v>
      </c>
      <c r="J786" t="s">
        <v>43</v>
      </c>
      <c r="K786" t="s">
        <v>77</v>
      </c>
      <c r="L786" t="s">
        <v>49</v>
      </c>
      <c r="M786">
        <v>3</v>
      </c>
    </row>
    <row r="787" spans="1:13" x14ac:dyDescent="0.25">
      <c r="A787">
        <v>1434</v>
      </c>
      <c r="B787" t="s">
        <v>148</v>
      </c>
      <c r="C787" t="s">
        <v>164</v>
      </c>
      <c r="D787">
        <v>2019</v>
      </c>
      <c r="E787">
        <v>8321</v>
      </c>
      <c r="F787">
        <v>12000</v>
      </c>
      <c r="G787">
        <v>60000</v>
      </c>
      <c r="H787" t="s">
        <v>41</v>
      </c>
      <c r="I787" t="s">
        <v>42</v>
      </c>
      <c r="K787" t="s">
        <v>100</v>
      </c>
      <c r="L787" t="s">
        <v>38</v>
      </c>
      <c r="M787">
        <v>2</v>
      </c>
    </row>
    <row r="788" spans="1:13" x14ac:dyDescent="0.25">
      <c r="A788">
        <v>1079</v>
      </c>
      <c r="B788" t="s">
        <v>217</v>
      </c>
      <c r="C788" t="s">
        <v>79</v>
      </c>
      <c r="D788">
        <v>2019</v>
      </c>
      <c r="E788">
        <v>1092</v>
      </c>
      <c r="F788" t="s">
        <v>147</v>
      </c>
      <c r="G788" t="s">
        <v>121</v>
      </c>
      <c r="H788" t="s">
        <v>53</v>
      </c>
      <c r="I788" t="s">
        <v>72</v>
      </c>
      <c r="J788" t="s">
        <v>43</v>
      </c>
      <c r="K788" t="s">
        <v>37</v>
      </c>
      <c r="L788" t="s">
        <v>109</v>
      </c>
      <c r="M788">
        <v>3</v>
      </c>
    </row>
    <row r="789" spans="1:13" x14ac:dyDescent="0.25">
      <c r="A789">
        <v>1492</v>
      </c>
      <c r="B789" t="s">
        <v>207</v>
      </c>
      <c r="C789" t="s">
        <v>57</v>
      </c>
      <c r="D789">
        <v>2020</v>
      </c>
      <c r="E789" t="s">
        <v>814</v>
      </c>
      <c r="F789">
        <v>12000</v>
      </c>
      <c r="G789">
        <v>40000</v>
      </c>
      <c r="H789" t="s">
        <v>58</v>
      </c>
      <c r="I789" t="s">
        <v>59</v>
      </c>
      <c r="K789" t="s">
        <v>37</v>
      </c>
      <c r="L789" t="s">
        <v>55</v>
      </c>
      <c r="M789">
        <v>0</v>
      </c>
    </row>
    <row r="790" spans="1:13" x14ac:dyDescent="0.25">
      <c r="A790">
        <v>1164</v>
      </c>
      <c r="B790" t="s">
        <v>815</v>
      </c>
      <c r="C790" t="s">
        <v>79</v>
      </c>
      <c r="D790" t="s">
        <v>52</v>
      </c>
      <c r="E790">
        <v>4687</v>
      </c>
      <c r="F790">
        <v>9000</v>
      </c>
      <c r="G790">
        <v>120000</v>
      </c>
      <c r="I790" t="s">
        <v>35</v>
      </c>
      <c r="J790" t="s">
        <v>43</v>
      </c>
      <c r="K790" t="s">
        <v>48</v>
      </c>
      <c r="L790" t="s">
        <v>98</v>
      </c>
      <c r="M790">
        <v>0</v>
      </c>
    </row>
    <row r="791" spans="1:13" x14ac:dyDescent="0.25">
      <c r="A791">
        <v>1461</v>
      </c>
      <c r="B791" t="s">
        <v>510</v>
      </c>
      <c r="C791" t="s">
        <v>51</v>
      </c>
      <c r="D791">
        <v>2020</v>
      </c>
      <c r="E791">
        <v>11806</v>
      </c>
      <c r="F791">
        <v>18000</v>
      </c>
      <c r="G791">
        <v>120000</v>
      </c>
      <c r="H791" t="s">
        <v>63</v>
      </c>
      <c r="I791" t="s">
        <v>35</v>
      </c>
      <c r="J791" t="s">
        <v>66</v>
      </c>
      <c r="K791" t="s">
        <v>48</v>
      </c>
      <c r="M791">
        <v>3</v>
      </c>
    </row>
    <row r="792" spans="1:13" x14ac:dyDescent="0.25">
      <c r="A792">
        <v>1202</v>
      </c>
      <c r="B792" t="s">
        <v>479</v>
      </c>
      <c r="C792" t="s">
        <v>75</v>
      </c>
      <c r="D792">
        <v>2016</v>
      </c>
      <c r="E792">
        <v>204</v>
      </c>
      <c r="F792">
        <v>7000</v>
      </c>
      <c r="G792">
        <v>40000</v>
      </c>
      <c r="H792" t="s">
        <v>34</v>
      </c>
      <c r="I792" t="s">
        <v>35</v>
      </c>
      <c r="J792" t="s">
        <v>43</v>
      </c>
      <c r="K792" t="s">
        <v>54</v>
      </c>
      <c r="L792" t="s">
        <v>126</v>
      </c>
      <c r="M792">
        <v>0</v>
      </c>
    </row>
    <row r="793" spans="1:13" x14ac:dyDescent="0.25">
      <c r="A793">
        <v>1258</v>
      </c>
      <c r="B793" t="s">
        <v>816</v>
      </c>
      <c r="C793" t="s">
        <v>133</v>
      </c>
      <c r="D793">
        <v>2021</v>
      </c>
      <c r="E793">
        <v>16091</v>
      </c>
      <c r="F793">
        <v>22000</v>
      </c>
      <c r="G793">
        <v>15000</v>
      </c>
      <c r="H793" t="s">
        <v>41</v>
      </c>
      <c r="J793" t="s">
        <v>96</v>
      </c>
      <c r="K793" t="s">
        <v>100</v>
      </c>
      <c r="L793" t="s">
        <v>45</v>
      </c>
      <c r="M793">
        <v>2</v>
      </c>
    </row>
    <row r="794" spans="1:13" x14ac:dyDescent="0.25">
      <c r="A794">
        <v>1114</v>
      </c>
      <c r="B794" t="s">
        <v>817</v>
      </c>
      <c r="C794" t="s">
        <v>103</v>
      </c>
      <c r="D794">
        <v>2014</v>
      </c>
      <c r="E794">
        <v>27562</v>
      </c>
      <c r="F794" t="s">
        <v>87</v>
      </c>
      <c r="G794">
        <v>40000</v>
      </c>
      <c r="H794" t="s">
        <v>53</v>
      </c>
      <c r="I794" t="s">
        <v>42</v>
      </c>
      <c r="J794" t="s">
        <v>36</v>
      </c>
      <c r="L794" t="s">
        <v>49</v>
      </c>
      <c r="M794">
        <v>1</v>
      </c>
    </row>
    <row r="795" spans="1:13" x14ac:dyDescent="0.25">
      <c r="A795">
        <v>1469</v>
      </c>
      <c r="B795" t="s">
        <v>818</v>
      </c>
      <c r="C795" t="s">
        <v>164</v>
      </c>
      <c r="D795" t="s">
        <v>52</v>
      </c>
      <c r="E795">
        <v>27750</v>
      </c>
      <c r="F795">
        <v>31000</v>
      </c>
      <c r="G795">
        <v>60000</v>
      </c>
      <c r="I795" t="s">
        <v>35</v>
      </c>
      <c r="J795" t="s">
        <v>36</v>
      </c>
      <c r="K795" t="s">
        <v>44</v>
      </c>
      <c r="L795" t="s">
        <v>109</v>
      </c>
      <c r="M795">
        <v>0</v>
      </c>
    </row>
    <row r="796" spans="1:13" x14ac:dyDescent="0.25">
      <c r="A796">
        <v>1345</v>
      </c>
      <c r="B796" t="s">
        <v>235</v>
      </c>
      <c r="C796" t="s">
        <v>164</v>
      </c>
      <c r="E796">
        <v>3801</v>
      </c>
      <c r="F796">
        <v>9000</v>
      </c>
      <c r="G796">
        <v>60000</v>
      </c>
      <c r="H796" t="s">
        <v>41</v>
      </c>
      <c r="I796" t="s">
        <v>42</v>
      </c>
      <c r="J796" t="s">
        <v>96</v>
      </c>
      <c r="K796" t="s">
        <v>37</v>
      </c>
      <c r="L796" t="s">
        <v>98</v>
      </c>
      <c r="M796">
        <v>0</v>
      </c>
    </row>
    <row r="797" spans="1:13" x14ac:dyDescent="0.25">
      <c r="A797">
        <v>1552</v>
      </c>
      <c r="B797" t="s">
        <v>475</v>
      </c>
      <c r="C797" t="s">
        <v>47</v>
      </c>
      <c r="E797">
        <v>11958</v>
      </c>
      <c r="F797">
        <v>18000</v>
      </c>
      <c r="G797">
        <v>40000</v>
      </c>
      <c r="H797" t="s">
        <v>63</v>
      </c>
      <c r="J797" t="s">
        <v>43</v>
      </c>
      <c r="K797" t="s">
        <v>77</v>
      </c>
      <c r="L797" t="s">
        <v>98</v>
      </c>
      <c r="M797">
        <v>2</v>
      </c>
    </row>
    <row r="798" spans="1:13" x14ac:dyDescent="0.25">
      <c r="A798">
        <v>1291</v>
      </c>
      <c r="B798" t="s">
        <v>380</v>
      </c>
      <c r="C798" t="s">
        <v>57</v>
      </c>
      <c r="D798">
        <v>2018</v>
      </c>
      <c r="E798">
        <v>2735</v>
      </c>
      <c r="F798">
        <v>7000</v>
      </c>
      <c r="G798" t="s">
        <v>121</v>
      </c>
      <c r="H798" t="s">
        <v>34</v>
      </c>
      <c r="I798" t="s">
        <v>42</v>
      </c>
      <c r="J798" t="s">
        <v>96</v>
      </c>
      <c r="K798" t="s">
        <v>54</v>
      </c>
      <c r="L798" t="s">
        <v>55</v>
      </c>
    </row>
    <row r="799" spans="1:13" x14ac:dyDescent="0.25">
      <c r="A799">
        <v>1226</v>
      </c>
      <c r="B799" t="s">
        <v>186</v>
      </c>
      <c r="C799" t="s">
        <v>61</v>
      </c>
      <c r="D799">
        <v>2015</v>
      </c>
      <c r="E799" t="s">
        <v>819</v>
      </c>
      <c r="F799">
        <v>15000</v>
      </c>
      <c r="G799">
        <v>25000</v>
      </c>
      <c r="J799" t="s">
        <v>43</v>
      </c>
      <c r="K799" t="s">
        <v>44</v>
      </c>
      <c r="M799">
        <v>3</v>
      </c>
    </row>
    <row r="800" spans="1:13" x14ac:dyDescent="0.25">
      <c r="A800">
        <v>1354</v>
      </c>
      <c r="B800" t="s">
        <v>324</v>
      </c>
      <c r="C800" t="s">
        <v>133</v>
      </c>
      <c r="D800">
        <v>2022</v>
      </c>
      <c r="E800">
        <v>3210</v>
      </c>
      <c r="F800">
        <v>7000</v>
      </c>
      <c r="G800">
        <v>40000</v>
      </c>
      <c r="I800" t="s">
        <v>42</v>
      </c>
      <c r="K800" t="s">
        <v>100</v>
      </c>
      <c r="L800" t="s">
        <v>98</v>
      </c>
      <c r="M800">
        <v>2</v>
      </c>
    </row>
    <row r="801" spans="1:13" x14ac:dyDescent="0.25">
      <c r="A801">
        <v>1353</v>
      </c>
      <c r="B801" t="s">
        <v>820</v>
      </c>
      <c r="C801" t="s">
        <v>94</v>
      </c>
      <c r="D801">
        <v>2014</v>
      </c>
      <c r="E801" t="s">
        <v>821</v>
      </c>
      <c r="F801">
        <v>9000</v>
      </c>
      <c r="G801">
        <v>120000</v>
      </c>
      <c r="H801" t="s">
        <v>69</v>
      </c>
      <c r="I801" t="s">
        <v>72</v>
      </c>
      <c r="J801" t="s">
        <v>96</v>
      </c>
      <c r="K801" t="s">
        <v>116</v>
      </c>
      <c r="L801" t="s">
        <v>55</v>
      </c>
      <c r="M801">
        <v>0</v>
      </c>
    </row>
    <row r="802" spans="1:13" x14ac:dyDescent="0.25">
      <c r="A802">
        <v>1441</v>
      </c>
      <c r="B802" t="s">
        <v>822</v>
      </c>
      <c r="C802" t="s">
        <v>164</v>
      </c>
      <c r="E802">
        <v>8120</v>
      </c>
      <c r="F802">
        <v>12000</v>
      </c>
      <c r="G802">
        <v>80000</v>
      </c>
      <c r="H802" t="s">
        <v>69</v>
      </c>
      <c r="J802" t="s">
        <v>43</v>
      </c>
      <c r="K802" t="s">
        <v>77</v>
      </c>
      <c r="L802" t="s">
        <v>98</v>
      </c>
    </row>
    <row r="803" spans="1:13" x14ac:dyDescent="0.25">
      <c r="A803">
        <v>1216</v>
      </c>
      <c r="B803" t="s">
        <v>823</v>
      </c>
      <c r="C803" t="s">
        <v>164</v>
      </c>
      <c r="D803">
        <v>2020</v>
      </c>
      <c r="E803">
        <v>4759</v>
      </c>
      <c r="F803">
        <v>9000</v>
      </c>
      <c r="G803" t="s">
        <v>76</v>
      </c>
      <c r="H803" t="s">
        <v>58</v>
      </c>
      <c r="I803" t="s">
        <v>59</v>
      </c>
      <c r="K803" t="s">
        <v>48</v>
      </c>
      <c r="L803" t="s">
        <v>109</v>
      </c>
      <c r="M803">
        <v>1</v>
      </c>
    </row>
    <row r="804" spans="1:13" x14ac:dyDescent="0.25">
      <c r="A804">
        <v>1325</v>
      </c>
      <c r="B804" t="s">
        <v>824</v>
      </c>
      <c r="C804" t="s">
        <v>103</v>
      </c>
      <c r="E804">
        <v>14025</v>
      </c>
      <c r="F804">
        <v>18000</v>
      </c>
      <c r="G804" t="s">
        <v>130</v>
      </c>
      <c r="H804" t="s">
        <v>34</v>
      </c>
      <c r="I804" t="s">
        <v>59</v>
      </c>
      <c r="J804" t="s">
        <v>43</v>
      </c>
      <c r="K804" t="s">
        <v>54</v>
      </c>
      <c r="L804" t="s">
        <v>55</v>
      </c>
      <c r="M804">
        <v>1</v>
      </c>
    </row>
    <row r="805" spans="1:13" x14ac:dyDescent="0.25">
      <c r="A805">
        <v>1475</v>
      </c>
      <c r="B805" t="s">
        <v>825</v>
      </c>
      <c r="C805" t="s">
        <v>57</v>
      </c>
      <c r="D805">
        <v>2020</v>
      </c>
      <c r="E805">
        <v>12637</v>
      </c>
      <c r="F805">
        <v>18000</v>
      </c>
      <c r="G805" t="s">
        <v>76</v>
      </c>
      <c r="H805" t="s">
        <v>34</v>
      </c>
      <c r="I805" t="s">
        <v>59</v>
      </c>
      <c r="J805" t="s">
        <v>43</v>
      </c>
      <c r="K805" t="s">
        <v>77</v>
      </c>
      <c r="L805" t="s">
        <v>126</v>
      </c>
    </row>
    <row r="806" spans="1:13" x14ac:dyDescent="0.25">
      <c r="A806">
        <v>1023</v>
      </c>
      <c r="B806" t="s">
        <v>397</v>
      </c>
      <c r="C806" t="s">
        <v>119</v>
      </c>
      <c r="D806">
        <v>2016</v>
      </c>
      <c r="E806">
        <v>3326</v>
      </c>
      <c r="F806">
        <v>9000</v>
      </c>
      <c r="G806">
        <v>80000</v>
      </c>
      <c r="I806" t="s">
        <v>35</v>
      </c>
      <c r="J806" t="s">
        <v>96</v>
      </c>
      <c r="K806" t="s">
        <v>73</v>
      </c>
      <c r="L806" t="s">
        <v>98</v>
      </c>
    </row>
    <row r="807" spans="1:13" x14ac:dyDescent="0.25">
      <c r="A807">
        <v>1179</v>
      </c>
      <c r="B807" t="s">
        <v>826</v>
      </c>
      <c r="C807" t="s">
        <v>47</v>
      </c>
      <c r="D807">
        <v>2016</v>
      </c>
      <c r="E807">
        <v>24077</v>
      </c>
      <c r="F807">
        <v>31000</v>
      </c>
      <c r="G807" t="s">
        <v>130</v>
      </c>
      <c r="H807" t="s">
        <v>58</v>
      </c>
      <c r="I807" t="s">
        <v>72</v>
      </c>
      <c r="J807" t="s">
        <v>36</v>
      </c>
      <c r="K807" t="s">
        <v>73</v>
      </c>
      <c r="L807" t="s">
        <v>38</v>
      </c>
    </row>
    <row r="808" spans="1:13" x14ac:dyDescent="0.25">
      <c r="A808">
        <v>1247</v>
      </c>
      <c r="B808" t="s">
        <v>827</v>
      </c>
      <c r="C808" t="s">
        <v>138</v>
      </c>
      <c r="D808">
        <v>2021</v>
      </c>
      <c r="E808">
        <v>9059</v>
      </c>
      <c r="F808">
        <v>15000</v>
      </c>
      <c r="G808">
        <v>120000</v>
      </c>
      <c r="H808" t="s">
        <v>84</v>
      </c>
      <c r="J808" t="s">
        <v>96</v>
      </c>
      <c r="K808" t="s">
        <v>100</v>
      </c>
      <c r="L808" t="s">
        <v>38</v>
      </c>
      <c r="M808">
        <v>3</v>
      </c>
    </row>
    <row r="809" spans="1:13" x14ac:dyDescent="0.25">
      <c r="A809">
        <v>1532</v>
      </c>
      <c r="B809" t="s">
        <v>828</v>
      </c>
      <c r="C809" t="s">
        <v>75</v>
      </c>
      <c r="D809">
        <v>2014</v>
      </c>
      <c r="E809">
        <v>456</v>
      </c>
      <c r="F809">
        <v>7000</v>
      </c>
      <c r="G809" t="s">
        <v>108</v>
      </c>
      <c r="H809" t="s">
        <v>34</v>
      </c>
      <c r="I809" t="s">
        <v>72</v>
      </c>
      <c r="K809" t="s">
        <v>37</v>
      </c>
      <c r="M809">
        <v>0</v>
      </c>
    </row>
    <row r="810" spans="1:13" x14ac:dyDescent="0.25">
      <c r="A810">
        <v>1372</v>
      </c>
      <c r="B810" t="s">
        <v>657</v>
      </c>
      <c r="C810" t="s">
        <v>138</v>
      </c>
      <c r="D810">
        <v>2021</v>
      </c>
      <c r="E810">
        <v>2737</v>
      </c>
      <c r="F810">
        <v>7000</v>
      </c>
      <c r="G810">
        <v>40000</v>
      </c>
      <c r="I810" t="s">
        <v>59</v>
      </c>
      <c r="J810" t="s">
        <v>36</v>
      </c>
      <c r="K810" t="s">
        <v>37</v>
      </c>
      <c r="L810" t="s">
        <v>90</v>
      </c>
      <c r="M810">
        <v>2</v>
      </c>
    </row>
    <row r="811" spans="1:13" x14ac:dyDescent="0.25">
      <c r="A811">
        <v>1145</v>
      </c>
      <c r="B811" t="s">
        <v>829</v>
      </c>
      <c r="C811" t="s">
        <v>32</v>
      </c>
      <c r="D811">
        <v>2016</v>
      </c>
      <c r="E811">
        <v>15622</v>
      </c>
      <c r="F811">
        <v>22000</v>
      </c>
      <c r="G811" t="s">
        <v>92</v>
      </c>
      <c r="H811" t="s">
        <v>84</v>
      </c>
      <c r="I811" t="s">
        <v>72</v>
      </c>
      <c r="J811" t="s">
        <v>36</v>
      </c>
      <c r="K811" t="s">
        <v>116</v>
      </c>
      <c r="L811" t="s">
        <v>55</v>
      </c>
      <c r="M811">
        <v>1</v>
      </c>
    </row>
    <row r="812" spans="1:13" x14ac:dyDescent="0.25">
      <c r="A812">
        <v>1461</v>
      </c>
      <c r="B812" t="s">
        <v>830</v>
      </c>
      <c r="C812" t="s">
        <v>65</v>
      </c>
      <c r="D812">
        <v>2019</v>
      </c>
      <c r="E812">
        <v>13358</v>
      </c>
      <c r="F812">
        <v>18000</v>
      </c>
      <c r="G812">
        <v>120000</v>
      </c>
      <c r="H812" t="s">
        <v>58</v>
      </c>
      <c r="I812" t="s">
        <v>42</v>
      </c>
      <c r="K812" t="s">
        <v>54</v>
      </c>
      <c r="L812" t="s">
        <v>126</v>
      </c>
      <c r="M812">
        <v>1</v>
      </c>
    </row>
    <row r="813" spans="1:13" x14ac:dyDescent="0.25">
      <c r="A813">
        <v>1162</v>
      </c>
      <c r="B813" t="s">
        <v>831</v>
      </c>
      <c r="C813" t="s">
        <v>79</v>
      </c>
      <c r="E813">
        <v>18615</v>
      </c>
      <c r="F813">
        <v>22000</v>
      </c>
      <c r="G813">
        <v>120000</v>
      </c>
      <c r="H813" t="s">
        <v>69</v>
      </c>
      <c r="I813" t="s">
        <v>42</v>
      </c>
      <c r="J813" t="s">
        <v>66</v>
      </c>
      <c r="K813" t="s">
        <v>100</v>
      </c>
      <c r="L813" t="s">
        <v>45</v>
      </c>
      <c r="M813">
        <v>3</v>
      </c>
    </row>
    <row r="814" spans="1:13" x14ac:dyDescent="0.25">
      <c r="A814">
        <v>1310</v>
      </c>
      <c r="B814" t="s">
        <v>345</v>
      </c>
      <c r="C814" t="s">
        <v>65</v>
      </c>
      <c r="D814" t="s">
        <v>52</v>
      </c>
      <c r="E814" t="s">
        <v>832</v>
      </c>
      <c r="F814" t="s">
        <v>89</v>
      </c>
      <c r="G814">
        <v>15000</v>
      </c>
      <c r="H814" t="s">
        <v>34</v>
      </c>
      <c r="I814" t="s">
        <v>59</v>
      </c>
      <c r="K814" t="s">
        <v>100</v>
      </c>
      <c r="L814" t="s">
        <v>109</v>
      </c>
      <c r="M814">
        <v>1</v>
      </c>
    </row>
    <row r="815" spans="1:13" x14ac:dyDescent="0.25">
      <c r="A815">
        <v>1537</v>
      </c>
      <c r="B815" t="s">
        <v>833</v>
      </c>
      <c r="C815" t="s">
        <v>61</v>
      </c>
      <c r="D815">
        <v>2022</v>
      </c>
      <c r="E815">
        <v>17025</v>
      </c>
      <c r="F815">
        <v>22000</v>
      </c>
      <c r="G815">
        <v>60000</v>
      </c>
      <c r="H815" t="s">
        <v>84</v>
      </c>
      <c r="I815" t="s">
        <v>72</v>
      </c>
      <c r="J815" t="s">
        <v>66</v>
      </c>
      <c r="K815" t="s">
        <v>54</v>
      </c>
      <c r="L815" t="s">
        <v>38</v>
      </c>
      <c r="M815">
        <v>1</v>
      </c>
    </row>
    <row r="816" spans="1:13" x14ac:dyDescent="0.25">
      <c r="A816">
        <v>1510</v>
      </c>
      <c r="B816" t="s">
        <v>834</v>
      </c>
      <c r="C816" t="s">
        <v>164</v>
      </c>
      <c r="D816">
        <v>2018</v>
      </c>
      <c r="E816">
        <v>6387</v>
      </c>
      <c r="F816">
        <v>9000</v>
      </c>
      <c r="G816">
        <v>120000</v>
      </c>
      <c r="H816" t="s">
        <v>53</v>
      </c>
      <c r="I816" t="s">
        <v>42</v>
      </c>
      <c r="J816" t="s">
        <v>96</v>
      </c>
      <c r="K816" t="s">
        <v>73</v>
      </c>
      <c r="L816" t="s">
        <v>98</v>
      </c>
      <c r="M816">
        <v>0</v>
      </c>
    </row>
    <row r="817" spans="1:13" x14ac:dyDescent="0.25">
      <c r="A817">
        <v>1550</v>
      </c>
      <c r="B817" t="s">
        <v>835</v>
      </c>
      <c r="C817" t="s">
        <v>61</v>
      </c>
      <c r="D817">
        <v>2022</v>
      </c>
      <c r="E817">
        <v>3468</v>
      </c>
      <c r="F817">
        <v>9000</v>
      </c>
      <c r="G817" t="s">
        <v>130</v>
      </c>
      <c r="H817" t="s">
        <v>53</v>
      </c>
      <c r="I817" t="s">
        <v>42</v>
      </c>
      <c r="J817" t="s">
        <v>96</v>
      </c>
      <c r="K817" t="s">
        <v>100</v>
      </c>
      <c r="L817" t="s">
        <v>38</v>
      </c>
      <c r="M817">
        <v>1</v>
      </c>
    </row>
    <row r="818" spans="1:13" x14ac:dyDescent="0.25">
      <c r="A818">
        <v>1284</v>
      </c>
      <c r="B818" t="s">
        <v>836</v>
      </c>
      <c r="C818" t="s">
        <v>138</v>
      </c>
      <c r="D818">
        <v>2016</v>
      </c>
      <c r="E818" t="s">
        <v>837</v>
      </c>
      <c r="F818">
        <v>7000</v>
      </c>
      <c r="G818">
        <v>80000</v>
      </c>
      <c r="H818" t="s">
        <v>84</v>
      </c>
      <c r="I818" t="s">
        <v>42</v>
      </c>
      <c r="K818" t="s">
        <v>54</v>
      </c>
      <c r="L818" t="s">
        <v>126</v>
      </c>
      <c r="M818">
        <v>1</v>
      </c>
    </row>
    <row r="819" spans="1:13" x14ac:dyDescent="0.25">
      <c r="A819">
        <v>1052</v>
      </c>
      <c r="B819" t="s">
        <v>838</v>
      </c>
      <c r="C819" t="s">
        <v>119</v>
      </c>
      <c r="D819">
        <v>2017</v>
      </c>
      <c r="E819">
        <v>29195</v>
      </c>
      <c r="F819">
        <v>31000</v>
      </c>
      <c r="G819" t="s">
        <v>92</v>
      </c>
      <c r="H819" t="s">
        <v>84</v>
      </c>
      <c r="I819" t="s">
        <v>59</v>
      </c>
      <c r="J819" t="s">
        <v>36</v>
      </c>
      <c r="K819" t="s">
        <v>116</v>
      </c>
      <c r="L819" t="s">
        <v>38</v>
      </c>
      <c r="M819">
        <v>0</v>
      </c>
    </row>
    <row r="820" spans="1:13" x14ac:dyDescent="0.25">
      <c r="A820">
        <v>1595</v>
      </c>
      <c r="B820" t="s">
        <v>262</v>
      </c>
      <c r="C820" t="s">
        <v>47</v>
      </c>
      <c r="E820">
        <v>25337</v>
      </c>
      <c r="F820">
        <v>31000</v>
      </c>
      <c r="G820">
        <v>40000</v>
      </c>
      <c r="I820" t="s">
        <v>42</v>
      </c>
      <c r="K820" t="s">
        <v>116</v>
      </c>
      <c r="L820" t="s">
        <v>126</v>
      </c>
      <c r="M820">
        <v>2</v>
      </c>
    </row>
    <row r="821" spans="1:13" x14ac:dyDescent="0.25">
      <c r="A821">
        <v>1336</v>
      </c>
      <c r="B821" t="s">
        <v>410</v>
      </c>
      <c r="C821" t="s">
        <v>103</v>
      </c>
      <c r="E821">
        <v>11830</v>
      </c>
      <c r="F821">
        <v>18000</v>
      </c>
      <c r="G821">
        <v>60000</v>
      </c>
      <c r="H821" t="s">
        <v>69</v>
      </c>
      <c r="I821" t="s">
        <v>72</v>
      </c>
      <c r="K821" t="s">
        <v>77</v>
      </c>
      <c r="L821" t="s">
        <v>109</v>
      </c>
      <c r="M821">
        <v>2</v>
      </c>
    </row>
    <row r="822" spans="1:13" x14ac:dyDescent="0.25">
      <c r="A822">
        <v>1006</v>
      </c>
      <c r="B822" t="s">
        <v>387</v>
      </c>
      <c r="C822" t="s">
        <v>51</v>
      </c>
      <c r="D822" t="s">
        <v>52</v>
      </c>
      <c r="E822">
        <v>28508</v>
      </c>
      <c r="F822">
        <v>31000</v>
      </c>
      <c r="G822">
        <v>15000</v>
      </c>
      <c r="H822" t="s">
        <v>58</v>
      </c>
      <c r="I822" t="s">
        <v>42</v>
      </c>
      <c r="J822" t="s">
        <v>36</v>
      </c>
      <c r="K822" t="s">
        <v>48</v>
      </c>
      <c r="L822" t="s">
        <v>45</v>
      </c>
      <c r="M822">
        <v>0</v>
      </c>
    </row>
    <row r="823" spans="1:13" x14ac:dyDescent="0.25">
      <c r="A823">
        <v>1218</v>
      </c>
      <c r="B823" t="s">
        <v>839</v>
      </c>
      <c r="C823" t="s">
        <v>138</v>
      </c>
      <c r="D823">
        <v>2019</v>
      </c>
      <c r="E823">
        <v>10110</v>
      </c>
      <c r="F823">
        <v>12000</v>
      </c>
      <c r="G823">
        <v>25000</v>
      </c>
      <c r="I823" t="s">
        <v>35</v>
      </c>
      <c r="J823" t="s">
        <v>96</v>
      </c>
      <c r="K823" t="s">
        <v>77</v>
      </c>
      <c r="L823" t="s">
        <v>90</v>
      </c>
      <c r="M823">
        <v>2</v>
      </c>
    </row>
    <row r="824" spans="1:13" x14ac:dyDescent="0.25">
      <c r="A824">
        <v>1333</v>
      </c>
      <c r="B824" t="s">
        <v>513</v>
      </c>
      <c r="C824" t="s">
        <v>57</v>
      </c>
      <c r="D824">
        <v>2017</v>
      </c>
      <c r="E824">
        <v>23707</v>
      </c>
      <c r="F824">
        <v>26000</v>
      </c>
      <c r="G824">
        <v>25000</v>
      </c>
      <c r="H824" t="s">
        <v>34</v>
      </c>
      <c r="I824" t="s">
        <v>72</v>
      </c>
      <c r="J824" t="s">
        <v>66</v>
      </c>
      <c r="K824" t="s">
        <v>54</v>
      </c>
      <c r="L824" t="s">
        <v>55</v>
      </c>
      <c r="M824">
        <v>2</v>
      </c>
    </row>
    <row r="825" spans="1:13" x14ac:dyDescent="0.25">
      <c r="A825">
        <v>1322</v>
      </c>
      <c r="B825" t="s">
        <v>406</v>
      </c>
      <c r="C825" t="s">
        <v>79</v>
      </c>
      <c r="D825">
        <v>2016</v>
      </c>
      <c r="E825">
        <v>11047</v>
      </c>
      <c r="F825">
        <v>18000</v>
      </c>
      <c r="G825">
        <v>40000</v>
      </c>
      <c r="H825" t="s">
        <v>34</v>
      </c>
      <c r="I825" t="s">
        <v>35</v>
      </c>
      <c r="J825" t="s">
        <v>43</v>
      </c>
      <c r="K825" t="s">
        <v>73</v>
      </c>
      <c r="L825" t="s">
        <v>98</v>
      </c>
      <c r="M825">
        <v>2</v>
      </c>
    </row>
    <row r="826" spans="1:13" x14ac:dyDescent="0.25">
      <c r="A826">
        <v>1213</v>
      </c>
      <c r="B826" t="s">
        <v>840</v>
      </c>
      <c r="C826" t="s">
        <v>164</v>
      </c>
      <c r="D826">
        <v>2021</v>
      </c>
      <c r="E826">
        <v>11231</v>
      </c>
      <c r="F826">
        <v>18000</v>
      </c>
      <c r="G826">
        <v>15000</v>
      </c>
      <c r="H826" t="s">
        <v>41</v>
      </c>
      <c r="I826" t="s">
        <v>72</v>
      </c>
      <c r="J826" t="s">
        <v>43</v>
      </c>
      <c r="K826" t="s">
        <v>48</v>
      </c>
      <c r="L826" t="s">
        <v>109</v>
      </c>
    </row>
    <row r="827" spans="1:13" x14ac:dyDescent="0.25">
      <c r="A827">
        <v>1248</v>
      </c>
      <c r="B827" t="s">
        <v>264</v>
      </c>
      <c r="C827" t="s">
        <v>47</v>
      </c>
      <c r="D827">
        <v>2017</v>
      </c>
      <c r="E827" t="s">
        <v>841</v>
      </c>
      <c r="F827">
        <v>31000</v>
      </c>
      <c r="G827">
        <v>40000</v>
      </c>
      <c r="I827" t="s">
        <v>35</v>
      </c>
      <c r="J827" t="s">
        <v>43</v>
      </c>
      <c r="K827" t="s">
        <v>116</v>
      </c>
      <c r="L827" t="s">
        <v>38</v>
      </c>
      <c r="M827">
        <v>2</v>
      </c>
    </row>
    <row r="828" spans="1:13" x14ac:dyDescent="0.25">
      <c r="A828">
        <v>1282</v>
      </c>
      <c r="B828" t="s">
        <v>842</v>
      </c>
      <c r="C828" t="s">
        <v>94</v>
      </c>
      <c r="D828">
        <v>2014</v>
      </c>
      <c r="E828">
        <v>2761</v>
      </c>
      <c r="F828">
        <v>9000</v>
      </c>
      <c r="G828">
        <v>15000</v>
      </c>
      <c r="I828" t="s">
        <v>42</v>
      </c>
      <c r="J828" t="s">
        <v>36</v>
      </c>
      <c r="K828" t="s">
        <v>44</v>
      </c>
      <c r="L828" t="s">
        <v>98</v>
      </c>
      <c r="M828">
        <v>1</v>
      </c>
    </row>
    <row r="829" spans="1:13" x14ac:dyDescent="0.25">
      <c r="A829">
        <v>1090</v>
      </c>
      <c r="B829" t="s">
        <v>843</v>
      </c>
      <c r="C829" t="s">
        <v>164</v>
      </c>
      <c r="E829">
        <v>15362</v>
      </c>
      <c r="F829">
        <v>18000</v>
      </c>
      <c r="G829">
        <v>80000</v>
      </c>
      <c r="H829" t="s">
        <v>69</v>
      </c>
      <c r="K829" t="s">
        <v>54</v>
      </c>
      <c r="L829" t="s">
        <v>126</v>
      </c>
      <c r="M829">
        <v>1</v>
      </c>
    </row>
    <row r="830" spans="1:13" x14ac:dyDescent="0.25">
      <c r="A830">
        <v>1328</v>
      </c>
      <c r="B830" t="s">
        <v>844</v>
      </c>
      <c r="C830" t="s">
        <v>75</v>
      </c>
      <c r="D830">
        <v>2019</v>
      </c>
      <c r="E830">
        <v>19241</v>
      </c>
      <c r="F830">
        <v>22000</v>
      </c>
      <c r="G830">
        <v>60000</v>
      </c>
      <c r="H830" t="s">
        <v>69</v>
      </c>
      <c r="I830" t="s">
        <v>72</v>
      </c>
      <c r="K830" t="s">
        <v>73</v>
      </c>
      <c r="L830" t="s">
        <v>90</v>
      </c>
      <c r="M830">
        <v>0</v>
      </c>
    </row>
    <row r="831" spans="1:13" x14ac:dyDescent="0.25">
      <c r="A831">
        <v>1061</v>
      </c>
      <c r="B831" t="s">
        <v>845</v>
      </c>
      <c r="C831" t="s">
        <v>103</v>
      </c>
      <c r="D831">
        <v>2020</v>
      </c>
      <c r="E831">
        <v>24607</v>
      </c>
      <c r="F831">
        <v>26000</v>
      </c>
      <c r="G831" t="s">
        <v>92</v>
      </c>
      <c r="H831" t="s">
        <v>34</v>
      </c>
      <c r="I831" t="s">
        <v>35</v>
      </c>
      <c r="K831" t="s">
        <v>44</v>
      </c>
      <c r="M831">
        <v>3</v>
      </c>
    </row>
    <row r="832" spans="1:13" x14ac:dyDescent="0.25">
      <c r="A832">
        <v>1578</v>
      </c>
      <c r="B832" t="s">
        <v>170</v>
      </c>
      <c r="C832" t="s">
        <v>51</v>
      </c>
      <c r="E832" t="s">
        <v>846</v>
      </c>
      <c r="F832">
        <v>22000</v>
      </c>
      <c r="G832" t="s">
        <v>108</v>
      </c>
      <c r="H832" t="s">
        <v>58</v>
      </c>
      <c r="J832" t="s">
        <v>36</v>
      </c>
      <c r="K832" t="s">
        <v>116</v>
      </c>
      <c r="L832" t="s">
        <v>38</v>
      </c>
      <c r="M832">
        <v>0</v>
      </c>
    </row>
    <row r="833" spans="1:13" x14ac:dyDescent="0.25">
      <c r="A833">
        <v>1074</v>
      </c>
      <c r="B833" t="s">
        <v>253</v>
      </c>
      <c r="C833" t="s">
        <v>103</v>
      </c>
      <c r="D833">
        <v>2018</v>
      </c>
      <c r="E833" t="s">
        <v>847</v>
      </c>
      <c r="F833">
        <v>31000</v>
      </c>
      <c r="G833">
        <v>60000</v>
      </c>
      <c r="H833" t="s">
        <v>34</v>
      </c>
      <c r="I833" t="s">
        <v>35</v>
      </c>
      <c r="J833" t="s">
        <v>43</v>
      </c>
      <c r="K833" t="s">
        <v>54</v>
      </c>
      <c r="L833" t="s">
        <v>126</v>
      </c>
    </row>
    <row r="834" spans="1:13" x14ac:dyDescent="0.25">
      <c r="A834">
        <v>1154</v>
      </c>
      <c r="B834" t="s">
        <v>434</v>
      </c>
      <c r="C834" t="s">
        <v>94</v>
      </c>
      <c r="D834">
        <v>2014</v>
      </c>
      <c r="E834">
        <v>3360</v>
      </c>
      <c r="F834">
        <v>7000</v>
      </c>
      <c r="G834">
        <v>25000</v>
      </c>
      <c r="H834" t="s">
        <v>63</v>
      </c>
      <c r="J834" t="s">
        <v>43</v>
      </c>
      <c r="K834" t="s">
        <v>77</v>
      </c>
      <c r="L834" t="s">
        <v>109</v>
      </c>
    </row>
    <row r="835" spans="1:13" x14ac:dyDescent="0.25">
      <c r="A835">
        <v>1103</v>
      </c>
      <c r="B835" t="s">
        <v>380</v>
      </c>
      <c r="C835" t="s">
        <v>164</v>
      </c>
      <c r="D835">
        <v>2017</v>
      </c>
      <c r="E835" t="s">
        <v>848</v>
      </c>
      <c r="F835">
        <v>12000</v>
      </c>
      <c r="G835">
        <v>25000</v>
      </c>
      <c r="H835" t="s">
        <v>58</v>
      </c>
      <c r="J835" t="s">
        <v>96</v>
      </c>
      <c r="K835" t="s">
        <v>37</v>
      </c>
      <c r="L835" t="s">
        <v>109</v>
      </c>
      <c r="M835">
        <v>2</v>
      </c>
    </row>
    <row r="836" spans="1:13" x14ac:dyDescent="0.25">
      <c r="A836">
        <v>1434</v>
      </c>
      <c r="B836" t="s">
        <v>849</v>
      </c>
      <c r="C836" t="s">
        <v>119</v>
      </c>
      <c r="D836" t="s">
        <v>52</v>
      </c>
      <c r="E836">
        <v>11519</v>
      </c>
      <c r="F836">
        <v>15000</v>
      </c>
      <c r="G836">
        <v>25000</v>
      </c>
      <c r="H836" t="s">
        <v>63</v>
      </c>
      <c r="I836" t="s">
        <v>35</v>
      </c>
      <c r="J836" t="s">
        <v>66</v>
      </c>
      <c r="K836" t="s">
        <v>116</v>
      </c>
      <c r="L836" t="s">
        <v>49</v>
      </c>
      <c r="M836">
        <v>3</v>
      </c>
    </row>
    <row r="837" spans="1:13" x14ac:dyDescent="0.25">
      <c r="A837">
        <v>1449</v>
      </c>
      <c r="B837" t="s">
        <v>679</v>
      </c>
      <c r="C837" t="s">
        <v>40</v>
      </c>
      <c r="D837">
        <v>2021</v>
      </c>
      <c r="E837">
        <v>13597</v>
      </c>
      <c r="F837">
        <v>15000</v>
      </c>
      <c r="G837">
        <v>60000</v>
      </c>
      <c r="H837" t="s">
        <v>84</v>
      </c>
      <c r="I837" t="s">
        <v>35</v>
      </c>
      <c r="J837" t="s">
        <v>66</v>
      </c>
      <c r="M837">
        <v>0</v>
      </c>
    </row>
    <row r="838" spans="1:13" x14ac:dyDescent="0.25">
      <c r="A838">
        <v>1324</v>
      </c>
      <c r="B838" t="s">
        <v>428</v>
      </c>
      <c r="C838" t="s">
        <v>57</v>
      </c>
      <c r="D838">
        <v>2017</v>
      </c>
      <c r="E838">
        <v>3046</v>
      </c>
      <c r="F838">
        <v>9000</v>
      </c>
      <c r="G838" t="s">
        <v>92</v>
      </c>
      <c r="H838" t="s">
        <v>63</v>
      </c>
      <c r="I838" t="s">
        <v>59</v>
      </c>
      <c r="J838" t="s">
        <v>96</v>
      </c>
      <c r="L838" t="s">
        <v>49</v>
      </c>
      <c r="M838">
        <v>3</v>
      </c>
    </row>
    <row r="839" spans="1:13" x14ac:dyDescent="0.25">
      <c r="A839">
        <v>1363</v>
      </c>
      <c r="B839" t="s">
        <v>813</v>
      </c>
      <c r="C839" t="s">
        <v>40</v>
      </c>
      <c r="D839">
        <v>2014</v>
      </c>
      <c r="E839">
        <v>21721</v>
      </c>
      <c r="F839">
        <v>26000</v>
      </c>
      <c r="G839" t="s">
        <v>92</v>
      </c>
      <c r="H839" t="s">
        <v>69</v>
      </c>
      <c r="I839" t="s">
        <v>42</v>
      </c>
      <c r="J839" t="s">
        <v>36</v>
      </c>
      <c r="K839" t="s">
        <v>48</v>
      </c>
      <c r="L839" t="s">
        <v>55</v>
      </c>
      <c r="M839">
        <v>0</v>
      </c>
    </row>
    <row r="840" spans="1:13" x14ac:dyDescent="0.25">
      <c r="A840">
        <v>1181</v>
      </c>
      <c r="B840" t="s">
        <v>583</v>
      </c>
      <c r="C840" t="s">
        <v>65</v>
      </c>
      <c r="D840" t="s">
        <v>52</v>
      </c>
      <c r="E840">
        <v>19848</v>
      </c>
      <c r="F840" t="s">
        <v>115</v>
      </c>
      <c r="G840" t="s">
        <v>76</v>
      </c>
      <c r="I840" t="s">
        <v>35</v>
      </c>
      <c r="J840" t="s">
        <v>36</v>
      </c>
      <c r="K840" t="s">
        <v>77</v>
      </c>
      <c r="L840" t="s">
        <v>45</v>
      </c>
      <c r="M840">
        <v>2</v>
      </c>
    </row>
    <row r="841" spans="1:13" x14ac:dyDescent="0.25">
      <c r="A841">
        <v>1155</v>
      </c>
      <c r="B841" t="s">
        <v>457</v>
      </c>
      <c r="C841" t="s">
        <v>103</v>
      </c>
      <c r="D841">
        <v>2016</v>
      </c>
      <c r="E841">
        <v>23570</v>
      </c>
      <c r="F841">
        <v>26000</v>
      </c>
      <c r="G841" t="s">
        <v>33</v>
      </c>
      <c r="H841" t="s">
        <v>84</v>
      </c>
      <c r="I841" t="s">
        <v>42</v>
      </c>
      <c r="J841" t="s">
        <v>36</v>
      </c>
      <c r="K841" t="s">
        <v>116</v>
      </c>
      <c r="L841" t="s">
        <v>38</v>
      </c>
      <c r="M841">
        <v>2</v>
      </c>
    </row>
    <row r="842" spans="1:13" x14ac:dyDescent="0.25">
      <c r="A842">
        <v>1029</v>
      </c>
      <c r="B842" t="s">
        <v>850</v>
      </c>
      <c r="C842" t="s">
        <v>94</v>
      </c>
      <c r="D842" t="s">
        <v>52</v>
      </c>
      <c r="E842">
        <v>15906</v>
      </c>
      <c r="F842">
        <v>22000</v>
      </c>
      <c r="G842">
        <v>40000</v>
      </c>
      <c r="H842" t="s">
        <v>41</v>
      </c>
      <c r="I842" t="s">
        <v>42</v>
      </c>
      <c r="J842" t="s">
        <v>43</v>
      </c>
      <c r="K842" t="s">
        <v>73</v>
      </c>
      <c r="M842">
        <v>3</v>
      </c>
    </row>
    <row r="843" spans="1:13" x14ac:dyDescent="0.25">
      <c r="A843">
        <v>1094</v>
      </c>
      <c r="B843" t="s">
        <v>851</v>
      </c>
      <c r="C843" t="s">
        <v>57</v>
      </c>
      <c r="D843">
        <v>2016</v>
      </c>
      <c r="E843">
        <v>5144</v>
      </c>
      <c r="F843" t="s">
        <v>81</v>
      </c>
      <c r="G843">
        <v>15000</v>
      </c>
      <c r="I843" t="s">
        <v>59</v>
      </c>
      <c r="K843" t="s">
        <v>116</v>
      </c>
      <c r="L843" t="s">
        <v>90</v>
      </c>
    </row>
    <row r="844" spans="1:13" x14ac:dyDescent="0.25">
      <c r="A844">
        <v>1330</v>
      </c>
      <c r="B844" t="s">
        <v>381</v>
      </c>
      <c r="C844" t="s">
        <v>40</v>
      </c>
      <c r="D844">
        <v>2018</v>
      </c>
      <c r="E844">
        <v>27896</v>
      </c>
      <c r="F844">
        <v>31000</v>
      </c>
      <c r="G844">
        <v>60000</v>
      </c>
      <c r="H844" t="s">
        <v>84</v>
      </c>
      <c r="I844" t="s">
        <v>59</v>
      </c>
      <c r="J844" t="s">
        <v>43</v>
      </c>
      <c r="K844" t="s">
        <v>77</v>
      </c>
      <c r="L844" t="s">
        <v>90</v>
      </c>
      <c r="M844">
        <v>1</v>
      </c>
    </row>
    <row r="845" spans="1:13" x14ac:dyDescent="0.25">
      <c r="A845">
        <v>1413</v>
      </c>
      <c r="B845" t="s">
        <v>852</v>
      </c>
      <c r="C845" t="s">
        <v>164</v>
      </c>
      <c r="D845">
        <v>2016</v>
      </c>
      <c r="E845">
        <v>13327</v>
      </c>
      <c r="F845">
        <v>15000</v>
      </c>
      <c r="G845" t="s">
        <v>108</v>
      </c>
      <c r="H845" t="s">
        <v>69</v>
      </c>
      <c r="I845" t="s">
        <v>42</v>
      </c>
      <c r="J845" t="s">
        <v>96</v>
      </c>
      <c r="K845" t="s">
        <v>44</v>
      </c>
      <c r="L845" t="s">
        <v>55</v>
      </c>
    </row>
    <row r="846" spans="1:13" x14ac:dyDescent="0.25">
      <c r="A846">
        <v>1593</v>
      </c>
      <c r="B846" t="s">
        <v>521</v>
      </c>
      <c r="C846" t="s">
        <v>65</v>
      </c>
      <c r="D846">
        <v>2016</v>
      </c>
      <c r="E846">
        <v>17930</v>
      </c>
      <c r="F846">
        <v>22000</v>
      </c>
      <c r="G846">
        <v>60000</v>
      </c>
      <c r="H846" t="s">
        <v>34</v>
      </c>
      <c r="I846" t="s">
        <v>35</v>
      </c>
      <c r="J846" t="s">
        <v>66</v>
      </c>
      <c r="K846" t="s">
        <v>100</v>
      </c>
      <c r="L846" t="s">
        <v>126</v>
      </c>
      <c r="M846">
        <v>1</v>
      </c>
    </row>
    <row r="847" spans="1:13" x14ac:dyDescent="0.25">
      <c r="A847">
        <v>1585</v>
      </c>
      <c r="B847" t="s">
        <v>439</v>
      </c>
      <c r="C847" t="s">
        <v>68</v>
      </c>
      <c r="D847">
        <v>2017</v>
      </c>
      <c r="E847">
        <v>8358</v>
      </c>
      <c r="F847">
        <v>12000</v>
      </c>
      <c r="G847" t="s">
        <v>92</v>
      </c>
      <c r="H847" t="s">
        <v>34</v>
      </c>
      <c r="I847" t="s">
        <v>59</v>
      </c>
      <c r="J847" t="s">
        <v>66</v>
      </c>
      <c r="K847" t="s">
        <v>116</v>
      </c>
      <c r="L847" t="s">
        <v>45</v>
      </c>
    </row>
    <row r="848" spans="1:13" x14ac:dyDescent="0.25">
      <c r="A848">
        <v>1345</v>
      </c>
      <c r="B848" t="s">
        <v>853</v>
      </c>
      <c r="C848" t="s">
        <v>138</v>
      </c>
      <c r="D848">
        <v>2015</v>
      </c>
      <c r="E848">
        <v>12786</v>
      </c>
      <c r="F848">
        <v>18000</v>
      </c>
      <c r="G848">
        <v>120000</v>
      </c>
      <c r="J848" t="s">
        <v>43</v>
      </c>
      <c r="K848" t="s">
        <v>37</v>
      </c>
      <c r="L848" t="s">
        <v>109</v>
      </c>
    </row>
    <row r="849" spans="1:13" x14ac:dyDescent="0.25">
      <c r="A849">
        <v>1556</v>
      </c>
      <c r="B849" t="s">
        <v>854</v>
      </c>
      <c r="C849" t="s">
        <v>65</v>
      </c>
      <c r="D849">
        <v>2015</v>
      </c>
      <c r="E849" t="s">
        <v>855</v>
      </c>
      <c r="F849">
        <v>22000</v>
      </c>
      <c r="G849">
        <v>60000</v>
      </c>
      <c r="H849" t="s">
        <v>84</v>
      </c>
      <c r="I849" t="s">
        <v>35</v>
      </c>
      <c r="K849" t="s">
        <v>54</v>
      </c>
      <c r="L849" t="s">
        <v>90</v>
      </c>
      <c r="M849">
        <v>2</v>
      </c>
    </row>
    <row r="850" spans="1:13" x14ac:dyDescent="0.25">
      <c r="A850">
        <v>1186</v>
      </c>
      <c r="B850" t="s">
        <v>856</v>
      </c>
      <c r="C850" t="s">
        <v>51</v>
      </c>
      <c r="D850">
        <v>2021</v>
      </c>
      <c r="E850">
        <v>24321</v>
      </c>
      <c r="F850">
        <v>26000</v>
      </c>
      <c r="G850">
        <v>80000</v>
      </c>
      <c r="H850" t="s">
        <v>53</v>
      </c>
      <c r="I850" t="s">
        <v>42</v>
      </c>
      <c r="J850" t="s">
        <v>66</v>
      </c>
      <c r="K850" t="s">
        <v>73</v>
      </c>
      <c r="L850" t="s">
        <v>38</v>
      </c>
      <c r="M850">
        <v>2</v>
      </c>
    </row>
    <row r="851" spans="1:13" x14ac:dyDescent="0.25">
      <c r="A851">
        <v>1235</v>
      </c>
      <c r="B851" t="s">
        <v>544</v>
      </c>
      <c r="C851" t="s">
        <v>164</v>
      </c>
      <c r="E851">
        <v>3030</v>
      </c>
      <c r="F851">
        <v>7000</v>
      </c>
      <c r="G851" t="s">
        <v>121</v>
      </c>
      <c r="H851" t="s">
        <v>58</v>
      </c>
      <c r="I851" t="s">
        <v>35</v>
      </c>
      <c r="J851" t="s">
        <v>66</v>
      </c>
      <c r="K851" t="s">
        <v>77</v>
      </c>
      <c r="L851" t="s">
        <v>90</v>
      </c>
    </row>
    <row r="852" spans="1:13" x14ac:dyDescent="0.25">
      <c r="A852">
        <v>1399</v>
      </c>
      <c r="B852" t="s">
        <v>857</v>
      </c>
      <c r="C852" t="s">
        <v>103</v>
      </c>
      <c r="D852">
        <v>2017</v>
      </c>
      <c r="E852">
        <v>13717</v>
      </c>
      <c r="F852">
        <v>18000</v>
      </c>
      <c r="G852">
        <v>15000</v>
      </c>
      <c r="I852" t="s">
        <v>72</v>
      </c>
      <c r="J852" t="s">
        <v>66</v>
      </c>
      <c r="K852" t="s">
        <v>54</v>
      </c>
      <c r="L852" t="s">
        <v>126</v>
      </c>
      <c r="M852">
        <v>0</v>
      </c>
    </row>
    <row r="853" spans="1:13" x14ac:dyDescent="0.25">
      <c r="A853">
        <v>1060</v>
      </c>
      <c r="B853" t="s">
        <v>858</v>
      </c>
      <c r="C853" t="s">
        <v>65</v>
      </c>
      <c r="D853">
        <v>2022</v>
      </c>
      <c r="E853">
        <v>11978</v>
      </c>
      <c r="F853" t="s">
        <v>129</v>
      </c>
      <c r="G853">
        <v>25000</v>
      </c>
      <c r="H853" t="s">
        <v>58</v>
      </c>
      <c r="I853" t="s">
        <v>42</v>
      </c>
      <c r="J853" t="s">
        <v>43</v>
      </c>
      <c r="K853" t="s">
        <v>100</v>
      </c>
      <c r="L853" t="s">
        <v>98</v>
      </c>
      <c r="M853">
        <v>3</v>
      </c>
    </row>
    <row r="854" spans="1:13" x14ac:dyDescent="0.25">
      <c r="A854">
        <v>1143</v>
      </c>
      <c r="B854" t="s">
        <v>135</v>
      </c>
      <c r="C854" t="s">
        <v>47</v>
      </c>
      <c r="D854">
        <v>2017</v>
      </c>
      <c r="E854">
        <v>19147</v>
      </c>
      <c r="F854" t="s">
        <v>115</v>
      </c>
      <c r="G854">
        <v>15000</v>
      </c>
      <c r="H854" t="s">
        <v>58</v>
      </c>
      <c r="I854" t="s">
        <v>42</v>
      </c>
      <c r="J854" t="s">
        <v>43</v>
      </c>
      <c r="K854" t="s">
        <v>100</v>
      </c>
      <c r="L854" t="s">
        <v>45</v>
      </c>
      <c r="M854">
        <v>2</v>
      </c>
    </row>
    <row r="855" spans="1:13" x14ac:dyDescent="0.25">
      <c r="A855">
        <v>1105</v>
      </c>
      <c r="B855" t="s">
        <v>812</v>
      </c>
      <c r="C855" t="s">
        <v>40</v>
      </c>
      <c r="D855" t="s">
        <v>52</v>
      </c>
      <c r="E855">
        <v>5451</v>
      </c>
      <c r="F855">
        <v>9000</v>
      </c>
      <c r="G855" t="s">
        <v>121</v>
      </c>
      <c r="I855" t="s">
        <v>72</v>
      </c>
      <c r="J855" t="s">
        <v>36</v>
      </c>
      <c r="L855" t="s">
        <v>55</v>
      </c>
      <c r="M855">
        <v>1</v>
      </c>
    </row>
    <row r="856" spans="1:13" x14ac:dyDescent="0.25">
      <c r="A856">
        <v>1115</v>
      </c>
      <c r="B856" t="s">
        <v>859</v>
      </c>
      <c r="C856" t="s">
        <v>75</v>
      </c>
      <c r="D856">
        <v>2019</v>
      </c>
      <c r="E856">
        <v>13875</v>
      </c>
      <c r="F856">
        <v>18000</v>
      </c>
      <c r="G856" t="s">
        <v>76</v>
      </c>
      <c r="I856" t="s">
        <v>72</v>
      </c>
      <c r="J856" t="s">
        <v>66</v>
      </c>
      <c r="L856" t="s">
        <v>49</v>
      </c>
      <c r="M856">
        <v>0</v>
      </c>
    </row>
    <row r="857" spans="1:13" x14ac:dyDescent="0.25">
      <c r="A857">
        <v>1058</v>
      </c>
      <c r="B857" t="s">
        <v>860</v>
      </c>
      <c r="C857" t="s">
        <v>79</v>
      </c>
      <c r="D857">
        <v>2017</v>
      </c>
      <c r="E857">
        <v>26458</v>
      </c>
      <c r="F857">
        <v>31000</v>
      </c>
      <c r="G857">
        <v>120000</v>
      </c>
      <c r="H857" t="s">
        <v>69</v>
      </c>
      <c r="I857" t="s">
        <v>72</v>
      </c>
      <c r="K857" t="s">
        <v>44</v>
      </c>
      <c r="L857" t="s">
        <v>98</v>
      </c>
      <c r="M857">
        <v>2</v>
      </c>
    </row>
    <row r="858" spans="1:13" x14ac:dyDescent="0.25">
      <c r="A858">
        <v>1248</v>
      </c>
      <c r="B858" t="s">
        <v>861</v>
      </c>
      <c r="C858" t="s">
        <v>79</v>
      </c>
      <c r="D858">
        <v>2015</v>
      </c>
      <c r="E858">
        <v>159</v>
      </c>
      <c r="F858">
        <v>7000</v>
      </c>
      <c r="G858">
        <v>15000</v>
      </c>
      <c r="H858" t="s">
        <v>69</v>
      </c>
      <c r="I858" t="s">
        <v>35</v>
      </c>
      <c r="J858" t="s">
        <v>43</v>
      </c>
      <c r="L858" t="s">
        <v>98</v>
      </c>
    </row>
    <row r="859" spans="1:13" x14ac:dyDescent="0.25">
      <c r="A859">
        <v>1589</v>
      </c>
      <c r="B859" t="s">
        <v>862</v>
      </c>
      <c r="C859" t="s">
        <v>94</v>
      </c>
      <c r="D859">
        <v>2014</v>
      </c>
      <c r="E859" t="s">
        <v>863</v>
      </c>
      <c r="F859">
        <v>9000</v>
      </c>
      <c r="G859" t="s">
        <v>121</v>
      </c>
      <c r="H859" t="s">
        <v>34</v>
      </c>
      <c r="I859" t="s">
        <v>59</v>
      </c>
      <c r="J859" t="s">
        <v>36</v>
      </c>
      <c r="K859" t="s">
        <v>44</v>
      </c>
      <c r="L859" t="s">
        <v>55</v>
      </c>
      <c r="M859">
        <v>3</v>
      </c>
    </row>
    <row r="860" spans="1:13" x14ac:dyDescent="0.25">
      <c r="A860">
        <v>1580</v>
      </c>
      <c r="B860" t="s">
        <v>864</v>
      </c>
      <c r="C860" t="s">
        <v>68</v>
      </c>
      <c r="D860">
        <v>2020</v>
      </c>
      <c r="E860" t="s">
        <v>865</v>
      </c>
      <c r="F860">
        <v>26000</v>
      </c>
      <c r="G860">
        <v>120000</v>
      </c>
      <c r="H860" t="s">
        <v>69</v>
      </c>
      <c r="I860" t="s">
        <v>59</v>
      </c>
      <c r="J860" t="s">
        <v>36</v>
      </c>
      <c r="K860" t="s">
        <v>116</v>
      </c>
      <c r="L860" t="s">
        <v>45</v>
      </c>
      <c r="M860">
        <v>2</v>
      </c>
    </row>
    <row r="861" spans="1:13" x14ac:dyDescent="0.25">
      <c r="A861">
        <v>1332</v>
      </c>
      <c r="B861" t="s">
        <v>866</v>
      </c>
      <c r="C861" t="s">
        <v>79</v>
      </c>
      <c r="D861">
        <v>2019</v>
      </c>
      <c r="E861">
        <v>10347</v>
      </c>
      <c r="F861">
        <v>15000</v>
      </c>
      <c r="G861">
        <v>40000</v>
      </c>
      <c r="H861" t="s">
        <v>58</v>
      </c>
      <c r="I861" t="s">
        <v>42</v>
      </c>
      <c r="L861" t="s">
        <v>109</v>
      </c>
      <c r="M861">
        <v>3</v>
      </c>
    </row>
    <row r="862" spans="1:13" x14ac:dyDescent="0.25">
      <c r="A862">
        <v>1551</v>
      </c>
      <c r="B862" t="s">
        <v>867</v>
      </c>
      <c r="C862" t="s">
        <v>79</v>
      </c>
      <c r="D862">
        <v>2016</v>
      </c>
      <c r="E862">
        <v>27266</v>
      </c>
      <c r="F862">
        <v>31000</v>
      </c>
      <c r="G862" t="s">
        <v>76</v>
      </c>
      <c r="H862" t="s">
        <v>69</v>
      </c>
      <c r="I862" t="s">
        <v>35</v>
      </c>
      <c r="J862" t="s">
        <v>36</v>
      </c>
      <c r="K862" t="s">
        <v>48</v>
      </c>
      <c r="L862" t="s">
        <v>109</v>
      </c>
    </row>
    <row r="863" spans="1:13" x14ac:dyDescent="0.25">
      <c r="A863">
        <v>1497</v>
      </c>
      <c r="B863" t="s">
        <v>868</v>
      </c>
      <c r="C863" t="s">
        <v>133</v>
      </c>
      <c r="D863" t="s">
        <v>52</v>
      </c>
      <c r="E863">
        <v>9344</v>
      </c>
      <c r="F863">
        <v>12000</v>
      </c>
      <c r="G863">
        <v>60000</v>
      </c>
      <c r="H863" t="s">
        <v>58</v>
      </c>
      <c r="I863" t="s">
        <v>42</v>
      </c>
      <c r="J863" t="s">
        <v>96</v>
      </c>
      <c r="K863" t="s">
        <v>73</v>
      </c>
      <c r="L863" t="s">
        <v>49</v>
      </c>
      <c r="M863">
        <v>1</v>
      </c>
    </row>
    <row r="864" spans="1:13" x14ac:dyDescent="0.25">
      <c r="A864">
        <v>1407</v>
      </c>
      <c r="B864" t="s">
        <v>869</v>
      </c>
      <c r="C864" t="s">
        <v>51</v>
      </c>
      <c r="D864">
        <v>2022</v>
      </c>
      <c r="E864">
        <v>12591</v>
      </c>
      <c r="F864" t="s">
        <v>129</v>
      </c>
      <c r="G864" t="s">
        <v>121</v>
      </c>
      <c r="H864" t="s">
        <v>34</v>
      </c>
      <c r="I864" t="s">
        <v>72</v>
      </c>
      <c r="J864" t="s">
        <v>66</v>
      </c>
      <c r="K864" t="s">
        <v>44</v>
      </c>
      <c r="M864">
        <v>2</v>
      </c>
    </row>
    <row r="865" spans="1:13" x14ac:dyDescent="0.25">
      <c r="A865">
        <v>1084</v>
      </c>
      <c r="B865" t="s">
        <v>870</v>
      </c>
      <c r="C865" t="s">
        <v>94</v>
      </c>
      <c r="D865">
        <v>2016</v>
      </c>
      <c r="E865">
        <v>22593</v>
      </c>
      <c r="F865">
        <v>26000</v>
      </c>
      <c r="G865">
        <v>15000</v>
      </c>
      <c r="H865" t="s">
        <v>53</v>
      </c>
      <c r="J865" t="s">
        <v>66</v>
      </c>
      <c r="K865" t="s">
        <v>54</v>
      </c>
      <c r="L865" t="s">
        <v>126</v>
      </c>
      <c r="M865">
        <v>3</v>
      </c>
    </row>
    <row r="866" spans="1:13" x14ac:dyDescent="0.25">
      <c r="A866">
        <v>1148</v>
      </c>
      <c r="B866" t="s">
        <v>864</v>
      </c>
      <c r="C866" t="s">
        <v>119</v>
      </c>
      <c r="D866">
        <v>2017</v>
      </c>
      <c r="E866" t="s">
        <v>871</v>
      </c>
      <c r="F866">
        <v>15000</v>
      </c>
      <c r="G866" t="s">
        <v>33</v>
      </c>
      <c r="I866" t="s">
        <v>59</v>
      </c>
      <c r="J866" t="s">
        <v>43</v>
      </c>
    </row>
    <row r="867" spans="1:13" x14ac:dyDescent="0.25">
      <c r="A867">
        <v>1589</v>
      </c>
      <c r="B867" t="s">
        <v>872</v>
      </c>
      <c r="C867" t="s">
        <v>47</v>
      </c>
      <c r="D867">
        <v>2020</v>
      </c>
      <c r="E867">
        <v>6242</v>
      </c>
      <c r="F867">
        <v>12000</v>
      </c>
      <c r="G867">
        <v>80000</v>
      </c>
      <c r="H867" t="s">
        <v>63</v>
      </c>
      <c r="I867" t="s">
        <v>72</v>
      </c>
      <c r="J867" t="s">
        <v>43</v>
      </c>
      <c r="K867" t="s">
        <v>44</v>
      </c>
      <c r="L867" t="s">
        <v>109</v>
      </c>
      <c r="M867">
        <v>1</v>
      </c>
    </row>
    <row r="868" spans="1:13" x14ac:dyDescent="0.25">
      <c r="A868">
        <v>1329</v>
      </c>
      <c r="B868" t="s">
        <v>667</v>
      </c>
      <c r="C868" t="s">
        <v>61</v>
      </c>
      <c r="D868">
        <v>2022</v>
      </c>
      <c r="E868">
        <v>15322</v>
      </c>
      <c r="F868">
        <v>22000</v>
      </c>
      <c r="G868" t="s">
        <v>76</v>
      </c>
      <c r="H868" t="s">
        <v>58</v>
      </c>
      <c r="I868" t="s">
        <v>35</v>
      </c>
      <c r="K868" t="s">
        <v>116</v>
      </c>
      <c r="M868">
        <v>2</v>
      </c>
    </row>
    <row r="869" spans="1:13" x14ac:dyDescent="0.25">
      <c r="A869">
        <v>1229</v>
      </c>
      <c r="B869" t="s">
        <v>688</v>
      </c>
      <c r="C869" t="s">
        <v>32</v>
      </c>
      <c r="E869">
        <v>11147</v>
      </c>
      <c r="F869">
        <v>15000</v>
      </c>
      <c r="G869" t="s">
        <v>108</v>
      </c>
      <c r="I869" t="s">
        <v>59</v>
      </c>
      <c r="K869" t="s">
        <v>48</v>
      </c>
      <c r="L869" t="s">
        <v>49</v>
      </c>
      <c r="M869">
        <v>1</v>
      </c>
    </row>
    <row r="870" spans="1:13" x14ac:dyDescent="0.25">
      <c r="A870">
        <v>1355</v>
      </c>
      <c r="B870" t="s">
        <v>212</v>
      </c>
      <c r="C870" t="s">
        <v>40</v>
      </c>
      <c r="D870">
        <v>2022</v>
      </c>
      <c r="E870">
        <v>24673</v>
      </c>
      <c r="F870">
        <v>31000</v>
      </c>
      <c r="G870" t="s">
        <v>121</v>
      </c>
      <c r="H870" t="s">
        <v>63</v>
      </c>
      <c r="I870" t="s">
        <v>35</v>
      </c>
      <c r="J870" t="s">
        <v>96</v>
      </c>
      <c r="K870" t="s">
        <v>54</v>
      </c>
      <c r="L870" t="s">
        <v>126</v>
      </c>
    </row>
    <row r="871" spans="1:13" x14ac:dyDescent="0.25">
      <c r="A871">
        <v>1317</v>
      </c>
      <c r="B871" t="s">
        <v>873</v>
      </c>
      <c r="C871" t="s">
        <v>133</v>
      </c>
      <c r="D871">
        <v>2020</v>
      </c>
      <c r="E871">
        <v>9238</v>
      </c>
      <c r="F871">
        <v>12000</v>
      </c>
      <c r="G871">
        <v>60000</v>
      </c>
      <c r="H871" t="s">
        <v>34</v>
      </c>
      <c r="I871" t="s">
        <v>42</v>
      </c>
      <c r="K871" t="s">
        <v>44</v>
      </c>
      <c r="L871" t="s">
        <v>126</v>
      </c>
    </row>
    <row r="872" spans="1:13" x14ac:dyDescent="0.25">
      <c r="A872">
        <v>1542</v>
      </c>
      <c r="B872" t="s">
        <v>245</v>
      </c>
      <c r="C872" t="s">
        <v>68</v>
      </c>
      <c r="D872">
        <v>2019</v>
      </c>
      <c r="E872">
        <v>2972</v>
      </c>
      <c r="F872">
        <v>9000</v>
      </c>
      <c r="G872" t="s">
        <v>76</v>
      </c>
      <c r="H872" t="s">
        <v>58</v>
      </c>
      <c r="I872" t="s">
        <v>42</v>
      </c>
      <c r="J872" t="s">
        <v>36</v>
      </c>
      <c r="K872" t="s">
        <v>116</v>
      </c>
      <c r="L872" t="s">
        <v>49</v>
      </c>
      <c r="M872">
        <v>2</v>
      </c>
    </row>
    <row r="873" spans="1:13" x14ac:dyDescent="0.25">
      <c r="A873">
        <v>1417</v>
      </c>
      <c r="B873" t="s">
        <v>874</v>
      </c>
      <c r="C873" t="s">
        <v>75</v>
      </c>
      <c r="D873">
        <v>2015</v>
      </c>
      <c r="E873">
        <v>19258</v>
      </c>
      <c r="F873">
        <v>26000</v>
      </c>
      <c r="G873">
        <v>80000</v>
      </c>
      <c r="H873" t="s">
        <v>58</v>
      </c>
      <c r="I873" t="s">
        <v>35</v>
      </c>
      <c r="J873" t="s">
        <v>96</v>
      </c>
      <c r="K873" t="s">
        <v>44</v>
      </c>
      <c r="L873" t="s">
        <v>90</v>
      </c>
      <c r="M873">
        <v>3</v>
      </c>
    </row>
    <row r="874" spans="1:13" x14ac:dyDescent="0.25">
      <c r="A874">
        <v>1205</v>
      </c>
      <c r="B874" t="s">
        <v>875</v>
      </c>
      <c r="C874" t="s">
        <v>65</v>
      </c>
      <c r="D874">
        <v>2021</v>
      </c>
      <c r="E874">
        <v>5866</v>
      </c>
      <c r="F874">
        <v>9000</v>
      </c>
      <c r="G874">
        <v>25000</v>
      </c>
      <c r="H874" t="s">
        <v>63</v>
      </c>
      <c r="I874" t="s">
        <v>59</v>
      </c>
      <c r="J874" t="s">
        <v>36</v>
      </c>
      <c r="L874" t="s">
        <v>45</v>
      </c>
      <c r="M874">
        <v>0</v>
      </c>
    </row>
    <row r="875" spans="1:13" x14ac:dyDescent="0.25">
      <c r="A875">
        <v>1172</v>
      </c>
      <c r="B875" t="s">
        <v>240</v>
      </c>
      <c r="C875" t="s">
        <v>68</v>
      </c>
      <c r="D875">
        <v>2022</v>
      </c>
      <c r="E875" t="s">
        <v>876</v>
      </c>
      <c r="F875">
        <v>7000</v>
      </c>
      <c r="G875" t="s">
        <v>108</v>
      </c>
      <c r="H875" t="s">
        <v>63</v>
      </c>
      <c r="I875" t="s">
        <v>59</v>
      </c>
      <c r="J875" t="s">
        <v>96</v>
      </c>
      <c r="K875" t="s">
        <v>73</v>
      </c>
      <c r="L875" t="s">
        <v>109</v>
      </c>
      <c r="M875">
        <v>0</v>
      </c>
    </row>
    <row r="876" spans="1:13" x14ac:dyDescent="0.25">
      <c r="A876">
        <v>1353</v>
      </c>
      <c r="B876" t="s">
        <v>823</v>
      </c>
      <c r="C876" t="s">
        <v>57</v>
      </c>
      <c r="D876">
        <v>2017</v>
      </c>
      <c r="E876" t="s">
        <v>877</v>
      </c>
      <c r="F876">
        <v>31000</v>
      </c>
      <c r="G876" t="s">
        <v>33</v>
      </c>
      <c r="H876" t="s">
        <v>63</v>
      </c>
      <c r="J876" t="s">
        <v>66</v>
      </c>
      <c r="K876" t="s">
        <v>116</v>
      </c>
      <c r="L876" t="s">
        <v>90</v>
      </c>
    </row>
    <row r="877" spans="1:13" x14ac:dyDescent="0.25">
      <c r="A877">
        <v>1123</v>
      </c>
      <c r="B877" t="s">
        <v>678</v>
      </c>
      <c r="C877" t="s">
        <v>164</v>
      </c>
      <c r="D877">
        <v>2021</v>
      </c>
      <c r="E877">
        <v>5683</v>
      </c>
      <c r="F877">
        <v>7000</v>
      </c>
      <c r="G877">
        <v>80000</v>
      </c>
      <c r="H877" t="s">
        <v>63</v>
      </c>
      <c r="I877" t="s">
        <v>42</v>
      </c>
      <c r="L877" t="s">
        <v>90</v>
      </c>
      <c r="M877">
        <v>0</v>
      </c>
    </row>
    <row r="878" spans="1:13" x14ac:dyDescent="0.25">
      <c r="A878">
        <v>1561</v>
      </c>
      <c r="B878" t="s">
        <v>243</v>
      </c>
      <c r="C878" t="s">
        <v>133</v>
      </c>
      <c r="D878">
        <v>2017</v>
      </c>
      <c r="E878">
        <v>8237</v>
      </c>
      <c r="F878">
        <v>12000</v>
      </c>
      <c r="G878">
        <v>80000</v>
      </c>
      <c r="H878" t="s">
        <v>84</v>
      </c>
      <c r="I878" t="s">
        <v>72</v>
      </c>
      <c r="J878" t="s">
        <v>66</v>
      </c>
      <c r="K878" t="s">
        <v>44</v>
      </c>
      <c r="L878" t="s">
        <v>90</v>
      </c>
      <c r="M878">
        <v>1</v>
      </c>
    </row>
    <row r="879" spans="1:13" x14ac:dyDescent="0.25">
      <c r="A879">
        <v>1491</v>
      </c>
      <c r="B879" t="s">
        <v>878</v>
      </c>
      <c r="C879" t="s">
        <v>133</v>
      </c>
      <c r="D879">
        <v>2017</v>
      </c>
      <c r="E879">
        <v>22065</v>
      </c>
      <c r="F879">
        <v>26000</v>
      </c>
      <c r="G879">
        <v>15000</v>
      </c>
      <c r="H879" t="s">
        <v>84</v>
      </c>
      <c r="J879" t="s">
        <v>36</v>
      </c>
      <c r="K879" t="s">
        <v>44</v>
      </c>
    </row>
    <row r="880" spans="1:13" x14ac:dyDescent="0.25">
      <c r="A880">
        <v>1458</v>
      </c>
      <c r="B880" t="s">
        <v>879</v>
      </c>
      <c r="C880" t="s">
        <v>94</v>
      </c>
      <c r="D880">
        <v>2022</v>
      </c>
      <c r="E880">
        <v>11376</v>
      </c>
      <c r="F880">
        <v>15000</v>
      </c>
      <c r="G880">
        <v>40000</v>
      </c>
      <c r="H880" t="s">
        <v>34</v>
      </c>
      <c r="I880" t="s">
        <v>59</v>
      </c>
      <c r="J880" t="s">
        <v>43</v>
      </c>
      <c r="K880" t="s">
        <v>37</v>
      </c>
      <c r="L880" t="s">
        <v>55</v>
      </c>
      <c r="M880">
        <v>0</v>
      </c>
    </row>
    <row r="881" spans="1:13" x14ac:dyDescent="0.25">
      <c r="A881">
        <v>1313</v>
      </c>
      <c r="B881" t="s">
        <v>880</v>
      </c>
      <c r="C881" t="s">
        <v>133</v>
      </c>
      <c r="D881">
        <v>2015</v>
      </c>
      <c r="E881">
        <v>17035</v>
      </c>
      <c r="F881">
        <v>22000</v>
      </c>
      <c r="G881">
        <v>80000</v>
      </c>
      <c r="H881" t="s">
        <v>41</v>
      </c>
      <c r="J881" t="s">
        <v>36</v>
      </c>
      <c r="K881" t="s">
        <v>77</v>
      </c>
      <c r="L881" t="s">
        <v>49</v>
      </c>
      <c r="M881">
        <v>2</v>
      </c>
    </row>
    <row r="882" spans="1:13" x14ac:dyDescent="0.25">
      <c r="A882">
        <v>1028</v>
      </c>
      <c r="B882" t="s">
        <v>881</v>
      </c>
      <c r="C882" t="s">
        <v>57</v>
      </c>
      <c r="D882" t="s">
        <v>52</v>
      </c>
      <c r="E882" t="s">
        <v>107</v>
      </c>
      <c r="F882">
        <v>22000</v>
      </c>
      <c r="G882" t="s">
        <v>108</v>
      </c>
      <c r="H882" t="s">
        <v>41</v>
      </c>
      <c r="I882" t="s">
        <v>59</v>
      </c>
      <c r="L882" t="s">
        <v>90</v>
      </c>
    </row>
    <row r="883" spans="1:13" x14ac:dyDescent="0.25">
      <c r="A883">
        <v>1190</v>
      </c>
      <c r="B883" t="s">
        <v>361</v>
      </c>
      <c r="C883" t="s">
        <v>79</v>
      </c>
      <c r="D883" t="s">
        <v>52</v>
      </c>
      <c r="E883">
        <v>5192</v>
      </c>
      <c r="F883">
        <v>7000</v>
      </c>
      <c r="G883" t="s">
        <v>33</v>
      </c>
      <c r="H883" t="s">
        <v>53</v>
      </c>
      <c r="I883" t="s">
        <v>59</v>
      </c>
      <c r="J883" t="s">
        <v>66</v>
      </c>
      <c r="K883" t="s">
        <v>73</v>
      </c>
      <c r="L883" t="s">
        <v>126</v>
      </c>
      <c r="M883">
        <v>3</v>
      </c>
    </row>
    <row r="884" spans="1:13" x14ac:dyDescent="0.25">
      <c r="A884">
        <v>1181</v>
      </c>
      <c r="B884" t="s">
        <v>830</v>
      </c>
      <c r="C884" t="s">
        <v>47</v>
      </c>
      <c r="D884">
        <v>2015</v>
      </c>
      <c r="E884">
        <v>15031</v>
      </c>
      <c r="F884">
        <v>18000</v>
      </c>
      <c r="G884">
        <v>15000</v>
      </c>
      <c r="H884" t="s">
        <v>34</v>
      </c>
      <c r="I884" t="s">
        <v>35</v>
      </c>
      <c r="J884" t="s">
        <v>66</v>
      </c>
      <c r="K884" t="s">
        <v>100</v>
      </c>
      <c r="L884" t="s">
        <v>38</v>
      </c>
    </row>
    <row r="885" spans="1:13" x14ac:dyDescent="0.25">
      <c r="A885">
        <v>1419</v>
      </c>
      <c r="B885" t="s">
        <v>555</v>
      </c>
      <c r="C885" t="s">
        <v>65</v>
      </c>
      <c r="D885">
        <v>2020</v>
      </c>
      <c r="E885">
        <v>11648</v>
      </c>
      <c r="F885">
        <v>18000</v>
      </c>
      <c r="G885">
        <v>25000</v>
      </c>
      <c r="H885" t="s">
        <v>69</v>
      </c>
      <c r="I885" t="s">
        <v>42</v>
      </c>
      <c r="J885" t="s">
        <v>43</v>
      </c>
      <c r="K885" t="s">
        <v>54</v>
      </c>
      <c r="L885" t="s">
        <v>126</v>
      </c>
      <c r="M885">
        <v>3</v>
      </c>
    </row>
    <row r="886" spans="1:13" x14ac:dyDescent="0.25">
      <c r="A886">
        <v>1072</v>
      </c>
      <c r="B886" t="s">
        <v>851</v>
      </c>
      <c r="C886" t="s">
        <v>68</v>
      </c>
      <c r="D886">
        <v>2021</v>
      </c>
      <c r="E886">
        <v>5352</v>
      </c>
      <c r="F886" t="s">
        <v>204</v>
      </c>
      <c r="G886">
        <v>120000</v>
      </c>
      <c r="I886" t="s">
        <v>35</v>
      </c>
      <c r="J886" t="s">
        <v>66</v>
      </c>
      <c r="L886" t="s">
        <v>109</v>
      </c>
      <c r="M886">
        <v>1</v>
      </c>
    </row>
    <row r="887" spans="1:13" x14ac:dyDescent="0.25">
      <c r="A887">
        <v>1291</v>
      </c>
      <c r="B887" t="s">
        <v>882</v>
      </c>
      <c r="C887" t="s">
        <v>65</v>
      </c>
      <c r="D887" t="s">
        <v>52</v>
      </c>
      <c r="E887">
        <v>20607</v>
      </c>
      <c r="F887">
        <v>26000</v>
      </c>
      <c r="G887">
        <v>40000</v>
      </c>
      <c r="H887" t="s">
        <v>34</v>
      </c>
      <c r="I887" t="s">
        <v>42</v>
      </c>
      <c r="J887" t="s">
        <v>36</v>
      </c>
      <c r="L887" t="s">
        <v>55</v>
      </c>
      <c r="M887">
        <v>1</v>
      </c>
    </row>
    <row r="888" spans="1:13" x14ac:dyDescent="0.25">
      <c r="A888">
        <v>1114</v>
      </c>
      <c r="B888" t="s">
        <v>280</v>
      </c>
      <c r="C888" t="s">
        <v>164</v>
      </c>
      <c r="D888">
        <v>2022</v>
      </c>
      <c r="E888">
        <v>2078</v>
      </c>
      <c r="F888">
        <v>7000</v>
      </c>
      <c r="G888" t="s">
        <v>92</v>
      </c>
      <c r="H888" t="s">
        <v>84</v>
      </c>
      <c r="I888" t="s">
        <v>42</v>
      </c>
      <c r="J888" t="s">
        <v>43</v>
      </c>
      <c r="K888" t="s">
        <v>44</v>
      </c>
      <c r="L888" t="s">
        <v>55</v>
      </c>
      <c r="M888">
        <v>1</v>
      </c>
    </row>
    <row r="889" spans="1:13" x14ac:dyDescent="0.25">
      <c r="A889">
        <v>1215</v>
      </c>
      <c r="B889" t="s">
        <v>633</v>
      </c>
      <c r="C889" t="s">
        <v>138</v>
      </c>
      <c r="E889">
        <v>1875</v>
      </c>
      <c r="F889" t="s">
        <v>147</v>
      </c>
      <c r="G889" t="s">
        <v>108</v>
      </c>
      <c r="H889" t="s">
        <v>58</v>
      </c>
      <c r="I889" t="s">
        <v>72</v>
      </c>
      <c r="J889" t="s">
        <v>96</v>
      </c>
      <c r="K889" t="s">
        <v>100</v>
      </c>
      <c r="L889" t="s">
        <v>109</v>
      </c>
      <c r="M889">
        <v>3</v>
      </c>
    </row>
    <row r="890" spans="1:13" x14ac:dyDescent="0.25">
      <c r="A890">
        <v>1298</v>
      </c>
      <c r="B890" t="s">
        <v>736</v>
      </c>
      <c r="C890" t="s">
        <v>47</v>
      </c>
      <c r="D890" t="s">
        <v>52</v>
      </c>
      <c r="E890">
        <v>2887</v>
      </c>
      <c r="F890">
        <v>7000</v>
      </c>
      <c r="G890">
        <v>60000</v>
      </c>
      <c r="H890" t="s">
        <v>63</v>
      </c>
      <c r="I890" t="s">
        <v>59</v>
      </c>
      <c r="J890" t="s">
        <v>36</v>
      </c>
      <c r="K890" t="s">
        <v>116</v>
      </c>
      <c r="L890" t="s">
        <v>49</v>
      </c>
      <c r="M890">
        <v>1</v>
      </c>
    </row>
    <row r="891" spans="1:13" x14ac:dyDescent="0.25">
      <c r="A891">
        <v>1058</v>
      </c>
      <c r="B891" t="s">
        <v>883</v>
      </c>
      <c r="C891" t="s">
        <v>51</v>
      </c>
      <c r="D891">
        <v>2022</v>
      </c>
      <c r="E891" t="s">
        <v>884</v>
      </c>
      <c r="F891" t="s">
        <v>204</v>
      </c>
      <c r="G891">
        <v>25000</v>
      </c>
      <c r="H891" t="s">
        <v>41</v>
      </c>
      <c r="J891" t="s">
        <v>66</v>
      </c>
      <c r="K891" t="s">
        <v>44</v>
      </c>
      <c r="L891" t="s">
        <v>109</v>
      </c>
      <c r="M891">
        <v>0</v>
      </c>
    </row>
    <row r="892" spans="1:13" x14ac:dyDescent="0.25">
      <c r="A892">
        <v>1576</v>
      </c>
      <c r="B892" t="s">
        <v>885</v>
      </c>
      <c r="C892" t="s">
        <v>164</v>
      </c>
      <c r="D892">
        <v>2015</v>
      </c>
      <c r="E892" t="s">
        <v>886</v>
      </c>
      <c r="F892">
        <v>15000</v>
      </c>
      <c r="G892">
        <v>15000</v>
      </c>
      <c r="H892" t="s">
        <v>53</v>
      </c>
      <c r="I892" t="s">
        <v>35</v>
      </c>
      <c r="L892" t="s">
        <v>49</v>
      </c>
      <c r="M892">
        <v>0</v>
      </c>
    </row>
    <row r="893" spans="1:13" x14ac:dyDescent="0.25">
      <c r="A893">
        <v>1460</v>
      </c>
      <c r="B893" t="s">
        <v>207</v>
      </c>
      <c r="C893" t="s">
        <v>133</v>
      </c>
      <c r="E893">
        <v>19384</v>
      </c>
      <c r="F893">
        <v>26000</v>
      </c>
      <c r="G893">
        <v>40000</v>
      </c>
      <c r="H893" t="s">
        <v>69</v>
      </c>
      <c r="I893" t="s">
        <v>72</v>
      </c>
      <c r="J893" t="s">
        <v>43</v>
      </c>
      <c r="K893" t="s">
        <v>116</v>
      </c>
      <c r="L893" t="s">
        <v>90</v>
      </c>
      <c r="M893">
        <v>3</v>
      </c>
    </row>
    <row r="894" spans="1:13" x14ac:dyDescent="0.25">
      <c r="A894">
        <v>1397</v>
      </c>
      <c r="B894" t="s">
        <v>509</v>
      </c>
      <c r="C894" t="s">
        <v>79</v>
      </c>
      <c r="D894">
        <v>2017</v>
      </c>
      <c r="E894">
        <v>5781</v>
      </c>
      <c r="F894">
        <v>12000</v>
      </c>
      <c r="G894">
        <v>40000</v>
      </c>
      <c r="H894" t="s">
        <v>41</v>
      </c>
      <c r="I894" t="s">
        <v>59</v>
      </c>
      <c r="J894" t="s">
        <v>96</v>
      </c>
      <c r="K894" t="s">
        <v>100</v>
      </c>
      <c r="L894" t="s">
        <v>126</v>
      </c>
      <c r="M894">
        <v>3</v>
      </c>
    </row>
    <row r="895" spans="1:13" x14ac:dyDescent="0.25">
      <c r="A895">
        <v>1213</v>
      </c>
      <c r="B895" t="s">
        <v>206</v>
      </c>
      <c r="C895" t="s">
        <v>103</v>
      </c>
      <c r="D895">
        <v>2022</v>
      </c>
      <c r="E895">
        <v>12976</v>
      </c>
      <c r="F895">
        <v>15000</v>
      </c>
      <c r="G895">
        <v>60000</v>
      </c>
      <c r="I895" t="s">
        <v>59</v>
      </c>
      <c r="J895" t="s">
        <v>43</v>
      </c>
      <c r="K895" t="s">
        <v>116</v>
      </c>
      <c r="L895" t="s">
        <v>109</v>
      </c>
      <c r="M895">
        <v>2</v>
      </c>
    </row>
    <row r="896" spans="1:13" x14ac:dyDescent="0.25">
      <c r="A896">
        <v>1210</v>
      </c>
      <c r="B896" t="s">
        <v>395</v>
      </c>
      <c r="C896" t="s">
        <v>61</v>
      </c>
      <c r="D896" t="s">
        <v>52</v>
      </c>
      <c r="E896">
        <v>19075</v>
      </c>
      <c r="F896">
        <v>26000</v>
      </c>
      <c r="G896">
        <v>25000</v>
      </c>
      <c r="H896" t="s">
        <v>63</v>
      </c>
      <c r="I896" t="s">
        <v>59</v>
      </c>
      <c r="K896" t="s">
        <v>48</v>
      </c>
      <c r="L896" t="s">
        <v>109</v>
      </c>
      <c r="M896">
        <v>2</v>
      </c>
    </row>
    <row r="897" spans="1:13" x14ac:dyDescent="0.25">
      <c r="A897">
        <v>1463</v>
      </c>
      <c r="B897" t="s">
        <v>887</v>
      </c>
      <c r="C897" t="s">
        <v>47</v>
      </c>
      <c r="D897">
        <v>2020</v>
      </c>
      <c r="E897">
        <v>10110</v>
      </c>
      <c r="F897">
        <v>12000</v>
      </c>
      <c r="G897">
        <v>60000</v>
      </c>
      <c r="H897" t="s">
        <v>34</v>
      </c>
      <c r="I897" t="s">
        <v>35</v>
      </c>
      <c r="J897" t="s">
        <v>66</v>
      </c>
      <c r="K897" t="s">
        <v>77</v>
      </c>
      <c r="L897" t="s">
        <v>109</v>
      </c>
    </row>
    <row r="898" spans="1:13" x14ac:dyDescent="0.25">
      <c r="A898">
        <v>1453</v>
      </c>
      <c r="B898" t="s">
        <v>551</v>
      </c>
      <c r="C898" t="s">
        <v>57</v>
      </c>
      <c r="D898" t="s">
        <v>52</v>
      </c>
      <c r="E898" t="s">
        <v>888</v>
      </c>
      <c r="F898">
        <v>26000</v>
      </c>
      <c r="G898">
        <v>80000</v>
      </c>
      <c r="H898" t="s">
        <v>58</v>
      </c>
      <c r="I898" t="s">
        <v>72</v>
      </c>
      <c r="K898" t="s">
        <v>100</v>
      </c>
      <c r="L898" t="s">
        <v>98</v>
      </c>
    </row>
    <row r="899" spans="1:13" x14ac:dyDescent="0.25">
      <c r="A899">
        <v>1133</v>
      </c>
      <c r="B899" t="s">
        <v>318</v>
      </c>
      <c r="C899" t="s">
        <v>47</v>
      </c>
      <c r="D899">
        <v>2016</v>
      </c>
      <c r="E899">
        <v>21162</v>
      </c>
      <c r="F899">
        <v>26000</v>
      </c>
      <c r="G899">
        <v>40000</v>
      </c>
      <c r="H899" t="s">
        <v>41</v>
      </c>
      <c r="I899" t="s">
        <v>35</v>
      </c>
      <c r="J899" t="s">
        <v>36</v>
      </c>
      <c r="K899" t="s">
        <v>37</v>
      </c>
      <c r="L899" t="s">
        <v>126</v>
      </c>
      <c r="M899">
        <v>0</v>
      </c>
    </row>
    <row r="900" spans="1:13" x14ac:dyDescent="0.25">
      <c r="A900">
        <v>1154</v>
      </c>
      <c r="B900" t="s">
        <v>634</v>
      </c>
      <c r="C900" t="s">
        <v>68</v>
      </c>
      <c r="D900">
        <v>2019</v>
      </c>
      <c r="E900">
        <v>5078</v>
      </c>
      <c r="F900">
        <v>9000</v>
      </c>
      <c r="G900" t="s">
        <v>130</v>
      </c>
      <c r="H900" t="s">
        <v>63</v>
      </c>
      <c r="J900" t="s">
        <v>43</v>
      </c>
      <c r="K900" t="s">
        <v>116</v>
      </c>
      <c r="L900" t="s">
        <v>109</v>
      </c>
      <c r="M900">
        <v>1</v>
      </c>
    </row>
    <row r="901" spans="1:13" x14ac:dyDescent="0.25">
      <c r="A901">
        <v>1167</v>
      </c>
      <c r="B901" t="s">
        <v>889</v>
      </c>
      <c r="C901" t="s">
        <v>51</v>
      </c>
      <c r="D901">
        <v>2018</v>
      </c>
      <c r="E901">
        <v>6691</v>
      </c>
      <c r="F901">
        <v>9000</v>
      </c>
      <c r="G901">
        <v>80000</v>
      </c>
      <c r="H901" t="s">
        <v>58</v>
      </c>
      <c r="K901" t="s">
        <v>116</v>
      </c>
      <c r="L901" t="s">
        <v>45</v>
      </c>
      <c r="M901">
        <v>1</v>
      </c>
    </row>
    <row r="902" spans="1:13" x14ac:dyDescent="0.25">
      <c r="A902">
        <v>1138</v>
      </c>
      <c r="B902" t="s">
        <v>890</v>
      </c>
      <c r="C902" t="s">
        <v>32</v>
      </c>
      <c r="D902" t="s">
        <v>52</v>
      </c>
      <c r="E902">
        <v>10205</v>
      </c>
      <c r="F902">
        <v>12000</v>
      </c>
      <c r="G902">
        <v>60000</v>
      </c>
      <c r="H902" t="s">
        <v>41</v>
      </c>
      <c r="J902" t="s">
        <v>96</v>
      </c>
      <c r="K902" t="s">
        <v>116</v>
      </c>
      <c r="L902" t="s">
        <v>90</v>
      </c>
      <c r="M902">
        <v>3</v>
      </c>
    </row>
    <row r="903" spans="1:13" x14ac:dyDescent="0.25">
      <c r="A903">
        <v>1070</v>
      </c>
      <c r="B903" t="s">
        <v>891</v>
      </c>
      <c r="C903" t="s">
        <v>40</v>
      </c>
      <c r="D903">
        <v>2021</v>
      </c>
      <c r="E903" t="s">
        <v>892</v>
      </c>
      <c r="F903">
        <v>22000</v>
      </c>
      <c r="G903">
        <v>40000</v>
      </c>
      <c r="H903" t="s">
        <v>58</v>
      </c>
      <c r="I903" t="s">
        <v>35</v>
      </c>
      <c r="J903" t="s">
        <v>66</v>
      </c>
      <c r="K903" t="s">
        <v>44</v>
      </c>
      <c r="L903" t="s">
        <v>45</v>
      </c>
      <c r="M903">
        <v>0</v>
      </c>
    </row>
    <row r="904" spans="1:13" x14ac:dyDescent="0.25">
      <c r="A904">
        <v>1173</v>
      </c>
      <c r="B904" t="s">
        <v>893</v>
      </c>
      <c r="C904" t="s">
        <v>79</v>
      </c>
      <c r="E904">
        <v>24906</v>
      </c>
      <c r="F904">
        <v>31000</v>
      </c>
      <c r="G904">
        <v>15000</v>
      </c>
      <c r="H904" t="s">
        <v>41</v>
      </c>
      <c r="I904" t="s">
        <v>59</v>
      </c>
      <c r="J904" t="s">
        <v>96</v>
      </c>
      <c r="K904" t="s">
        <v>100</v>
      </c>
      <c r="L904" t="s">
        <v>126</v>
      </c>
      <c r="M904">
        <v>1</v>
      </c>
    </row>
    <row r="905" spans="1:13" x14ac:dyDescent="0.25">
      <c r="A905">
        <v>1279</v>
      </c>
      <c r="B905" t="s">
        <v>127</v>
      </c>
      <c r="C905" t="s">
        <v>51</v>
      </c>
      <c r="D905">
        <v>2018</v>
      </c>
      <c r="E905">
        <v>27236</v>
      </c>
      <c r="F905">
        <v>31000</v>
      </c>
      <c r="G905">
        <v>60000</v>
      </c>
      <c r="H905" t="s">
        <v>84</v>
      </c>
      <c r="I905" t="s">
        <v>72</v>
      </c>
      <c r="K905" t="s">
        <v>73</v>
      </c>
      <c r="L905" t="s">
        <v>90</v>
      </c>
    </row>
    <row r="906" spans="1:13" x14ac:dyDescent="0.25">
      <c r="A906">
        <v>1481</v>
      </c>
      <c r="B906" t="s">
        <v>236</v>
      </c>
      <c r="C906" t="s">
        <v>40</v>
      </c>
      <c r="E906">
        <v>2882</v>
      </c>
      <c r="F906" t="s">
        <v>147</v>
      </c>
      <c r="G906">
        <v>40000</v>
      </c>
      <c r="H906" t="s">
        <v>34</v>
      </c>
      <c r="I906" t="s">
        <v>72</v>
      </c>
      <c r="J906" t="s">
        <v>96</v>
      </c>
      <c r="L906" t="s">
        <v>98</v>
      </c>
      <c r="M906">
        <v>3</v>
      </c>
    </row>
    <row r="907" spans="1:13" x14ac:dyDescent="0.25">
      <c r="A907">
        <v>1197</v>
      </c>
      <c r="B907" t="s">
        <v>894</v>
      </c>
      <c r="C907" t="s">
        <v>61</v>
      </c>
      <c r="D907">
        <v>2016</v>
      </c>
      <c r="E907">
        <v>18858</v>
      </c>
      <c r="F907">
        <v>22000</v>
      </c>
      <c r="G907">
        <v>120000</v>
      </c>
      <c r="H907" t="s">
        <v>84</v>
      </c>
      <c r="I907" t="s">
        <v>72</v>
      </c>
      <c r="K907" t="s">
        <v>37</v>
      </c>
      <c r="L907" t="s">
        <v>126</v>
      </c>
      <c r="M907">
        <v>1</v>
      </c>
    </row>
    <row r="908" spans="1:13" x14ac:dyDescent="0.25">
      <c r="A908">
        <v>1157</v>
      </c>
      <c r="B908" t="s">
        <v>895</v>
      </c>
      <c r="C908" t="s">
        <v>32</v>
      </c>
      <c r="D908">
        <v>2017</v>
      </c>
      <c r="E908">
        <v>4942</v>
      </c>
      <c r="F908">
        <v>9000</v>
      </c>
      <c r="G908" t="s">
        <v>33</v>
      </c>
      <c r="H908" t="s">
        <v>84</v>
      </c>
      <c r="I908" t="s">
        <v>35</v>
      </c>
      <c r="J908" t="s">
        <v>36</v>
      </c>
      <c r="K908" t="s">
        <v>44</v>
      </c>
      <c r="L908" t="s">
        <v>49</v>
      </c>
      <c r="M908">
        <v>1</v>
      </c>
    </row>
    <row r="909" spans="1:13" x14ac:dyDescent="0.25">
      <c r="A909">
        <v>1057</v>
      </c>
      <c r="B909" t="s">
        <v>896</v>
      </c>
      <c r="C909" t="s">
        <v>138</v>
      </c>
      <c r="D909" t="s">
        <v>52</v>
      </c>
      <c r="E909">
        <v>20134</v>
      </c>
      <c r="F909">
        <v>22000</v>
      </c>
      <c r="G909">
        <v>120000</v>
      </c>
      <c r="H909" t="s">
        <v>84</v>
      </c>
      <c r="I909" t="s">
        <v>42</v>
      </c>
      <c r="J909" t="s">
        <v>36</v>
      </c>
      <c r="K909" t="s">
        <v>37</v>
      </c>
      <c r="L909" t="s">
        <v>126</v>
      </c>
      <c r="M909">
        <v>3</v>
      </c>
    </row>
    <row r="910" spans="1:13" x14ac:dyDescent="0.25">
      <c r="A910">
        <v>1328</v>
      </c>
      <c r="B910" t="s">
        <v>207</v>
      </c>
      <c r="C910" t="s">
        <v>119</v>
      </c>
      <c r="D910">
        <v>2017</v>
      </c>
      <c r="E910">
        <v>5350</v>
      </c>
      <c r="F910">
        <v>7000</v>
      </c>
      <c r="G910">
        <v>120000</v>
      </c>
      <c r="J910" t="s">
        <v>66</v>
      </c>
      <c r="K910" t="s">
        <v>116</v>
      </c>
      <c r="L910" t="s">
        <v>45</v>
      </c>
    </row>
    <row r="911" spans="1:13" x14ac:dyDescent="0.25">
      <c r="A911">
        <v>1180</v>
      </c>
      <c r="B911" t="s">
        <v>897</v>
      </c>
      <c r="C911" t="s">
        <v>68</v>
      </c>
      <c r="D911">
        <v>2021</v>
      </c>
      <c r="E911">
        <v>10949</v>
      </c>
      <c r="F911">
        <v>12000</v>
      </c>
      <c r="G911">
        <v>80000</v>
      </c>
      <c r="H911" t="s">
        <v>53</v>
      </c>
      <c r="I911" t="s">
        <v>35</v>
      </c>
      <c r="J911" t="s">
        <v>36</v>
      </c>
      <c r="K911" t="s">
        <v>77</v>
      </c>
      <c r="L911" t="s">
        <v>90</v>
      </c>
      <c r="M911">
        <v>2</v>
      </c>
    </row>
    <row r="912" spans="1:13" x14ac:dyDescent="0.25">
      <c r="A912">
        <v>1422</v>
      </c>
      <c r="B912" t="s">
        <v>857</v>
      </c>
      <c r="C912" t="s">
        <v>119</v>
      </c>
      <c r="D912">
        <v>2016</v>
      </c>
      <c r="E912">
        <v>20148</v>
      </c>
      <c r="F912">
        <v>26000</v>
      </c>
      <c r="G912">
        <v>120000</v>
      </c>
      <c r="H912" t="s">
        <v>63</v>
      </c>
      <c r="I912" t="s">
        <v>42</v>
      </c>
      <c r="K912" t="s">
        <v>73</v>
      </c>
      <c r="L912" t="s">
        <v>45</v>
      </c>
      <c r="M912">
        <v>2</v>
      </c>
    </row>
    <row r="913" spans="1:13" x14ac:dyDescent="0.25">
      <c r="A913">
        <v>1061</v>
      </c>
      <c r="B913" t="s">
        <v>898</v>
      </c>
      <c r="C913" t="s">
        <v>57</v>
      </c>
      <c r="D913">
        <v>2015</v>
      </c>
      <c r="E913">
        <v>1954</v>
      </c>
      <c r="F913">
        <v>7000</v>
      </c>
      <c r="G913" t="s">
        <v>76</v>
      </c>
      <c r="I913" t="s">
        <v>35</v>
      </c>
      <c r="J913" t="s">
        <v>36</v>
      </c>
      <c r="K913" t="s">
        <v>44</v>
      </c>
      <c r="L913" t="s">
        <v>109</v>
      </c>
    </row>
    <row r="914" spans="1:13" x14ac:dyDescent="0.25">
      <c r="A914">
        <v>1366</v>
      </c>
      <c r="B914" t="s">
        <v>134</v>
      </c>
      <c r="C914" t="s">
        <v>75</v>
      </c>
      <c r="E914">
        <v>14387</v>
      </c>
      <c r="F914">
        <v>18000</v>
      </c>
      <c r="G914">
        <v>120000</v>
      </c>
      <c r="I914" t="s">
        <v>72</v>
      </c>
      <c r="K914" t="s">
        <v>77</v>
      </c>
      <c r="L914" t="s">
        <v>38</v>
      </c>
    </row>
    <row r="915" spans="1:13" x14ac:dyDescent="0.25">
      <c r="A915">
        <v>1332</v>
      </c>
      <c r="B915" t="s">
        <v>899</v>
      </c>
      <c r="C915" t="s">
        <v>57</v>
      </c>
      <c r="D915">
        <v>2014</v>
      </c>
      <c r="E915">
        <v>17192</v>
      </c>
      <c r="F915">
        <v>22000</v>
      </c>
      <c r="G915">
        <v>60000</v>
      </c>
      <c r="I915" t="s">
        <v>59</v>
      </c>
      <c r="J915" t="s">
        <v>43</v>
      </c>
      <c r="K915" t="s">
        <v>100</v>
      </c>
      <c r="L915" t="s">
        <v>90</v>
      </c>
      <c r="M915">
        <v>3</v>
      </c>
    </row>
    <row r="916" spans="1:13" x14ac:dyDescent="0.25">
      <c r="A916">
        <v>1409</v>
      </c>
      <c r="B916" t="s">
        <v>469</v>
      </c>
      <c r="C916" t="s">
        <v>103</v>
      </c>
      <c r="D916">
        <v>2014</v>
      </c>
      <c r="E916">
        <v>7876</v>
      </c>
      <c r="F916">
        <v>12000</v>
      </c>
      <c r="G916">
        <v>40000</v>
      </c>
      <c r="H916" t="s">
        <v>58</v>
      </c>
      <c r="I916" t="s">
        <v>42</v>
      </c>
      <c r="K916" t="s">
        <v>100</v>
      </c>
      <c r="L916" t="s">
        <v>38</v>
      </c>
      <c r="M916">
        <v>0</v>
      </c>
    </row>
    <row r="917" spans="1:13" x14ac:dyDescent="0.25">
      <c r="A917">
        <v>1202</v>
      </c>
      <c r="B917" t="s">
        <v>853</v>
      </c>
      <c r="C917" t="s">
        <v>40</v>
      </c>
      <c r="D917">
        <v>2020</v>
      </c>
      <c r="E917" t="s">
        <v>900</v>
      </c>
      <c r="F917">
        <v>31000</v>
      </c>
      <c r="G917">
        <v>25000</v>
      </c>
      <c r="H917" t="s">
        <v>69</v>
      </c>
      <c r="I917" t="s">
        <v>42</v>
      </c>
      <c r="J917" t="s">
        <v>66</v>
      </c>
      <c r="K917" t="s">
        <v>116</v>
      </c>
      <c r="L917" t="s">
        <v>55</v>
      </c>
      <c r="M917">
        <v>3</v>
      </c>
    </row>
    <row r="918" spans="1:13" x14ac:dyDescent="0.25">
      <c r="A918">
        <v>1108</v>
      </c>
      <c r="B918" t="s">
        <v>690</v>
      </c>
      <c r="C918" t="s">
        <v>103</v>
      </c>
      <c r="D918">
        <v>2016</v>
      </c>
      <c r="E918" t="s">
        <v>901</v>
      </c>
      <c r="F918">
        <v>31000</v>
      </c>
      <c r="G918">
        <v>120000</v>
      </c>
      <c r="H918" t="s">
        <v>69</v>
      </c>
      <c r="I918" t="s">
        <v>42</v>
      </c>
      <c r="J918" t="s">
        <v>66</v>
      </c>
      <c r="L918" t="s">
        <v>55</v>
      </c>
      <c r="M918">
        <v>1</v>
      </c>
    </row>
    <row r="919" spans="1:13" x14ac:dyDescent="0.25">
      <c r="A919">
        <v>1346</v>
      </c>
      <c r="B919" t="s">
        <v>902</v>
      </c>
      <c r="C919" t="s">
        <v>103</v>
      </c>
      <c r="D919">
        <v>2021</v>
      </c>
      <c r="E919">
        <v>827</v>
      </c>
      <c r="F919">
        <v>7000</v>
      </c>
      <c r="G919">
        <v>40000</v>
      </c>
      <c r="H919" t="s">
        <v>84</v>
      </c>
      <c r="J919" t="s">
        <v>66</v>
      </c>
      <c r="L919" t="s">
        <v>45</v>
      </c>
      <c r="M919">
        <v>2</v>
      </c>
    </row>
    <row r="920" spans="1:13" x14ac:dyDescent="0.25">
      <c r="A920">
        <v>1018</v>
      </c>
      <c r="B920" t="s">
        <v>376</v>
      </c>
      <c r="C920" t="s">
        <v>79</v>
      </c>
      <c r="D920">
        <v>2016</v>
      </c>
      <c r="E920">
        <v>17121</v>
      </c>
      <c r="F920">
        <v>22000</v>
      </c>
      <c r="G920" t="s">
        <v>121</v>
      </c>
      <c r="H920" t="s">
        <v>63</v>
      </c>
      <c r="I920" t="s">
        <v>42</v>
      </c>
      <c r="J920" t="s">
        <v>96</v>
      </c>
      <c r="K920" t="s">
        <v>116</v>
      </c>
      <c r="L920" t="s">
        <v>45</v>
      </c>
    </row>
    <row r="921" spans="1:13" x14ac:dyDescent="0.25">
      <c r="A921">
        <v>1329</v>
      </c>
      <c r="B921" t="s">
        <v>903</v>
      </c>
      <c r="C921" t="s">
        <v>61</v>
      </c>
      <c r="E921">
        <v>19408</v>
      </c>
      <c r="F921">
        <v>22000</v>
      </c>
      <c r="G921">
        <v>120000</v>
      </c>
      <c r="H921" t="s">
        <v>53</v>
      </c>
      <c r="I921" t="s">
        <v>42</v>
      </c>
      <c r="J921" t="s">
        <v>43</v>
      </c>
      <c r="K921" t="s">
        <v>116</v>
      </c>
      <c r="L921" t="s">
        <v>126</v>
      </c>
      <c r="M921">
        <v>2</v>
      </c>
    </row>
    <row r="922" spans="1:13" x14ac:dyDescent="0.25">
      <c r="A922">
        <v>1541</v>
      </c>
      <c r="B922" t="s">
        <v>617</v>
      </c>
      <c r="C922" t="s">
        <v>32</v>
      </c>
      <c r="D922">
        <v>2020</v>
      </c>
      <c r="E922">
        <v>8366</v>
      </c>
      <c r="F922">
        <v>12000</v>
      </c>
      <c r="G922">
        <v>80000</v>
      </c>
      <c r="H922" t="s">
        <v>69</v>
      </c>
      <c r="I922" t="s">
        <v>35</v>
      </c>
      <c r="J922" t="s">
        <v>43</v>
      </c>
      <c r="K922" t="s">
        <v>48</v>
      </c>
      <c r="L922" t="s">
        <v>38</v>
      </c>
      <c r="M922">
        <v>2</v>
      </c>
    </row>
    <row r="923" spans="1:13" x14ac:dyDescent="0.25">
      <c r="A923">
        <v>1003</v>
      </c>
      <c r="B923" t="s">
        <v>904</v>
      </c>
      <c r="C923" t="s">
        <v>164</v>
      </c>
      <c r="D923">
        <v>2019</v>
      </c>
      <c r="E923">
        <v>3980</v>
      </c>
      <c r="F923">
        <v>7000</v>
      </c>
      <c r="G923">
        <v>60000</v>
      </c>
      <c r="H923" t="s">
        <v>58</v>
      </c>
      <c r="I923" t="s">
        <v>72</v>
      </c>
      <c r="J923" t="s">
        <v>96</v>
      </c>
      <c r="K923" t="s">
        <v>116</v>
      </c>
      <c r="L923" t="s">
        <v>109</v>
      </c>
    </row>
    <row r="924" spans="1:13" x14ac:dyDescent="0.25">
      <c r="A924">
        <v>1302</v>
      </c>
      <c r="B924" t="s">
        <v>296</v>
      </c>
      <c r="C924" t="s">
        <v>47</v>
      </c>
      <c r="D924" t="s">
        <v>52</v>
      </c>
      <c r="E924">
        <v>9044</v>
      </c>
      <c r="F924">
        <v>15000</v>
      </c>
      <c r="G924" t="s">
        <v>121</v>
      </c>
      <c r="H924" t="s">
        <v>69</v>
      </c>
      <c r="I924" t="s">
        <v>42</v>
      </c>
      <c r="J924" t="s">
        <v>43</v>
      </c>
      <c r="K924" t="s">
        <v>48</v>
      </c>
      <c r="L924" t="s">
        <v>126</v>
      </c>
      <c r="M924">
        <v>2</v>
      </c>
    </row>
    <row r="925" spans="1:13" x14ac:dyDescent="0.25">
      <c r="A925">
        <v>1431</v>
      </c>
      <c r="B925" t="s">
        <v>357</v>
      </c>
      <c r="C925" t="s">
        <v>65</v>
      </c>
      <c r="D925">
        <v>2017</v>
      </c>
      <c r="E925" t="s">
        <v>905</v>
      </c>
      <c r="F925">
        <v>12000</v>
      </c>
      <c r="G925">
        <v>40000</v>
      </c>
      <c r="H925" t="s">
        <v>58</v>
      </c>
      <c r="I925" t="s">
        <v>59</v>
      </c>
      <c r="J925" t="s">
        <v>43</v>
      </c>
      <c r="L925" t="s">
        <v>90</v>
      </c>
    </row>
    <row r="926" spans="1:13" x14ac:dyDescent="0.25">
      <c r="A926">
        <v>1202</v>
      </c>
      <c r="B926" t="s">
        <v>135</v>
      </c>
      <c r="C926" t="s">
        <v>138</v>
      </c>
      <c r="D926">
        <v>2019</v>
      </c>
      <c r="E926">
        <v>4265</v>
      </c>
      <c r="F926">
        <v>9000</v>
      </c>
      <c r="G926" t="s">
        <v>130</v>
      </c>
      <c r="H926" t="s">
        <v>58</v>
      </c>
      <c r="I926" t="s">
        <v>72</v>
      </c>
      <c r="J926" t="s">
        <v>36</v>
      </c>
      <c r="K926" t="s">
        <v>37</v>
      </c>
      <c r="L926" t="s">
        <v>126</v>
      </c>
      <c r="M926">
        <v>2</v>
      </c>
    </row>
    <row r="927" spans="1:13" x14ac:dyDescent="0.25">
      <c r="A927">
        <v>1563</v>
      </c>
      <c r="B927" t="s">
        <v>906</v>
      </c>
      <c r="C927" t="s">
        <v>133</v>
      </c>
      <c r="D927">
        <v>2019</v>
      </c>
      <c r="E927" t="s">
        <v>907</v>
      </c>
      <c r="F927">
        <v>12000</v>
      </c>
      <c r="G927">
        <v>40000</v>
      </c>
      <c r="H927" t="s">
        <v>58</v>
      </c>
      <c r="I927" t="s">
        <v>72</v>
      </c>
      <c r="K927" t="s">
        <v>73</v>
      </c>
      <c r="L927" t="s">
        <v>45</v>
      </c>
      <c r="M927">
        <v>2</v>
      </c>
    </row>
    <row r="928" spans="1:13" x14ac:dyDescent="0.25">
      <c r="A928">
        <v>1508</v>
      </c>
      <c r="B928" t="s">
        <v>300</v>
      </c>
      <c r="C928" t="s">
        <v>68</v>
      </c>
      <c r="D928">
        <v>2022</v>
      </c>
      <c r="E928" t="s">
        <v>908</v>
      </c>
      <c r="F928" t="s">
        <v>147</v>
      </c>
      <c r="G928" t="s">
        <v>108</v>
      </c>
      <c r="H928" t="s">
        <v>58</v>
      </c>
      <c r="I928" t="s">
        <v>42</v>
      </c>
      <c r="J928" t="s">
        <v>36</v>
      </c>
      <c r="K928" t="s">
        <v>44</v>
      </c>
      <c r="L928" t="s">
        <v>109</v>
      </c>
      <c r="M928">
        <v>2</v>
      </c>
    </row>
    <row r="929" spans="1:13" x14ac:dyDescent="0.25">
      <c r="A929">
        <v>1558</v>
      </c>
      <c r="B929" t="s">
        <v>909</v>
      </c>
      <c r="C929" t="s">
        <v>75</v>
      </c>
      <c r="D929">
        <v>2020</v>
      </c>
      <c r="E929" t="s">
        <v>910</v>
      </c>
      <c r="F929">
        <v>22000</v>
      </c>
      <c r="G929">
        <v>15000</v>
      </c>
      <c r="H929" t="s">
        <v>58</v>
      </c>
      <c r="J929" t="s">
        <v>36</v>
      </c>
      <c r="K929" t="s">
        <v>77</v>
      </c>
      <c r="L929" t="s">
        <v>55</v>
      </c>
      <c r="M929">
        <v>1</v>
      </c>
    </row>
    <row r="930" spans="1:13" x14ac:dyDescent="0.25">
      <c r="A930">
        <v>1024</v>
      </c>
      <c r="B930" t="s">
        <v>911</v>
      </c>
      <c r="C930" t="s">
        <v>32</v>
      </c>
      <c r="D930">
        <v>2018</v>
      </c>
      <c r="E930" t="s">
        <v>912</v>
      </c>
      <c r="F930">
        <v>15000</v>
      </c>
      <c r="G930" t="s">
        <v>33</v>
      </c>
      <c r="H930" t="s">
        <v>41</v>
      </c>
      <c r="I930" t="s">
        <v>35</v>
      </c>
      <c r="J930" t="s">
        <v>66</v>
      </c>
      <c r="K930" t="s">
        <v>77</v>
      </c>
      <c r="L930" t="s">
        <v>90</v>
      </c>
      <c r="M930">
        <v>1</v>
      </c>
    </row>
    <row r="931" spans="1:13" x14ac:dyDescent="0.25">
      <c r="A931">
        <v>1019</v>
      </c>
      <c r="B931" t="s">
        <v>913</v>
      </c>
      <c r="C931" t="s">
        <v>61</v>
      </c>
      <c r="D931">
        <v>2019</v>
      </c>
      <c r="E931">
        <v>19510</v>
      </c>
      <c r="F931">
        <v>26000</v>
      </c>
      <c r="G931" t="s">
        <v>108</v>
      </c>
      <c r="H931" t="s">
        <v>34</v>
      </c>
      <c r="J931" t="s">
        <v>36</v>
      </c>
      <c r="K931" t="s">
        <v>73</v>
      </c>
      <c r="L931" t="s">
        <v>38</v>
      </c>
    </row>
    <row r="932" spans="1:13" x14ac:dyDescent="0.25">
      <c r="A932">
        <v>1357</v>
      </c>
      <c r="B932" t="s">
        <v>914</v>
      </c>
      <c r="C932" t="s">
        <v>68</v>
      </c>
      <c r="D932">
        <v>2017</v>
      </c>
      <c r="E932">
        <v>9974</v>
      </c>
      <c r="F932">
        <v>15000</v>
      </c>
      <c r="G932">
        <v>80000</v>
      </c>
      <c r="H932" t="s">
        <v>58</v>
      </c>
      <c r="I932" t="s">
        <v>59</v>
      </c>
      <c r="J932" t="s">
        <v>66</v>
      </c>
      <c r="K932" t="s">
        <v>100</v>
      </c>
      <c r="M932">
        <v>0</v>
      </c>
    </row>
    <row r="933" spans="1:13" x14ac:dyDescent="0.25">
      <c r="A933">
        <v>1206</v>
      </c>
      <c r="B933" t="s">
        <v>915</v>
      </c>
      <c r="C933" t="s">
        <v>51</v>
      </c>
      <c r="D933">
        <v>2018</v>
      </c>
      <c r="E933">
        <v>17819</v>
      </c>
      <c r="F933">
        <v>22000</v>
      </c>
      <c r="G933" t="s">
        <v>121</v>
      </c>
      <c r="H933" t="s">
        <v>69</v>
      </c>
      <c r="I933" t="s">
        <v>59</v>
      </c>
      <c r="J933" t="s">
        <v>36</v>
      </c>
      <c r="K933" t="s">
        <v>54</v>
      </c>
      <c r="L933" t="s">
        <v>55</v>
      </c>
      <c r="M933">
        <v>0</v>
      </c>
    </row>
    <row r="934" spans="1:13" x14ac:dyDescent="0.25">
      <c r="A934">
        <v>1042</v>
      </c>
      <c r="B934" t="s">
        <v>238</v>
      </c>
      <c r="C934" t="s">
        <v>138</v>
      </c>
      <c r="E934">
        <v>23486</v>
      </c>
      <c r="F934" t="s">
        <v>83</v>
      </c>
      <c r="G934">
        <v>25000</v>
      </c>
      <c r="H934" t="s">
        <v>53</v>
      </c>
      <c r="I934" t="s">
        <v>42</v>
      </c>
      <c r="K934" t="s">
        <v>54</v>
      </c>
      <c r="L934" t="s">
        <v>38</v>
      </c>
    </row>
    <row r="935" spans="1:13" x14ac:dyDescent="0.25">
      <c r="A935">
        <v>1580</v>
      </c>
      <c r="B935" t="s">
        <v>405</v>
      </c>
      <c r="C935" t="s">
        <v>51</v>
      </c>
      <c r="D935">
        <v>2019</v>
      </c>
      <c r="E935">
        <v>24693</v>
      </c>
      <c r="F935">
        <v>31000</v>
      </c>
      <c r="G935" t="s">
        <v>76</v>
      </c>
      <c r="H935" t="s">
        <v>41</v>
      </c>
      <c r="I935" t="s">
        <v>72</v>
      </c>
      <c r="J935" t="s">
        <v>36</v>
      </c>
      <c r="K935" t="s">
        <v>77</v>
      </c>
      <c r="L935" t="s">
        <v>90</v>
      </c>
      <c r="M935">
        <v>2</v>
      </c>
    </row>
    <row r="936" spans="1:13" x14ac:dyDescent="0.25">
      <c r="A936">
        <v>1400</v>
      </c>
      <c r="B936" t="s">
        <v>916</v>
      </c>
      <c r="C936" t="s">
        <v>47</v>
      </c>
      <c r="D936">
        <v>2021</v>
      </c>
      <c r="E936">
        <v>22319</v>
      </c>
      <c r="F936">
        <v>26000</v>
      </c>
      <c r="G936">
        <v>120000</v>
      </c>
      <c r="H936" t="s">
        <v>69</v>
      </c>
      <c r="I936" t="s">
        <v>42</v>
      </c>
      <c r="J936" t="s">
        <v>36</v>
      </c>
      <c r="K936" t="s">
        <v>37</v>
      </c>
      <c r="L936" t="s">
        <v>126</v>
      </c>
      <c r="M936">
        <v>0</v>
      </c>
    </row>
    <row r="937" spans="1:13" x14ac:dyDescent="0.25">
      <c r="A937">
        <v>1390</v>
      </c>
      <c r="B937" t="s">
        <v>779</v>
      </c>
      <c r="C937" t="s">
        <v>68</v>
      </c>
      <c r="D937">
        <v>2014</v>
      </c>
      <c r="E937">
        <v>14515</v>
      </c>
      <c r="F937">
        <v>18000</v>
      </c>
      <c r="G937" t="s">
        <v>76</v>
      </c>
      <c r="H937" t="s">
        <v>63</v>
      </c>
      <c r="I937" t="s">
        <v>42</v>
      </c>
      <c r="J937" t="s">
        <v>66</v>
      </c>
      <c r="K937" t="s">
        <v>48</v>
      </c>
      <c r="L937" t="s">
        <v>109</v>
      </c>
      <c r="M937">
        <v>0</v>
      </c>
    </row>
    <row r="938" spans="1:13" x14ac:dyDescent="0.25">
      <c r="A938">
        <v>1309</v>
      </c>
      <c r="B938" t="s">
        <v>786</v>
      </c>
      <c r="C938" t="s">
        <v>65</v>
      </c>
      <c r="D938">
        <v>2020</v>
      </c>
      <c r="E938" t="s">
        <v>917</v>
      </c>
      <c r="F938">
        <v>7000</v>
      </c>
      <c r="G938">
        <v>40000</v>
      </c>
      <c r="H938" t="s">
        <v>53</v>
      </c>
      <c r="I938" t="s">
        <v>35</v>
      </c>
      <c r="J938" t="s">
        <v>36</v>
      </c>
      <c r="K938" t="s">
        <v>116</v>
      </c>
      <c r="L938" t="s">
        <v>90</v>
      </c>
      <c r="M938">
        <v>0</v>
      </c>
    </row>
    <row r="939" spans="1:13" x14ac:dyDescent="0.25">
      <c r="A939">
        <v>1279</v>
      </c>
      <c r="B939" t="s">
        <v>918</v>
      </c>
      <c r="C939" t="s">
        <v>32</v>
      </c>
      <c r="D939">
        <v>2015</v>
      </c>
      <c r="E939">
        <v>9251</v>
      </c>
      <c r="F939">
        <v>15000</v>
      </c>
      <c r="G939">
        <v>60000</v>
      </c>
      <c r="H939" t="s">
        <v>58</v>
      </c>
      <c r="I939" t="s">
        <v>42</v>
      </c>
      <c r="J939" t="s">
        <v>36</v>
      </c>
      <c r="K939" t="s">
        <v>48</v>
      </c>
      <c r="L939" t="s">
        <v>98</v>
      </c>
      <c r="M939">
        <v>0</v>
      </c>
    </row>
    <row r="940" spans="1:13" x14ac:dyDescent="0.25">
      <c r="A940">
        <v>1013</v>
      </c>
      <c r="B940" t="s">
        <v>251</v>
      </c>
      <c r="C940" t="s">
        <v>68</v>
      </c>
      <c r="D940">
        <v>2021</v>
      </c>
      <c r="E940">
        <v>21622</v>
      </c>
      <c r="F940" t="s">
        <v>83</v>
      </c>
      <c r="G940" t="s">
        <v>92</v>
      </c>
      <c r="H940" t="s">
        <v>69</v>
      </c>
      <c r="I940" t="s">
        <v>72</v>
      </c>
      <c r="J940" t="s">
        <v>43</v>
      </c>
      <c r="K940" t="s">
        <v>77</v>
      </c>
      <c r="L940" t="s">
        <v>45</v>
      </c>
      <c r="M940">
        <v>0</v>
      </c>
    </row>
    <row r="941" spans="1:13" x14ac:dyDescent="0.25">
      <c r="A941">
        <v>1045</v>
      </c>
      <c r="B941" t="s">
        <v>919</v>
      </c>
      <c r="C941" t="s">
        <v>65</v>
      </c>
      <c r="D941">
        <v>2017</v>
      </c>
      <c r="E941">
        <v>10331</v>
      </c>
      <c r="F941">
        <v>15000</v>
      </c>
      <c r="G941">
        <v>120000</v>
      </c>
      <c r="I941" t="s">
        <v>42</v>
      </c>
      <c r="J941" t="s">
        <v>36</v>
      </c>
      <c r="K941" t="s">
        <v>54</v>
      </c>
      <c r="L941" t="s">
        <v>109</v>
      </c>
      <c r="M941">
        <v>0</v>
      </c>
    </row>
    <row r="942" spans="1:13" x14ac:dyDescent="0.25">
      <c r="A942">
        <v>1380</v>
      </c>
      <c r="B942" t="s">
        <v>663</v>
      </c>
      <c r="C942" t="s">
        <v>79</v>
      </c>
      <c r="D942">
        <v>2021</v>
      </c>
      <c r="E942">
        <v>28658</v>
      </c>
      <c r="F942">
        <v>31000</v>
      </c>
      <c r="G942">
        <v>80000</v>
      </c>
      <c r="H942" t="s">
        <v>63</v>
      </c>
      <c r="I942" t="s">
        <v>59</v>
      </c>
      <c r="J942" t="s">
        <v>66</v>
      </c>
      <c r="K942" t="s">
        <v>48</v>
      </c>
      <c r="L942" t="s">
        <v>109</v>
      </c>
      <c r="M942">
        <v>3</v>
      </c>
    </row>
    <row r="943" spans="1:13" x14ac:dyDescent="0.25">
      <c r="A943">
        <v>1417</v>
      </c>
      <c r="B943" t="s">
        <v>88</v>
      </c>
      <c r="C943" t="s">
        <v>79</v>
      </c>
      <c r="D943">
        <v>2018</v>
      </c>
      <c r="E943">
        <v>6949</v>
      </c>
      <c r="F943">
        <v>12000</v>
      </c>
      <c r="G943">
        <v>120000</v>
      </c>
      <c r="H943" t="s">
        <v>58</v>
      </c>
      <c r="I943" t="s">
        <v>72</v>
      </c>
      <c r="J943" t="s">
        <v>96</v>
      </c>
      <c r="K943" t="s">
        <v>116</v>
      </c>
      <c r="L943" t="s">
        <v>55</v>
      </c>
    </row>
    <row r="944" spans="1:13" x14ac:dyDescent="0.25">
      <c r="A944">
        <v>1349</v>
      </c>
      <c r="B944" t="s">
        <v>521</v>
      </c>
      <c r="C944" t="s">
        <v>57</v>
      </c>
      <c r="D944">
        <v>2014</v>
      </c>
      <c r="E944">
        <v>15880</v>
      </c>
      <c r="F944">
        <v>22000</v>
      </c>
      <c r="G944" t="s">
        <v>121</v>
      </c>
      <c r="H944" t="s">
        <v>58</v>
      </c>
      <c r="I944" t="s">
        <v>42</v>
      </c>
      <c r="J944" t="s">
        <v>43</v>
      </c>
      <c r="K944" t="s">
        <v>37</v>
      </c>
      <c r="L944" t="s">
        <v>98</v>
      </c>
      <c r="M944">
        <v>0</v>
      </c>
    </row>
    <row r="945" spans="1:13" x14ac:dyDescent="0.25">
      <c r="A945">
        <v>1563</v>
      </c>
      <c r="B945" t="s">
        <v>920</v>
      </c>
      <c r="C945" t="s">
        <v>68</v>
      </c>
      <c r="D945">
        <v>2022</v>
      </c>
      <c r="E945">
        <v>7967</v>
      </c>
      <c r="F945">
        <v>9000</v>
      </c>
      <c r="G945" t="s">
        <v>121</v>
      </c>
      <c r="H945" t="s">
        <v>63</v>
      </c>
      <c r="I945" t="s">
        <v>59</v>
      </c>
      <c r="J945" t="s">
        <v>36</v>
      </c>
      <c r="K945" t="s">
        <v>44</v>
      </c>
      <c r="L945" t="s">
        <v>109</v>
      </c>
    </row>
    <row r="946" spans="1:13" x14ac:dyDescent="0.25">
      <c r="A946">
        <v>1417</v>
      </c>
      <c r="B946" t="s">
        <v>412</v>
      </c>
      <c r="C946" t="s">
        <v>94</v>
      </c>
      <c r="D946">
        <v>2022</v>
      </c>
      <c r="E946">
        <v>20274</v>
      </c>
      <c r="F946">
        <v>26000</v>
      </c>
      <c r="G946" t="s">
        <v>33</v>
      </c>
      <c r="I946" t="s">
        <v>42</v>
      </c>
      <c r="J946" t="s">
        <v>66</v>
      </c>
      <c r="K946" t="s">
        <v>73</v>
      </c>
      <c r="M946">
        <v>0</v>
      </c>
    </row>
    <row r="947" spans="1:13" x14ac:dyDescent="0.25">
      <c r="A947">
        <v>1415</v>
      </c>
      <c r="B947" t="s">
        <v>498</v>
      </c>
      <c r="C947" t="s">
        <v>133</v>
      </c>
      <c r="D947">
        <v>2016</v>
      </c>
      <c r="E947">
        <v>5489</v>
      </c>
      <c r="F947">
        <v>9000</v>
      </c>
      <c r="G947">
        <v>120000</v>
      </c>
      <c r="H947" t="s">
        <v>53</v>
      </c>
      <c r="I947" t="s">
        <v>35</v>
      </c>
      <c r="J947" t="s">
        <v>36</v>
      </c>
      <c r="K947" t="s">
        <v>73</v>
      </c>
      <c r="L947" t="s">
        <v>45</v>
      </c>
      <c r="M947">
        <v>0</v>
      </c>
    </row>
    <row r="948" spans="1:13" x14ac:dyDescent="0.25">
      <c r="A948">
        <v>1121</v>
      </c>
      <c r="B948" t="s">
        <v>921</v>
      </c>
      <c r="C948" t="s">
        <v>47</v>
      </c>
      <c r="D948">
        <v>2016</v>
      </c>
      <c r="E948">
        <v>5924</v>
      </c>
      <c r="F948">
        <v>9000</v>
      </c>
      <c r="G948">
        <v>15000</v>
      </c>
      <c r="H948" t="s">
        <v>69</v>
      </c>
      <c r="I948" t="s">
        <v>72</v>
      </c>
      <c r="J948" t="s">
        <v>43</v>
      </c>
      <c r="K948" t="s">
        <v>44</v>
      </c>
      <c r="L948" t="s">
        <v>38</v>
      </c>
      <c r="M948">
        <v>2</v>
      </c>
    </row>
    <row r="949" spans="1:13" x14ac:dyDescent="0.25">
      <c r="A949">
        <v>1503</v>
      </c>
      <c r="B949" t="s">
        <v>101</v>
      </c>
      <c r="C949" t="s">
        <v>103</v>
      </c>
      <c r="E949">
        <v>24964</v>
      </c>
      <c r="F949">
        <v>31000</v>
      </c>
      <c r="G949">
        <v>120000</v>
      </c>
      <c r="H949" t="s">
        <v>69</v>
      </c>
      <c r="I949" t="s">
        <v>59</v>
      </c>
      <c r="J949" t="s">
        <v>43</v>
      </c>
      <c r="L949" t="s">
        <v>49</v>
      </c>
      <c r="M949">
        <v>3</v>
      </c>
    </row>
    <row r="950" spans="1:13" x14ac:dyDescent="0.25">
      <c r="A950">
        <v>1499</v>
      </c>
      <c r="B950" t="s">
        <v>922</v>
      </c>
      <c r="C950" t="s">
        <v>79</v>
      </c>
      <c r="D950" t="s">
        <v>52</v>
      </c>
      <c r="E950">
        <v>26888</v>
      </c>
      <c r="F950" t="s">
        <v>87</v>
      </c>
      <c r="G950">
        <v>15000</v>
      </c>
      <c r="H950" t="s">
        <v>84</v>
      </c>
      <c r="I950" t="s">
        <v>35</v>
      </c>
      <c r="J950" t="s">
        <v>66</v>
      </c>
      <c r="K950" t="s">
        <v>37</v>
      </c>
      <c r="L950" t="s">
        <v>55</v>
      </c>
      <c r="M950">
        <v>3</v>
      </c>
    </row>
    <row r="951" spans="1:13" x14ac:dyDescent="0.25">
      <c r="A951">
        <v>1565</v>
      </c>
      <c r="B951" t="s">
        <v>923</v>
      </c>
      <c r="C951" t="s">
        <v>61</v>
      </c>
      <c r="D951">
        <v>2017</v>
      </c>
      <c r="E951">
        <v>27356</v>
      </c>
      <c r="F951">
        <v>31000</v>
      </c>
      <c r="G951" t="s">
        <v>76</v>
      </c>
      <c r="H951" t="s">
        <v>34</v>
      </c>
      <c r="I951" t="s">
        <v>35</v>
      </c>
      <c r="J951" t="s">
        <v>36</v>
      </c>
      <c r="K951" t="s">
        <v>100</v>
      </c>
      <c r="L951" t="s">
        <v>126</v>
      </c>
    </row>
    <row r="952" spans="1:13" x14ac:dyDescent="0.25">
      <c r="A952">
        <v>1397</v>
      </c>
      <c r="B952" t="s">
        <v>924</v>
      </c>
      <c r="C952" t="s">
        <v>138</v>
      </c>
      <c r="D952">
        <v>2015</v>
      </c>
      <c r="E952">
        <v>8750</v>
      </c>
      <c r="F952">
        <v>12000</v>
      </c>
      <c r="G952">
        <v>60000</v>
      </c>
      <c r="H952" t="s">
        <v>69</v>
      </c>
      <c r="J952" t="s">
        <v>36</v>
      </c>
      <c r="L952" t="s">
        <v>55</v>
      </c>
      <c r="M952">
        <v>1</v>
      </c>
    </row>
    <row r="953" spans="1:13" x14ac:dyDescent="0.25">
      <c r="A953">
        <v>1436</v>
      </c>
      <c r="B953" t="s">
        <v>106</v>
      </c>
      <c r="C953" t="s">
        <v>138</v>
      </c>
      <c r="D953">
        <v>2018</v>
      </c>
      <c r="E953" t="s">
        <v>925</v>
      </c>
      <c r="F953">
        <v>12000</v>
      </c>
      <c r="G953">
        <v>15000</v>
      </c>
      <c r="H953" t="s">
        <v>53</v>
      </c>
      <c r="I953" t="s">
        <v>59</v>
      </c>
      <c r="J953" t="s">
        <v>43</v>
      </c>
      <c r="K953" t="s">
        <v>77</v>
      </c>
      <c r="L953" t="s">
        <v>126</v>
      </c>
      <c r="M953">
        <v>3</v>
      </c>
    </row>
    <row r="954" spans="1:13" x14ac:dyDescent="0.25">
      <c r="A954">
        <v>1348</v>
      </c>
      <c r="B954" t="s">
        <v>904</v>
      </c>
      <c r="C954" t="s">
        <v>57</v>
      </c>
      <c r="D954">
        <v>2020</v>
      </c>
      <c r="E954">
        <v>4504</v>
      </c>
      <c r="F954">
        <v>7000</v>
      </c>
      <c r="G954">
        <v>40000</v>
      </c>
      <c r="I954" t="s">
        <v>35</v>
      </c>
      <c r="J954" t="s">
        <v>36</v>
      </c>
      <c r="K954" t="s">
        <v>100</v>
      </c>
      <c r="L954" t="s">
        <v>90</v>
      </c>
      <c r="M954">
        <v>1</v>
      </c>
    </row>
    <row r="955" spans="1:13" x14ac:dyDescent="0.25">
      <c r="A955">
        <v>1021</v>
      </c>
      <c r="B955" t="s">
        <v>926</v>
      </c>
      <c r="C955" t="s">
        <v>40</v>
      </c>
      <c r="D955">
        <v>2021</v>
      </c>
      <c r="E955">
        <v>24275</v>
      </c>
      <c r="F955">
        <v>31000</v>
      </c>
      <c r="G955">
        <v>40000</v>
      </c>
      <c r="H955" t="s">
        <v>84</v>
      </c>
      <c r="I955" t="s">
        <v>59</v>
      </c>
      <c r="J955" t="s">
        <v>43</v>
      </c>
      <c r="K955" t="s">
        <v>73</v>
      </c>
      <c r="L955" t="s">
        <v>45</v>
      </c>
      <c r="M955">
        <v>3</v>
      </c>
    </row>
    <row r="956" spans="1:13" x14ac:dyDescent="0.25">
      <c r="A956">
        <v>1486</v>
      </c>
      <c r="B956" t="s">
        <v>627</v>
      </c>
      <c r="C956" t="s">
        <v>103</v>
      </c>
      <c r="D956">
        <v>2015</v>
      </c>
      <c r="E956">
        <v>5848</v>
      </c>
      <c r="F956">
        <v>9000</v>
      </c>
      <c r="G956">
        <v>15000</v>
      </c>
      <c r="H956" t="s">
        <v>58</v>
      </c>
      <c r="I956" t="s">
        <v>35</v>
      </c>
      <c r="J956" t="s">
        <v>36</v>
      </c>
      <c r="K956" t="s">
        <v>100</v>
      </c>
      <c r="L956" t="s">
        <v>49</v>
      </c>
    </row>
    <row r="957" spans="1:13" x14ac:dyDescent="0.25">
      <c r="A957">
        <v>1382</v>
      </c>
      <c r="B957" t="s">
        <v>287</v>
      </c>
      <c r="C957" t="s">
        <v>57</v>
      </c>
      <c r="D957" t="s">
        <v>52</v>
      </c>
      <c r="E957">
        <v>8595</v>
      </c>
      <c r="F957">
        <v>15000</v>
      </c>
      <c r="G957">
        <v>60000</v>
      </c>
      <c r="H957" t="s">
        <v>58</v>
      </c>
      <c r="J957" t="s">
        <v>43</v>
      </c>
      <c r="K957" t="s">
        <v>37</v>
      </c>
      <c r="M957">
        <v>0</v>
      </c>
    </row>
    <row r="958" spans="1:13" x14ac:dyDescent="0.25">
      <c r="A958">
        <v>1011</v>
      </c>
      <c r="B958" t="s">
        <v>927</v>
      </c>
      <c r="C958" t="s">
        <v>119</v>
      </c>
      <c r="D958">
        <v>2017</v>
      </c>
      <c r="E958">
        <v>9909</v>
      </c>
      <c r="F958">
        <v>12000</v>
      </c>
      <c r="G958" t="s">
        <v>130</v>
      </c>
      <c r="H958" t="s">
        <v>69</v>
      </c>
      <c r="K958" t="s">
        <v>73</v>
      </c>
      <c r="L958" t="s">
        <v>45</v>
      </c>
      <c r="M958">
        <v>1</v>
      </c>
    </row>
    <row r="959" spans="1:13" x14ac:dyDescent="0.25">
      <c r="A959">
        <v>1489</v>
      </c>
      <c r="B959" t="s">
        <v>928</v>
      </c>
      <c r="C959" t="s">
        <v>61</v>
      </c>
      <c r="D959">
        <v>2017</v>
      </c>
      <c r="E959">
        <v>28455</v>
      </c>
      <c r="F959" t="s">
        <v>87</v>
      </c>
      <c r="G959">
        <v>25000</v>
      </c>
      <c r="H959" t="s">
        <v>84</v>
      </c>
      <c r="I959" t="s">
        <v>42</v>
      </c>
      <c r="J959" t="s">
        <v>66</v>
      </c>
      <c r="L959" t="s">
        <v>90</v>
      </c>
      <c r="M959">
        <v>0</v>
      </c>
    </row>
    <row r="960" spans="1:13" x14ac:dyDescent="0.25">
      <c r="A960">
        <v>1423</v>
      </c>
      <c r="B960" t="s">
        <v>929</v>
      </c>
      <c r="C960" t="s">
        <v>133</v>
      </c>
      <c r="D960">
        <v>2022</v>
      </c>
      <c r="E960">
        <v>6651</v>
      </c>
      <c r="F960">
        <v>9000</v>
      </c>
      <c r="G960" t="s">
        <v>121</v>
      </c>
      <c r="H960" t="s">
        <v>69</v>
      </c>
      <c r="I960" t="s">
        <v>59</v>
      </c>
      <c r="J960" t="s">
        <v>36</v>
      </c>
      <c r="K960" t="s">
        <v>48</v>
      </c>
      <c r="L960" t="s">
        <v>126</v>
      </c>
      <c r="M960">
        <v>2</v>
      </c>
    </row>
    <row r="961" spans="1:13" x14ac:dyDescent="0.25">
      <c r="A961">
        <v>1400</v>
      </c>
      <c r="B961" t="s">
        <v>202</v>
      </c>
      <c r="C961" t="s">
        <v>94</v>
      </c>
      <c r="D961">
        <v>2014</v>
      </c>
      <c r="E961">
        <v>8049</v>
      </c>
      <c r="F961">
        <v>15000</v>
      </c>
      <c r="G961" t="s">
        <v>108</v>
      </c>
      <c r="H961" t="s">
        <v>58</v>
      </c>
      <c r="I961" t="s">
        <v>59</v>
      </c>
      <c r="L961" t="s">
        <v>98</v>
      </c>
      <c r="M961">
        <v>1</v>
      </c>
    </row>
    <row r="962" spans="1:13" x14ac:dyDescent="0.25">
      <c r="A962">
        <v>1031</v>
      </c>
      <c r="B962" t="s">
        <v>930</v>
      </c>
      <c r="C962" t="s">
        <v>119</v>
      </c>
      <c r="E962">
        <v>16386</v>
      </c>
      <c r="F962">
        <v>18000</v>
      </c>
      <c r="G962">
        <v>60000</v>
      </c>
      <c r="H962" t="s">
        <v>58</v>
      </c>
      <c r="I962" t="s">
        <v>35</v>
      </c>
      <c r="J962" t="s">
        <v>96</v>
      </c>
      <c r="K962" t="s">
        <v>54</v>
      </c>
      <c r="L962" t="s">
        <v>98</v>
      </c>
      <c r="M962">
        <v>2</v>
      </c>
    </row>
    <row r="963" spans="1:13" x14ac:dyDescent="0.25">
      <c r="A963">
        <v>1315</v>
      </c>
      <c r="B963" t="s">
        <v>125</v>
      </c>
      <c r="C963" t="s">
        <v>138</v>
      </c>
      <c r="D963" t="s">
        <v>52</v>
      </c>
      <c r="E963">
        <v>16615</v>
      </c>
      <c r="F963">
        <v>22000</v>
      </c>
      <c r="G963">
        <v>40000</v>
      </c>
      <c r="H963" t="s">
        <v>58</v>
      </c>
      <c r="I963" t="s">
        <v>59</v>
      </c>
      <c r="J963" t="s">
        <v>96</v>
      </c>
      <c r="K963" t="s">
        <v>37</v>
      </c>
      <c r="L963" t="s">
        <v>55</v>
      </c>
      <c r="M963">
        <v>2</v>
      </c>
    </row>
    <row r="964" spans="1:13" x14ac:dyDescent="0.25">
      <c r="A964">
        <v>1233</v>
      </c>
      <c r="B964" t="s">
        <v>931</v>
      </c>
      <c r="C964" t="s">
        <v>75</v>
      </c>
      <c r="D964">
        <v>2018</v>
      </c>
      <c r="E964">
        <v>14633</v>
      </c>
      <c r="F964">
        <v>18000</v>
      </c>
      <c r="G964">
        <v>40000</v>
      </c>
      <c r="H964" t="s">
        <v>53</v>
      </c>
      <c r="I964" t="s">
        <v>72</v>
      </c>
      <c r="J964" t="s">
        <v>96</v>
      </c>
      <c r="K964" t="s">
        <v>77</v>
      </c>
      <c r="L964" t="s">
        <v>109</v>
      </c>
    </row>
    <row r="965" spans="1:13" x14ac:dyDescent="0.25">
      <c r="A965">
        <v>1142</v>
      </c>
      <c r="B965" t="s">
        <v>193</v>
      </c>
      <c r="C965" t="s">
        <v>103</v>
      </c>
      <c r="D965">
        <v>2018</v>
      </c>
      <c r="E965">
        <v>13528</v>
      </c>
      <c r="F965">
        <v>18000</v>
      </c>
      <c r="G965" t="s">
        <v>121</v>
      </c>
      <c r="H965" t="s">
        <v>63</v>
      </c>
      <c r="K965" t="s">
        <v>44</v>
      </c>
      <c r="L965" t="s">
        <v>38</v>
      </c>
      <c r="M965">
        <v>3</v>
      </c>
    </row>
    <row r="966" spans="1:13" x14ac:dyDescent="0.25">
      <c r="A966">
        <v>1345</v>
      </c>
      <c r="B966" t="s">
        <v>547</v>
      </c>
      <c r="C966" t="s">
        <v>57</v>
      </c>
      <c r="D966">
        <v>2015</v>
      </c>
      <c r="E966" t="s">
        <v>932</v>
      </c>
      <c r="F966">
        <v>18000</v>
      </c>
      <c r="G966">
        <v>120000</v>
      </c>
      <c r="H966" t="s">
        <v>53</v>
      </c>
      <c r="I966" t="s">
        <v>59</v>
      </c>
      <c r="J966" t="s">
        <v>43</v>
      </c>
      <c r="K966" t="s">
        <v>54</v>
      </c>
      <c r="L966" t="s">
        <v>55</v>
      </c>
    </row>
    <row r="967" spans="1:13" x14ac:dyDescent="0.25">
      <c r="A967">
        <v>1127</v>
      </c>
      <c r="B967" t="s">
        <v>933</v>
      </c>
      <c r="C967" t="s">
        <v>61</v>
      </c>
      <c r="D967">
        <v>2016</v>
      </c>
      <c r="E967">
        <v>16410</v>
      </c>
      <c r="F967">
        <v>18000</v>
      </c>
      <c r="G967">
        <v>80000</v>
      </c>
      <c r="H967" t="s">
        <v>41</v>
      </c>
      <c r="I967" t="s">
        <v>35</v>
      </c>
      <c r="J967" t="s">
        <v>66</v>
      </c>
      <c r="K967" t="s">
        <v>54</v>
      </c>
      <c r="L967" t="s">
        <v>55</v>
      </c>
      <c r="M967">
        <v>3</v>
      </c>
    </row>
    <row r="968" spans="1:13" x14ac:dyDescent="0.25">
      <c r="A968">
        <v>1437</v>
      </c>
      <c r="B968" t="s">
        <v>589</v>
      </c>
      <c r="C968" t="s">
        <v>65</v>
      </c>
      <c r="D968">
        <v>2022</v>
      </c>
      <c r="E968">
        <v>22824</v>
      </c>
      <c r="F968">
        <v>26000</v>
      </c>
      <c r="G968" t="s">
        <v>33</v>
      </c>
      <c r="H968" t="s">
        <v>34</v>
      </c>
      <c r="I968" t="s">
        <v>59</v>
      </c>
      <c r="J968" t="s">
        <v>96</v>
      </c>
      <c r="K968" t="s">
        <v>37</v>
      </c>
      <c r="L968" t="s">
        <v>90</v>
      </c>
      <c r="M968">
        <v>1</v>
      </c>
    </row>
    <row r="969" spans="1:13" x14ac:dyDescent="0.25">
      <c r="A969">
        <v>1110</v>
      </c>
      <c r="B969" t="s">
        <v>934</v>
      </c>
      <c r="C969" t="s">
        <v>32</v>
      </c>
      <c r="D969">
        <v>2019</v>
      </c>
      <c r="E969">
        <v>5425</v>
      </c>
      <c r="F969">
        <v>7000</v>
      </c>
      <c r="G969">
        <v>15000</v>
      </c>
      <c r="H969" t="s">
        <v>34</v>
      </c>
      <c r="I969" t="s">
        <v>42</v>
      </c>
      <c r="J969" t="s">
        <v>36</v>
      </c>
      <c r="K969" t="s">
        <v>73</v>
      </c>
      <c r="L969" t="s">
        <v>126</v>
      </c>
      <c r="M969">
        <v>0</v>
      </c>
    </row>
    <row r="970" spans="1:13" x14ac:dyDescent="0.25">
      <c r="A970">
        <v>1236</v>
      </c>
      <c r="B970" t="s">
        <v>248</v>
      </c>
      <c r="C970" t="s">
        <v>61</v>
      </c>
      <c r="E970">
        <v>13480</v>
      </c>
      <c r="F970">
        <v>18000</v>
      </c>
      <c r="G970">
        <v>40000</v>
      </c>
      <c r="H970" t="s">
        <v>63</v>
      </c>
      <c r="I970" t="s">
        <v>42</v>
      </c>
      <c r="J970" t="s">
        <v>66</v>
      </c>
      <c r="K970" t="s">
        <v>73</v>
      </c>
    </row>
    <row r="971" spans="1:13" x14ac:dyDescent="0.25">
      <c r="A971">
        <v>1017</v>
      </c>
      <c r="B971" t="s">
        <v>794</v>
      </c>
      <c r="C971" t="s">
        <v>61</v>
      </c>
      <c r="D971">
        <v>2017</v>
      </c>
      <c r="E971">
        <v>9336</v>
      </c>
      <c r="F971" t="s">
        <v>204</v>
      </c>
      <c r="G971">
        <v>60000</v>
      </c>
      <c r="H971" t="s">
        <v>69</v>
      </c>
      <c r="I971" t="s">
        <v>59</v>
      </c>
      <c r="J971" t="s">
        <v>36</v>
      </c>
      <c r="K971" t="s">
        <v>37</v>
      </c>
      <c r="L971" t="s">
        <v>38</v>
      </c>
      <c r="M971">
        <v>3</v>
      </c>
    </row>
    <row r="972" spans="1:13" x14ac:dyDescent="0.25">
      <c r="A972">
        <v>1225</v>
      </c>
      <c r="B972" t="s">
        <v>935</v>
      </c>
      <c r="C972" t="s">
        <v>119</v>
      </c>
      <c r="D972">
        <v>2017</v>
      </c>
      <c r="E972">
        <v>28644</v>
      </c>
      <c r="F972" t="s">
        <v>87</v>
      </c>
      <c r="G972">
        <v>80000</v>
      </c>
      <c r="H972" t="s">
        <v>34</v>
      </c>
      <c r="K972" t="s">
        <v>48</v>
      </c>
      <c r="L972" t="s">
        <v>55</v>
      </c>
      <c r="M972">
        <v>1</v>
      </c>
    </row>
    <row r="973" spans="1:13" x14ac:dyDescent="0.25">
      <c r="A973">
        <v>1453</v>
      </c>
      <c r="B973" t="s">
        <v>773</v>
      </c>
      <c r="C973" t="s">
        <v>119</v>
      </c>
      <c r="D973">
        <v>2015</v>
      </c>
      <c r="E973" t="s">
        <v>936</v>
      </c>
      <c r="F973">
        <v>9000</v>
      </c>
      <c r="G973">
        <v>60000</v>
      </c>
      <c r="H973" t="s">
        <v>34</v>
      </c>
      <c r="I973" t="s">
        <v>35</v>
      </c>
      <c r="K973" t="s">
        <v>54</v>
      </c>
      <c r="L973" t="s">
        <v>38</v>
      </c>
      <c r="M973">
        <v>3</v>
      </c>
    </row>
    <row r="974" spans="1:13" x14ac:dyDescent="0.25">
      <c r="A974">
        <v>1519</v>
      </c>
      <c r="B974" t="s">
        <v>937</v>
      </c>
      <c r="C974" t="s">
        <v>103</v>
      </c>
      <c r="D974">
        <v>2022</v>
      </c>
      <c r="E974">
        <v>20831</v>
      </c>
      <c r="F974">
        <v>22000</v>
      </c>
      <c r="G974">
        <v>40000</v>
      </c>
      <c r="H974" t="s">
        <v>63</v>
      </c>
      <c r="I974" t="s">
        <v>42</v>
      </c>
      <c r="J974" t="s">
        <v>36</v>
      </c>
      <c r="K974" t="s">
        <v>48</v>
      </c>
      <c r="L974" t="s">
        <v>90</v>
      </c>
      <c r="M974">
        <v>3</v>
      </c>
    </row>
    <row r="975" spans="1:13" x14ac:dyDescent="0.25">
      <c r="A975">
        <v>1254</v>
      </c>
      <c r="B975" t="s">
        <v>938</v>
      </c>
      <c r="C975" t="s">
        <v>47</v>
      </c>
      <c r="D975">
        <v>2017</v>
      </c>
      <c r="E975">
        <v>17682</v>
      </c>
      <c r="F975">
        <v>22000</v>
      </c>
      <c r="G975">
        <v>40000</v>
      </c>
      <c r="I975" t="s">
        <v>35</v>
      </c>
      <c r="K975" t="s">
        <v>77</v>
      </c>
      <c r="L975" t="s">
        <v>49</v>
      </c>
      <c r="M975">
        <v>3</v>
      </c>
    </row>
    <row r="976" spans="1:13" x14ac:dyDescent="0.25">
      <c r="A976">
        <v>1502</v>
      </c>
      <c r="B976" t="s">
        <v>939</v>
      </c>
      <c r="C976" t="s">
        <v>40</v>
      </c>
      <c r="D976">
        <v>2020</v>
      </c>
      <c r="E976">
        <v>17880</v>
      </c>
      <c r="F976">
        <v>22000</v>
      </c>
      <c r="G976">
        <v>40000</v>
      </c>
      <c r="H976" t="s">
        <v>34</v>
      </c>
      <c r="I976" t="s">
        <v>72</v>
      </c>
      <c r="J976" t="s">
        <v>96</v>
      </c>
      <c r="K976" t="s">
        <v>77</v>
      </c>
      <c r="L976" t="s">
        <v>45</v>
      </c>
      <c r="M976">
        <v>2</v>
      </c>
    </row>
    <row r="977" spans="1:13" x14ac:dyDescent="0.25">
      <c r="A977">
        <v>1529</v>
      </c>
      <c r="B977" t="s">
        <v>584</v>
      </c>
      <c r="C977" t="s">
        <v>65</v>
      </c>
      <c r="D977">
        <v>2021</v>
      </c>
      <c r="E977">
        <v>9205</v>
      </c>
      <c r="F977">
        <v>12000</v>
      </c>
      <c r="G977">
        <v>25000</v>
      </c>
      <c r="H977" t="s">
        <v>34</v>
      </c>
      <c r="I977" t="s">
        <v>72</v>
      </c>
      <c r="J977" t="s">
        <v>36</v>
      </c>
      <c r="K977" t="s">
        <v>77</v>
      </c>
      <c r="L977" t="s">
        <v>49</v>
      </c>
      <c r="M977">
        <v>1</v>
      </c>
    </row>
    <row r="978" spans="1:13" x14ac:dyDescent="0.25">
      <c r="A978">
        <v>1261</v>
      </c>
      <c r="B978" t="s">
        <v>940</v>
      </c>
      <c r="C978" t="s">
        <v>75</v>
      </c>
      <c r="E978">
        <v>5351</v>
      </c>
      <c r="F978">
        <v>7000</v>
      </c>
      <c r="G978">
        <v>40000</v>
      </c>
      <c r="H978" t="s">
        <v>69</v>
      </c>
      <c r="I978" t="s">
        <v>42</v>
      </c>
      <c r="J978" t="s">
        <v>66</v>
      </c>
      <c r="K978" t="s">
        <v>48</v>
      </c>
      <c r="L978" t="s">
        <v>45</v>
      </c>
      <c r="M978">
        <v>1</v>
      </c>
    </row>
    <row r="979" spans="1:13" x14ac:dyDescent="0.25">
      <c r="A979">
        <v>1180</v>
      </c>
      <c r="B979" t="s">
        <v>941</v>
      </c>
      <c r="C979" t="s">
        <v>75</v>
      </c>
      <c r="D979">
        <v>2017</v>
      </c>
      <c r="E979">
        <v>7573</v>
      </c>
      <c r="F979">
        <v>9000</v>
      </c>
      <c r="G979">
        <v>80000</v>
      </c>
      <c r="H979" t="s">
        <v>58</v>
      </c>
      <c r="I979" t="s">
        <v>42</v>
      </c>
      <c r="J979" t="s">
        <v>36</v>
      </c>
      <c r="K979" t="s">
        <v>77</v>
      </c>
      <c r="L979" t="s">
        <v>49</v>
      </c>
      <c r="M979">
        <v>0</v>
      </c>
    </row>
    <row r="980" spans="1:13" x14ac:dyDescent="0.25">
      <c r="A980">
        <v>1566</v>
      </c>
      <c r="B980" t="s">
        <v>942</v>
      </c>
      <c r="C980" t="s">
        <v>32</v>
      </c>
      <c r="D980">
        <v>2018</v>
      </c>
      <c r="E980">
        <v>9984</v>
      </c>
      <c r="F980">
        <v>12000</v>
      </c>
      <c r="G980" t="s">
        <v>121</v>
      </c>
      <c r="H980" t="s">
        <v>58</v>
      </c>
      <c r="I980" t="s">
        <v>42</v>
      </c>
      <c r="J980" t="s">
        <v>36</v>
      </c>
      <c r="K980" t="s">
        <v>44</v>
      </c>
      <c r="L980" t="s">
        <v>90</v>
      </c>
      <c r="M980">
        <v>2</v>
      </c>
    </row>
    <row r="981" spans="1:13" x14ac:dyDescent="0.25">
      <c r="A981">
        <v>1049</v>
      </c>
      <c r="B981" t="s">
        <v>614</v>
      </c>
      <c r="C981" t="s">
        <v>40</v>
      </c>
      <c r="D981">
        <v>2022</v>
      </c>
      <c r="E981">
        <v>4895</v>
      </c>
      <c r="F981">
        <v>7000</v>
      </c>
      <c r="G981" t="s">
        <v>92</v>
      </c>
      <c r="H981" t="s">
        <v>63</v>
      </c>
      <c r="J981" t="s">
        <v>96</v>
      </c>
      <c r="K981" t="s">
        <v>116</v>
      </c>
      <c r="L981" t="s">
        <v>38</v>
      </c>
      <c r="M981">
        <v>3</v>
      </c>
    </row>
    <row r="982" spans="1:13" x14ac:dyDescent="0.25">
      <c r="A982">
        <v>1068</v>
      </c>
      <c r="B982" t="s">
        <v>943</v>
      </c>
      <c r="C982" t="s">
        <v>57</v>
      </c>
      <c r="D982">
        <v>2015</v>
      </c>
      <c r="E982">
        <v>8757</v>
      </c>
      <c r="F982" t="s">
        <v>89</v>
      </c>
      <c r="G982">
        <v>25000</v>
      </c>
      <c r="I982" t="s">
        <v>59</v>
      </c>
      <c r="L982" t="s">
        <v>98</v>
      </c>
    </row>
    <row r="983" spans="1:13" x14ac:dyDescent="0.25">
      <c r="A983">
        <v>1257</v>
      </c>
      <c r="B983" t="s">
        <v>385</v>
      </c>
      <c r="C983" t="s">
        <v>138</v>
      </c>
      <c r="D983" t="s">
        <v>52</v>
      </c>
      <c r="E983">
        <v>16270</v>
      </c>
      <c r="F983">
        <v>22000</v>
      </c>
      <c r="G983">
        <v>80000</v>
      </c>
      <c r="I983" t="s">
        <v>42</v>
      </c>
      <c r="J983" t="s">
        <v>36</v>
      </c>
      <c r="K983" t="s">
        <v>77</v>
      </c>
      <c r="L983" t="s">
        <v>49</v>
      </c>
    </row>
    <row r="984" spans="1:13" x14ac:dyDescent="0.25">
      <c r="A984">
        <v>1384</v>
      </c>
      <c r="B984" t="s">
        <v>500</v>
      </c>
      <c r="C984" t="s">
        <v>79</v>
      </c>
      <c r="D984">
        <v>2018</v>
      </c>
      <c r="E984">
        <v>4622</v>
      </c>
      <c r="F984" t="s">
        <v>81</v>
      </c>
      <c r="G984">
        <v>80000</v>
      </c>
      <c r="H984" t="s">
        <v>41</v>
      </c>
      <c r="I984" t="s">
        <v>42</v>
      </c>
      <c r="J984" t="s">
        <v>43</v>
      </c>
      <c r="K984" t="s">
        <v>100</v>
      </c>
      <c r="L984" t="s">
        <v>55</v>
      </c>
    </row>
    <row r="985" spans="1:13" x14ac:dyDescent="0.25">
      <c r="A985">
        <v>1016</v>
      </c>
      <c r="B985" t="s">
        <v>944</v>
      </c>
      <c r="C985" t="s">
        <v>164</v>
      </c>
      <c r="D985" t="s">
        <v>52</v>
      </c>
      <c r="E985">
        <v>14998</v>
      </c>
      <c r="F985">
        <v>18000</v>
      </c>
      <c r="G985">
        <v>60000</v>
      </c>
      <c r="H985" t="s">
        <v>34</v>
      </c>
      <c r="I985" t="s">
        <v>59</v>
      </c>
      <c r="J985" t="s">
        <v>43</v>
      </c>
      <c r="K985" t="s">
        <v>44</v>
      </c>
      <c r="L985" t="s">
        <v>38</v>
      </c>
      <c r="M985">
        <v>3</v>
      </c>
    </row>
    <row r="986" spans="1:13" x14ac:dyDescent="0.25">
      <c r="A986">
        <v>1302</v>
      </c>
      <c r="B986" t="s">
        <v>433</v>
      </c>
      <c r="C986" t="s">
        <v>164</v>
      </c>
      <c r="D986">
        <v>2020</v>
      </c>
      <c r="E986">
        <v>4808</v>
      </c>
      <c r="F986">
        <v>7000</v>
      </c>
      <c r="G986">
        <v>25000</v>
      </c>
      <c r="H986" t="s">
        <v>34</v>
      </c>
      <c r="I986" t="s">
        <v>35</v>
      </c>
      <c r="K986" t="s">
        <v>54</v>
      </c>
      <c r="L986" t="s">
        <v>109</v>
      </c>
    </row>
    <row r="987" spans="1:13" x14ac:dyDescent="0.25">
      <c r="A987">
        <v>1198</v>
      </c>
      <c r="B987" t="s">
        <v>106</v>
      </c>
      <c r="C987" t="s">
        <v>133</v>
      </c>
      <c r="D987">
        <v>2014</v>
      </c>
      <c r="E987">
        <v>27113</v>
      </c>
      <c r="F987">
        <v>31000</v>
      </c>
      <c r="G987" t="s">
        <v>76</v>
      </c>
      <c r="H987" t="s">
        <v>84</v>
      </c>
      <c r="I987" t="s">
        <v>42</v>
      </c>
      <c r="K987" t="s">
        <v>54</v>
      </c>
      <c r="L987" t="s">
        <v>126</v>
      </c>
      <c r="M987">
        <v>0</v>
      </c>
    </row>
    <row r="988" spans="1:13" x14ac:dyDescent="0.25">
      <c r="A988">
        <v>1342</v>
      </c>
      <c r="B988" t="s">
        <v>945</v>
      </c>
      <c r="C988" t="s">
        <v>47</v>
      </c>
      <c r="D988" t="s">
        <v>52</v>
      </c>
      <c r="E988">
        <v>17328</v>
      </c>
      <c r="F988">
        <v>22000</v>
      </c>
      <c r="G988">
        <v>15000</v>
      </c>
      <c r="H988" t="s">
        <v>69</v>
      </c>
      <c r="I988" t="s">
        <v>72</v>
      </c>
      <c r="J988" t="s">
        <v>36</v>
      </c>
      <c r="L988" t="s">
        <v>49</v>
      </c>
      <c r="M988">
        <v>3</v>
      </c>
    </row>
    <row r="989" spans="1:13" x14ac:dyDescent="0.25">
      <c r="A989">
        <v>1518</v>
      </c>
      <c r="B989" t="s">
        <v>499</v>
      </c>
      <c r="C989" t="s">
        <v>133</v>
      </c>
      <c r="D989">
        <v>2020</v>
      </c>
      <c r="E989" t="s">
        <v>946</v>
      </c>
      <c r="F989">
        <v>7000</v>
      </c>
      <c r="G989">
        <v>120000</v>
      </c>
      <c r="H989" t="s">
        <v>34</v>
      </c>
      <c r="I989" t="s">
        <v>72</v>
      </c>
      <c r="J989" t="s">
        <v>43</v>
      </c>
      <c r="K989" t="s">
        <v>54</v>
      </c>
      <c r="L989" t="s">
        <v>90</v>
      </c>
      <c r="M989">
        <v>1</v>
      </c>
    </row>
    <row r="990" spans="1:13" x14ac:dyDescent="0.25">
      <c r="A990">
        <v>1042</v>
      </c>
      <c r="B990" t="s">
        <v>506</v>
      </c>
      <c r="C990" t="s">
        <v>47</v>
      </c>
      <c r="D990">
        <v>2015</v>
      </c>
      <c r="E990" t="s">
        <v>947</v>
      </c>
      <c r="F990" t="s">
        <v>83</v>
      </c>
      <c r="G990" t="s">
        <v>130</v>
      </c>
      <c r="H990" t="s">
        <v>34</v>
      </c>
      <c r="J990" t="s">
        <v>66</v>
      </c>
      <c r="K990" t="s">
        <v>48</v>
      </c>
      <c r="L990" t="s">
        <v>90</v>
      </c>
      <c r="M990">
        <v>3</v>
      </c>
    </row>
    <row r="991" spans="1:13" x14ac:dyDescent="0.25">
      <c r="A991">
        <v>1271</v>
      </c>
      <c r="B991" t="s">
        <v>353</v>
      </c>
      <c r="C991" t="s">
        <v>65</v>
      </c>
      <c r="D991">
        <v>2017</v>
      </c>
      <c r="E991">
        <v>4662</v>
      </c>
      <c r="F991">
        <v>7000</v>
      </c>
      <c r="G991" t="s">
        <v>76</v>
      </c>
      <c r="H991" t="s">
        <v>58</v>
      </c>
      <c r="I991" t="s">
        <v>59</v>
      </c>
      <c r="J991" t="s">
        <v>36</v>
      </c>
      <c r="K991" t="s">
        <v>37</v>
      </c>
      <c r="L991" t="s">
        <v>55</v>
      </c>
      <c r="M991">
        <v>2</v>
      </c>
    </row>
    <row r="992" spans="1:13" x14ac:dyDescent="0.25">
      <c r="A992">
        <v>1338</v>
      </c>
      <c r="B992" t="s">
        <v>948</v>
      </c>
      <c r="C992" t="s">
        <v>79</v>
      </c>
      <c r="D992">
        <v>2021</v>
      </c>
      <c r="E992">
        <v>12425</v>
      </c>
      <c r="F992">
        <v>18000</v>
      </c>
      <c r="G992" t="s">
        <v>121</v>
      </c>
      <c r="H992" t="s">
        <v>69</v>
      </c>
      <c r="J992" t="s">
        <v>66</v>
      </c>
      <c r="K992" t="s">
        <v>77</v>
      </c>
      <c r="L992" t="s">
        <v>126</v>
      </c>
      <c r="M992">
        <v>3</v>
      </c>
    </row>
    <row r="993" spans="1:13" x14ac:dyDescent="0.25">
      <c r="A993">
        <v>1414</v>
      </c>
      <c r="B993" t="s">
        <v>604</v>
      </c>
      <c r="C993" t="s">
        <v>133</v>
      </c>
      <c r="D993">
        <v>2018</v>
      </c>
      <c r="E993" t="s">
        <v>949</v>
      </c>
      <c r="F993">
        <v>22000</v>
      </c>
      <c r="G993">
        <v>80000</v>
      </c>
      <c r="H993" t="s">
        <v>69</v>
      </c>
      <c r="I993" t="s">
        <v>35</v>
      </c>
      <c r="J993" t="s">
        <v>66</v>
      </c>
      <c r="L993" t="s">
        <v>38</v>
      </c>
      <c r="M993">
        <v>1</v>
      </c>
    </row>
    <row r="994" spans="1:13" x14ac:dyDescent="0.25">
      <c r="A994">
        <v>1517</v>
      </c>
      <c r="B994" t="s">
        <v>88</v>
      </c>
      <c r="C994" t="s">
        <v>119</v>
      </c>
      <c r="D994">
        <v>2021</v>
      </c>
      <c r="E994">
        <v>5288</v>
      </c>
      <c r="F994">
        <v>12000</v>
      </c>
      <c r="G994">
        <v>15000</v>
      </c>
      <c r="H994" t="s">
        <v>63</v>
      </c>
      <c r="I994" t="s">
        <v>72</v>
      </c>
      <c r="J994" t="s">
        <v>36</v>
      </c>
      <c r="K994" t="s">
        <v>77</v>
      </c>
      <c r="L994" t="s">
        <v>90</v>
      </c>
    </row>
    <row r="995" spans="1:13" x14ac:dyDescent="0.25">
      <c r="A995">
        <v>1415</v>
      </c>
      <c r="B995" t="s">
        <v>950</v>
      </c>
      <c r="C995" t="s">
        <v>133</v>
      </c>
      <c r="D995" t="s">
        <v>52</v>
      </c>
      <c r="E995">
        <v>7534</v>
      </c>
      <c r="F995">
        <v>9000</v>
      </c>
      <c r="G995">
        <v>40000</v>
      </c>
      <c r="H995" t="s">
        <v>41</v>
      </c>
      <c r="I995" t="s">
        <v>72</v>
      </c>
      <c r="J995" t="s">
        <v>96</v>
      </c>
      <c r="K995" t="s">
        <v>37</v>
      </c>
      <c r="L995" t="s">
        <v>45</v>
      </c>
      <c r="M995">
        <v>1</v>
      </c>
    </row>
    <row r="996" spans="1:13" x14ac:dyDescent="0.25">
      <c r="A996">
        <v>1440</v>
      </c>
      <c r="B996" t="s">
        <v>951</v>
      </c>
      <c r="C996" t="s">
        <v>133</v>
      </c>
      <c r="D996">
        <v>2021</v>
      </c>
      <c r="E996">
        <v>23247</v>
      </c>
      <c r="F996">
        <v>26000</v>
      </c>
      <c r="G996">
        <v>80000</v>
      </c>
      <c r="H996" t="s">
        <v>58</v>
      </c>
      <c r="I996" t="s">
        <v>72</v>
      </c>
      <c r="J996" t="s">
        <v>66</v>
      </c>
      <c r="K996" t="s">
        <v>44</v>
      </c>
      <c r="L996" t="s">
        <v>98</v>
      </c>
      <c r="M996">
        <v>0</v>
      </c>
    </row>
    <row r="997" spans="1:13" x14ac:dyDescent="0.25">
      <c r="A997">
        <v>1553</v>
      </c>
      <c r="B997" t="s">
        <v>195</v>
      </c>
      <c r="C997" t="s">
        <v>32</v>
      </c>
      <c r="D997">
        <v>2015</v>
      </c>
      <c r="E997">
        <v>7931</v>
      </c>
      <c r="F997">
        <v>9000</v>
      </c>
      <c r="G997">
        <v>120000</v>
      </c>
      <c r="H997" t="s">
        <v>58</v>
      </c>
      <c r="I997" t="s">
        <v>35</v>
      </c>
      <c r="J997" t="s">
        <v>36</v>
      </c>
      <c r="K997" t="s">
        <v>116</v>
      </c>
      <c r="L997" t="s">
        <v>90</v>
      </c>
      <c r="M997">
        <v>0</v>
      </c>
    </row>
    <row r="998" spans="1:13" x14ac:dyDescent="0.25">
      <c r="A998">
        <v>1585</v>
      </c>
      <c r="B998" t="s">
        <v>952</v>
      </c>
      <c r="C998" t="s">
        <v>164</v>
      </c>
      <c r="D998">
        <v>2018</v>
      </c>
      <c r="E998" t="s">
        <v>953</v>
      </c>
      <c r="F998">
        <v>22000</v>
      </c>
      <c r="G998">
        <v>120000</v>
      </c>
      <c r="H998" t="s">
        <v>84</v>
      </c>
      <c r="I998" t="s">
        <v>35</v>
      </c>
      <c r="K998" t="s">
        <v>37</v>
      </c>
      <c r="L998" t="s">
        <v>126</v>
      </c>
    </row>
    <row r="999" spans="1:13" x14ac:dyDescent="0.25">
      <c r="A999">
        <v>1273</v>
      </c>
      <c r="B999" t="s">
        <v>954</v>
      </c>
      <c r="C999" t="s">
        <v>40</v>
      </c>
      <c r="D999">
        <v>2017</v>
      </c>
      <c r="E999">
        <v>6983</v>
      </c>
      <c r="F999">
        <v>12000</v>
      </c>
      <c r="G999">
        <v>60000</v>
      </c>
      <c r="H999" t="s">
        <v>69</v>
      </c>
      <c r="I999" t="s">
        <v>42</v>
      </c>
      <c r="J999" t="s">
        <v>36</v>
      </c>
      <c r="K999" t="s">
        <v>116</v>
      </c>
      <c r="L999" t="s">
        <v>45</v>
      </c>
      <c r="M999">
        <v>1</v>
      </c>
    </row>
    <row r="1000" spans="1:13" x14ac:dyDescent="0.25">
      <c r="A1000">
        <v>1402</v>
      </c>
      <c r="B1000" t="s">
        <v>594</v>
      </c>
      <c r="C1000" t="s">
        <v>32</v>
      </c>
      <c r="D1000">
        <v>2021</v>
      </c>
      <c r="E1000">
        <v>11676</v>
      </c>
      <c r="F1000">
        <v>15000</v>
      </c>
      <c r="G1000">
        <v>120000</v>
      </c>
      <c r="I1000" t="s">
        <v>72</v>
      </c>
      <c r="K1000" t="s">
        <v>54</v>
      </c>
      <c r="L1000" t="s">
        <v>45</v>
      </c>
      <c r="M1000">
        <v>3</v>
      </c>
    </row>
    <row r="1001" spans="1:13" x14ac:dyDescent="0.25">
      <c r="A1001">
        <v>1246</v>
      </c>
      <c r="B1001" t="s">
        <v>97</v>
      </c>
      <c r="C1001" t="s">
        <v>103</v>
      </c>
      <c r="D1001">
        <v>2017</v>
      </c>
      <c r="E1001">
        <v>14325</v>
      </c>
      <c r="F1001">
        <v>18000</v>
      </c>
      <c r="G1001" t="s">
        <v>108</v>
      </c>
      <c r="H1001" t="s">
        <v>41</v>
      </c>
      <c r="J1001" t="s">
        <v>36</v>
      </c>
      <c r="K1001" t="s">
        <v>100</v>
      </c>
      <c r="L1001" t="s">
        <v>49</v>
      </c>
      <c r="M1001">
        <v>3</v>
      </c>
    </row>
    <row r="1002" spans="1:13" x14ac:dyDescent="0.25">
      <c r="A1002">
        <v>1593</v>
      </c>
      <c r="B1002" t="s">
        <v>955</v>
      </c>
      <c r="C1002" t="s">
        <v>164</v>
      </c>
      <c r="D1002">
        <v>2016</v>
      </c>
      <c r="E1002">
        <v>5275</v>
      </c>
      <c r="F1002">
        <v>9000</v>
      </c>
      <c r="G1002">
        <v>40000</v>
      </c>
      <c r="H1002" t="s">
        <v>69</v>
      </c>
      <c r="I1002" t="s">
        <v>42</v>
      </c>
      <c r="J1002" t="s">
        <v>43</v>
      </c>
      <c r="K1002" t="s">
        <v>73</v>
      </c>
      <c r="L1002" t="s">
        <v>109</v>
      </c>
      <c r="M1002">
        <v>1</v>
      </c>
    </row>
    <row r="1003" spans="1:13" x14ac:dyDescent="0.25">
      <c r="A1003">
        <v>1258</v>
      </c>
      <c r="B1003" t="s">
        <v>956</v>
      </c>
      <c r="C1003" t="s">
        <v>94</v>
      </c>
      <c r="D1003">
        <v>2017</v>
      </c>
      <c r="E1003">
        <v>20600</v>
      </c>
      <c r="F1003">
        <v>22000</v>
      </c>
      <c r="G1003">
        <v>15000</v>
      </c>
      <c r="H1003" t="s">
        <v>34</v>
      </c>
      <c r="I1003" t="s">
        <v>72</v>
      </c>
      <c r="J1003" t="s">
        <v>43</v>
      </c>
      <c r="K1003" t="s">
        <v>100</v>
      </c>
      <c r="L1003" t="s">
        <v>109</v>
      </c>
      <c r="M1003">
        <v>3</v>
      </c>
    </row>
    <row r="1004" spans="1:13" x14ac:dyDescent="0.25">
      <c r="A1004">
        <v>1425</v>
      </c>
      <c r="B1004" t="s">
        <v>647</v>
      </c>
      <c r="C1004" t="s">
        <v>61</v>
      </c>
      <c r="E1004" t="s">
        <v>957</v>
      </c>
      <c r="F1004">
        <v>12000</v>
      </c>
      <c r="G1004">
        <v>15000</v>
      </c>
      <c r="H1004" t="s">
        <v>41</v>
      </c>
      <c r="I1004" t="s">
        <v>42</v>
      </c>
      <c r="J1004" t="s">
        <v>66</v>
      </c>
      <c r="L1004" t="s">
        <v>55</v>
      </c>
      <c r="M1004">
        <v>2</v>
      </c>
    </row>
    <row r="1005" spans="1:13" x14ac:dyDescent="0.25">
      <c r="A1005">
        <v>1351</v>
      </c>
      <c r="B1005" t="s">
        <v>958</v>
      </c>
      <c r="C1005" t="s">
        <v>47</v>
      </c>
      <c r="D1005">
        <v>2016</v>
      </c>
      <c r="E1005">
        <v>24925</v>
      </c>
      <c r="F1005">
        <v>26000</v>
      </c>
      <c r="G1005" t="s">
        <v>76</v>
      </c>
      <c r="J1005" t="s">
        <v>66</v>
      </c>
      <c r="K1005" t="s">
        <v>77</v>
      </c>
      <c r="L1005" t="s">
        <v>90</v>
      </c>
      <c r="M1005">
        <v>2</v>
      </c>
    </row>
    <row r="1006" spans="1:13" x14ac:dyDescent="0.25">
      <c r="A1006">
        <v>1445</v>
      </c>
      <c r="B1006" t="s">
        <v>959</v>
      </c>
      <c r="C1006" t="s">
        <v>65</v>
      </c>
      <c r="D1006">
        <v>2022</v>
      </c>
      <c r="E1006">
        <v>20163</v>
      </c>
      <c r="F1006">
        <v>26000</v>
      </c>
      <c r="G1006" t="s">
        <v>121</v>
      </c>
      <c r="H1006" t="s">
        <v>69</v>
      </c>
      <c r="J1006" t="s">
        <v>43</v>
      </c>
      <c r="K1006" t="s">
        <v>73</v>
      </c>
      <c r="L1006" t="s">
        <v>45</v>
      </c>
      <c r="M1006">
        <v>2</v>
      </c>
    </row>
    <row r="1007" spans="1:13" x14ac:dyDescent="0.25">
      <c r="A1007">
        <v>1585</v>
      </c>
      <c r="B1007" t="s">
        <v>960</v>
      </c>
      <c r="C1007" t="s">
        <v>40</v>
      </c>
      <c r="D1007">
        <v>2020</v>
      </c>
      <c r="E1007">
        <v>4582</v>
      </c>
      <c r="F1007">
        <v>9000</v>
      </c>
      <c r="G1007">
        <v>60000</v>
      </c>
      <c r="I1007" t="s">
        <v>72</v>
      </c>
      <c r="J1007" t="s">
        <v>96</v>
      </c>
      <c r="K1007" t="s">
        <v>73</v>
      </c>
      <c r="L1007" t="s">
        <v>38</v>
      </c>
    </row>
    <row r="1008" spans="1:13" x14ac:dyDescent="0.25">
      <c r="A1008">
        <v>1041</v>
      </c>
      <c r="B1008" t="s">
        <v>961</v>
      </c>
      <c r="C1008" t="s">
        <v>65</v>
      </c>
      <c r="D1008">
        <v>2020</v>
      </c>
      <c r="E1008">
        <v>12653</v>
      </c>
      <c r="F1008">
        <v>18000</v>
      </c>
      <c r="G1008" t="s">
        <v>76</v>
      </c>
      <c r="H1008" t="s">
        <v>41</v>
      </c>
      <c r="I1008" t="s">
        <v>59</v>
      </c>
      <c r="J1008" t="s">
        <v>36</v>
      </c>
      <c r="K1008" t="s">
        <v>37</v>
      </c>
      <c r="L1008" t="s">
        <v>45</v>
      </c>
    </row>
    <row r="1009" spans="1:13" x14ac:dyDescent="0.25">
      <c r="A1009">
        <v>1508</v>
      </c>
      <c r="B1009" t="s">
        <v>589</v>
      </c>
      <c r="C1009" t="s">
        <v>103</v>
      </c>
      <c r="D1009">
        <v>2014</v>
      </c>
      <c r="E1009">
        <v>11567</v>
      </c>
      <c r="F1009">
        <v>18000</v>
      </c>
      <c r="G1009">
        <v>80000</v>
      </c>
      <c r="H1009" t="s">
        <v>69</v>
      </c>
      <c r="I1009" t="s">
        <v>35</v>
      </c>
      <c r="J1009" t="s">
        <v>66</v>
      </c>
      <c r="K1009" t="s">
        <v>48</v>
      </c>
      <c r="M1009">
        <v>2</v>
      </c>
    </row>
    <row r="1010" spans="1:13" x14ac:dyDescent="0.25">
      <c r="A1010">
        <v>1081</v>
      </c>
      <c r="B1010" t="s">
        <v>962</v>
      </c>
      <c r="C1010" t="s">
        <v>57</v>
      </c>
      <c r="D1010">
        <v>2022</v>
      </c>
      <c r="E1010">
        <v>8388</v>
      </c>
      <c r="F1010">
        <v>15000</v>
      </c>
      <c r="G1010">
        <v>15000</v>
      </c>
      <c r="H1010" t="s">
        <v>84</v>
      </c>
      <c r="I1010" t="s">
        <v>42</v>
      </c>
      <c r="J1010" t="s">
        <v>96</v>
      </c>
      <c r="K1010" t="s">
        <v>100</v>
      </c>
      <c r="L1010" t="s">
        <v>45</v>
      </c>
      <c r="M1010">
        <v>2</v>
      </c>
    </row>
    <row r="1011" spans="1:13" x14ac:dyDescent="0.25">
      <c r="A1011">
        <v>1370</v>
      </c>
      <c r="B1011" t="s">
        <v>963</v>
      </c>
      <c r="C1011" t="s">
        <v>103</v>
      </c>
      <c r="D1011">
        <v>2016</v>
      </c>
      <c r="E1011" t="s">
        <v>964</v>
      </c>
      <c r="F1011">
        <v>26000</v>
      </c>
      <c r="G1011">
        <v>25000</v>
      </c>
      <c r="H1011" t="s">
        <v>84</v>
      </c>
      <c r="I1011" t="s">
        <v>35</v>
      </c>
      <c r="J1011" t="s">
        <v>66</v>
      </c>
      <c r="K1011" t="s">
        <v>37</v>
      </c>
      <c r="L1011" t="s">
        <v>126</v>
      </c>
      <c r="M1011">
        <v>1</v>
      </c>
    </row>
    <row r="1012" spans="1:13" x14ac:dyDescent="0.25">
      <c r="A1012">
        <v>1124</v>
      </c>
      <c r="B1012" t="s">
        <v>293</v>
      </c>
      <c r="C1012" t="s">
        <v>75</v>
      </c>
      <c r="D1012">
        <v>2018</v>
      </c>
      <c r="E1012">
        <v>7304</v>
      </c>
      <c r="F1012">
        <v>12000</v>
      </c>
      <c r="G1012">
        <v>15000</v>
      </c>
      <c r="H1012" t="s">
        <v>84</v>
      </c>
      <c r="I1012" t="s">
        <v>59</v>
      </c>
      <c r="K1012" t="s">
        <v>54</v>
      </c>
      <c r="L1012" t="s">
        <v>49</v>
      </c>
      <c r="M1012">
        <v>2</v>
      </c>
    </row>
    <row r="1013" spans="1:13" x14ac:dyDescent="0.25">
      <c r="A1013">
        <v>1256</v>
      </c>
      <c r="B1013" t="s">
        <v>39</v>
      </c>
      <c r="C1013" t="s">
        <v>75</v>
      </c>
      <c r="D1013">
        <v>2019</v>
      </c>
      <c r="E1013">
        <v>9450</v>
      </c>
      <c r="F1013">
        <v>12000</v>
      </c>
      <c r="G1013">
        <v>60000</v>
      </c>
      <c r="H1013" t="s">
        <v>84</v>
      </c>
      <c r="I1013" t="s">
        <v>35</v>
      </c>
      <c r="J1013" t="s">
        <v>66</v>
      </c>
      <c r="K1013" t="s">
        <v>100</v>
      </c>
      <c r="L1013" t="s">
        <v>109</v>
      </c>
      <c r="M1013">
        <v>1</v>
      </c>
    </row>
    <row r="1014" spans="1:13" x14ac:dyDescent="0.25">
      <c r="A1014">
        <v>1442</v>
      </c>
      <c r="B1014" t="s">
        <v>965</v>
      </c>
      <c r="C1014" t="s">
        <v>47</v>
      </c>
      <c r="D1014">
        <v>2021</v>
      </c>
      <c r="E1014" t="s">
        <v>966</v>
      </c>
      <c r="F1014">
        <v>22000</v>
      </c>
      <c r="G1014">
        <v>15000</v>
      </c>
      <c r="H1014" t="s">
        <v>53</v>
      </c>
      <c r="I1014" t="s">
        <v>42</v>
      </c>
      <c r="J1014" t="s">
        <v>66</v>
      </c>
      <c r="K1014" t="s">
        <v>116</v>
      </c>
      <c r="L1014" t="s">
        <v>49</v>
      </c>
      <c r="M1014">
        <v>1</v>
      </c>
    </row>
    <row r="1015" spans="1:13" x14ac:dyDescent="0.25">
      <c r="A1015">
        <v>1203</v>
      </c>
      <c r="B1015" t="s">
        <v>704</v>
      </c>
      <c r="C1015" t="s">
        <v>133</v>
      </c>
      <c r="D1015">
        <v>2022</v>
      </c>
      <c r="E1015">
        <v>27361</v>
      </c>
      <c r="F1015" t="s">
        <v>87</v>
      </c>
      <c r="G1015" t="s">
        <v>92</v>
      </c>
      <c r="H1015" t="s">
        <v>63</v>
      </c>
      <c r="I1015" t="s">
        <v>35</v>
      </c>
      <c r="J1015" t="s">
        <v>96</v>
      </c>
      <c r="K1015" t="s">
        <v>44</v>
      </c>
      <c r="L1015" t="s">
        <v>98</v>
      </c>
      <c r="M1015">
        <v>0</v>
      </c>
    </row>
    <row r="1016" spans="1:13" x14ac:dyDescent="0.25">
      <c r="A1016">
        <v>1574</v>
      </c>
      <c r="B1016" t="s">
        <v>687</v>
      </c>
      <c r="C1016" t="s">
        <v>61</v>
      </c>
      <c r="D1016">
        <v>2021</v>
      </c>
      <c r="E1016">
        <v>7214</v>
      </c>
      <c r="F1016">
        <v>9000</v>
      </c>
      <c r="G1016">
        <v>25000</v>
      </c>
      <c r="H1016" t="s">
        <v>63</v>
      </c>
      <c r="I1016" t="s">
        <v>35</v>
      </c>
      <c r="K1016" t="s">
        <v>73</v>
      </c>
      <c r="L1016" t="s">
        <v>109</v>
      </c>
      <c r="M1016">
        <v>1</v>
      </c>
    </row>
    <row r="1017" spans="1:13" x14ac:dyDescent="0.25">
      <c r="A1017">
        <v>1056</v>
      </c>
      <c r="B1017" t="s">
        <v>967</v>
      </c>
      <c r="C1017" t="s">
        <v>51</v>
      </c>
      <c r="D1017">
        <v>2022</v>
      </c>
      <c r="E1017">
        <v>24682</v>
      </c>
      <c r="F1017">
        <v>26000</v>
      </c>
      <c r="G1017">
        <v>40000</v>
      </c>
      <c r="H1017" t="s">
        <v>69</v>
      </c>
      <c r="I1017" t="s">
        <v>59</v>
      </c>
      <c r="J1017" t="s">
        <v>66</v>
      </c>
      <c r="K1017" t="s">
        <v>54</v>
      </c>
      <c r="L1017" t="s">
        <v>109</v>
      </c>
      <c r="M1017">
        <v>3</v>
      </c>
    </row>
    <row r="1018" spans="1:13" x14ac:dyDescent="0.25">
      <c r="A1018">
        <v>1307</v>
      </c>
      <c r="B1018" t="s">
        <v>792</v>
      </c>
      <c r="C1018" t="s">
        <v>75</v>
      </c>
      <c r="D1018">
        <v>2022</v>
      </c>
      <c r="E1018">
        <v>16919</v>
      </c>
      <c r="F1018" t="s">
        <v>115</v>
      </c>
      <c r="G1018">
        <v>15000</v>
      </c>
      <c r="H1018" t="s">
        <v>58</v>
      </c>
      <c r="I1018" t="s">
        <v>35</v>
      </c>
      <c r="J1018" t="s">
        <v>66</v>
      </c>
      <c r="L1018" t="s">
        <v>49</v>
      </c>
      <c r="M1018">
        <v>2</v>
      </c>
    </row>
    <row r="1019" spans="1:13" x14ac:dyDescent="0.25">
      <c r="A1019">
        <v>1187</v>
      </c>
      <c r="B1019" t="s">
        <v>968</v>
      </c>
      <c r="C1019" t="s">
        <v>32</v>
      </c>
      <c r="D1019">
        <v>2015</v>
      </c>
      <c r="E1019">
        <v>14393</v>
      </c>
      <c r="F1019">
        <v>18000</v>
      </c>
      <c r="G1019" t="s">
        <v>130</v>
      </c>
      <c r="H1019" t="s">
        <v>41</v>
      </c>
      <c r="I1019" t="s">
        <v>72</v>
      </c>
      <c r="J1019" t="s">
        <v>96</v>
      </c>
      <c r="M1019">
        <v>0</v>
      </c>
    </row>
    <row r="1020" spans="1:13" x14ac:dyDescent="0.25">
      <c r="A1020">
        <v>1319</v>
      </c>
      <c r="B1020" t="s">
        <v>538</v>
      </c>
      <c r="C1020" t="s">
        <v>51</v>
      </c>
      <c r="D1020">
        <v>2022</v>
      </c>
      <c r="E1020">
        <v>13694</v>
      </c>
      <c r="F1020">
        <v>18000</v>
      </c>
      <c r="G1020">
        <v>15000</v>
      </c>
      <c r="H1020" t="s">
        <v>69</v>
      </c>
      <c r="I1020" t="s">
        <v>35</v>
      </c>
      <c r="J1020" t="s">
        <v>66</v>
      </c>
      <c r="K1020" t="s">
        <v>37</v>
      </c>
      <c r="L1020" t="s">
        <v>49</v>
      </c>
    </row>
    <row r="1021" spans="1:13" x14ac:dyDescent="0.25">
      <c r="A1021">
        <v>1415</v>
      </c>
      <c r="B1021" t="s">
        <v>141</v>
      </c>
      <c r="C1021" t="s">
        <v>40</v>
      </c>
      <c r="D1021">
        <v>2015</v>
      </c>
      <c r="E1021">
        <v>26157</v>
      </c>
      <c r="F1021">
        <v>31000</v>
      </c>
      <c r="G1021">
        <v>15000</v>
      </c>
      <c r="H1021" t="s">
        <v>53</v>
      </c>
      <c r="I1021" t="s">
        <v>35</v>
      </c>
      <c r="J1021" t="s">
        <v>96</v>
      </c>
      <c r="K1021" t="s">
        <v>100</v>
      </c>
      <c r="L1021" t="s">
        <v>90</v>
      </c>
    </row>
    <row r="1022" spans="1:13" x14ac:dyDescent="0.25">
      <c r="A1022">
        <v>1173</v>
      </c>
      <c r="B1022" t="s">
        <v>177</v>
      </c>
      <c r="C1022" t="s">
        <v>32</v>
      </c>
      <c r="D1022" t="s">
        <v>52</v>
      </c>
      <c r="E1022">
        <v>4211</v>
      </c>
      <c r="F1022">
        <v>7000</v>
      </c>
      <c r="G1022">
        <v>60000</v>
      </c>
      <c r="H1022" t="s">
        <v>53</v>
      </c>
      <c r="I1022" t="s">
        <v>59</v>
      </c>
      <c r="J1022" t="s">
        <v>36</v>
      </c>
      <c r="L1022" t="s">
        <v>45</v>
      </c>
    </row>
    <row r="1023" spans="1:13" x14ac:dyDescent="0.25">
      <c r="A1023">
        <v>1397</v>
      </c>
      <c r="B1023" t="s">
        <v>338</v>
      </c>
      <c r="C1023" t="s">
        <v>47</v>
      </c>
      <c r="D1023">
        <v>2021</v>
      </c>
      <c r="E1023" t="s">
        <v>969</v>
      </c>
      <c r="F1023">
        <v>15000</v>
      </c>
      <c r="G1023">
        <v>15000</v>
      </c>
      <c r="H1023" t="s">
        <v>34</v>
      </c>
      <c r="J1023" t="s">
        <v>43</v>
      </c>
      <c r="K1023" t="s">
        <v>54</v>
      </c>
      <c r="L1023" t="s">
        <v>45</v>
      </c>
      <c r="M1023">
        <v>1</v>
      </c>
    </row>
    <row r="1024" spans="1:13" x14ac:dyDescent="0.25">
      <c r="A1024">
        <v>1001</v>
      </c>
      <c r="B1024" t="s">
        <v>460</v>
      </c>
      <c r="C1024" t="s">
        <v>32</v>
      </c>
      <c r="D1024">
        <v>2020</v>
      </c>
      <c r="E1024">
        <v>12042</v>
      </c>
      <c r="F1024">
        <v>18000</v>
      </c>
      <c r="G1024" t="s">
        <v>108</v>
      </c>
      <c r="H1024" t="s">
        <v>69</v>
      </c>
      <c r="I1024" t="s">
        <v>42</v>
      </c>
      <c r="K1024" t="s">
        <v>100</v>
      </c>
      <c r="L1024" t="s">
        <v>49</v>
      </c>
      <c r="M1024">
        <v>1</v>
      </c>
    </row>
    <row r="1025" spans="1:13" x14ac:dyDescent="0.25">
      <c r="A1025">
        <v>1404</v>
      </c>
      <c r="B1025" t="s">
        <v>970</v>
      </c>
      <c r="C1025" t="s">
        <v>164</v>
      </c>
      <c r="D1025">
        <v>2014</v>
      </c>
      <c r="E1025" t="s">
        <v>971</v>
      </c>
      <c r="F1025">
        <v>15000</v>
      </c>
      <c r="G1025">
        <v>25000</v>
      </c>
      <c r="H1025" t="s">
        <v>41</v>
      </c>
      <c r="I1025" t="s">
        <v>42</v>
      </c>
      <c r="J1025" t="s">
        <v>36</v>
      </c>
      <c r="K1025" t="s">
        <v>73</v>
      </c>
      <c r="L1025" t="s">
        <v>98</v>
      </c>
      <c r="M1025">
        <v>0</v>
      </c>
    </row>
    <row r="1026" spans="1:13" x14ac:dyDescent="0.25">
      <c r="A1026">
        <v>1377</v>
      </c>
      <c r="B1026" t="s">
        <v>298</v>
      </c>
      <c r="C1026" t="s">
        <v>61</v>
      </c>
      <c r="D1026">
        <v>2017</v>
      </c>
      <c r="E1026">
        <v>28796</v>
      </c>
      <c r="F1026">
        <v>31000</v>
      </c>
      <c r="G1026">
        <v>25000</v>
      </c>
      <c r="H1026" t="s">
        <v>69</v>
      </c>
      <c r="I1026" t="s">
        <v>59</v>
      </c>
      <c r="J1026" t="s">
        <v>66</v>
      </c>
      <c r="K1026" t="s">
        <v>100</v>
      </c>
      <c r="L1026" t="s">
        <v>38</v>
      </c>
      <c r="M1026">
        <v>3</v>
      </c>
    </row>
    <row r="1027" spans="1:13" x14ac:dyDescent="0.25">
      <c r="A1027">
        <v>1447</v>
      </c>
      <c r="B1027" t="s">
        <v>785</v>
      </c>
      <c r="C1027" t="s">
        <v>79</v>
      </c>
      <c r="D1027">
        <v>2017</v>
      </c>
      <c r="E1027" t="s">
        <v>972</v>
      </c>
      <c r="F1027" t="s">
        <v>89</v>
      </c>
      <c r="G1027">
        <v>60000</v>
      </c>
      <c r="H1027" t="s">
        <v>41</v>
      </c>
      <c r="I1027" t="s">
        <v>35</v>
      </c>
      <c r="J1027" t="s">
        <v>43</v>
      </c>
      <c r="L1027" t="s">
        <v>45</v>
      </c>
      <c r="M1027">
        <v>1</v>
      </c>
    </row>
    <row r="1028" spans="1:13" x14ac:dyDescent="0.25">
      <c r="A1028">
        <v>1181</v>
      </c>
      <c r="B1028" t="s">
        <v>973</v>
      </c>
      <c r="C1028" t="s">
        <v>103</v>
      </c>
      <c r="D1028">
        <v>2015</v>
      </c>
      <c r="E1028">
        <v>14679</v>
      </c>
      <c r="F1028" t="s">
        <v>129</v>
      </c>
      <c r="G1028">
        <v>25000</v>
      </c>
      <c r="H1028" t="s">
        <v>84</v>
      </c>
      <c r="J1028" t="s">
        <v>43</v>
      </c>
      <c r="K1028" t="s">
        <v>44</v>
      </c>
      <c r="L1028" t="s">
        <v>45</v>
      </c>
      <c r="M1028">
        <v>1</v>
      </c>
    </row>
    <row r="1029" spans="1:13" x14ac:dyDescent="0.25">
      <c r="A1029">
        <v>1164</v>
      </c>
      <c r="B1029" t="s">
        <v>974</v>
      </c>
      <c r="C1029" t="s">
        <v>138</v>
      </c>
      <c r="D1029">
        <v>2017</v>
      </c>
      <c r="E1029">
        <v>13801</v>
      </c>
      <c r="F1029">
        <v>18000</v>
      </c>
      <c r="G1029" t="s">
        <v>92</v>
      </c>
      <c r="H1029" t="s">
        <v>53</v>
      </c>
      <c r="I1029" t="s">
        <v>59</v>
      </c>
      <c r="J1029" t="s">
        <v>43</v>
      </c>
      <c r="K1029" t="s">
        <v>77</v>
      </c>
    </row>
    <row r="1030" spans="1:13" x14ac:dyDescent="0.25">
      <c r="A1030">
        <v>1260</v>
      </c>
      <c r="B1030" t="s">
        <v>975</v>
      </c>
      <c r="C1030" t="s">
        <v>164</v>
      </c>
      <c r="D1030">
        <v>2015</v>
      </c>
      <c r="E1030">
        <v>13963</v>
      </c>
      <c r="F1030">
        <v>18000</v>
      </c>
      <c r="G1030">
        <v>120000</v>
      </c>
      <c r="H1030" t="s">
        <v>69</v>
      </c>
      <c r="I1030" t="s">
        <v>59</v>
      </c>
      <c r="J1030" t="s">
        <v>36</v>
      </c>
      <c r="K1030" t="s">
        <v>37</v>
      </c>
      <c r="L1030" t="s">
        <v>49</v>
      </c>
      <c r="M1030">
        <v>1</v>
      </c>
    </row>
    <row r="1031" spans="1:13" x14ac:dyDescent="0.25">
      <c r="A1031">
        <v>1542</v>
      </c>
      <c r="B1031" t="s">
        <v>976</v>
      </c>
      <c r="C1031" t="s">
        <v>51</v>
      </c>
      <c r="D1031">
        <v>2018</v>
      </c>
      <c r="E1031">
        <v>9446</v>
      </c>
      <c r="F1031">
        <v>15000</v>
      </c>
      <c r="G1031">
        <v>120000</v>
      </c>
      <c r="H1031" t="s">
        <v>41</v>
      </c>
      <c r="I1031" t="s">
        <v>42</v>
      </c>
      <c r="J1031" t="s">
        <v>36</v>
      </c>
      <c r="K1031" t="s">
        <v>44</v>
      </c>
      <c r="M1031">
        <v>3</v>
      </c>
    </row>
    <row r="1032" spans="1:13" x14ac:dyDescent="0.25">
      <c r="A1032">
        <v>1313</v>
      </c>
      <c r="B1032" t="s">
        <v>977</v>
      </c>
      <c r="C1032" t="s">
        <v>61</v>
      </c>
      <c r="D1032">
        <v>2014</v>
      </c>
      <c r="E1032">
        <v>28466</v>
      </c>
      <c r="F1032">
        <v>31000</v>
      </c>
      <c r="G1032">
        <v>25000</v>
      </c>
      <c r="H1032" t="s">
        <v>69</v>
      </c>
      <c r="J1032" t="s">
        <v>66</v>
      </c>
      <c r="K1032" t="s">
        <v>48</v>
      </c>
      <c r="L1032" t="s">
        <v>109</v>
      </c>
      <c r="M1032">
        <v>0</v>
      </c>
    </row>
    <row r="1033" spans="1:13" x14ac:dyDescent="0.25">
      <c r="A1033">
        <v>1344</v>
      </c>
      <c r="B1033" t="s">
        <v>220</v>
      </c>
      <c r="C1033" t="s">
        <v>94</v>
      </c>
      <c r="D1033">
        <v>2021</v>
      </c>
      <c r="E1033">
        <v>11340</v>
      </c>
      <c r="F1033">
        <v>15000</v>
      </c>
      <c r="G1033">
        <v>25000</v>
      </c>
      <c r="I1033" t="s">
        <v>42</v>
      </c>
      <c r="J1033" t="s">
        <v>43</v>
      </c>
      <c r="L1033" t="s">
        <v>126</v>
      </c>
      <c r="M1033">
        <v>0</v>
      </c>
    </row>
    <row r="1034" spans="1:13" x14ac:dyDescent="0.25">
      <c r="A1034">
        <v>1209</v>
      </c>
      <c r="B1034" t="s">
        <v>199</v>
      </c>
      <c r="C1034" t="s">
        <v>32</v>
      </c>
      <c r="E1034">
        <v>7636</v>
      </c>
      <c r="F1034">
        <v>12000</v>
      </c>
      <c r="G1034">
        <v>25000</v>
      </c>
      <c r="H1034" t="s">
        <v>84</v>
      </c>
      <c r="J1034" t="s">
        <v>43</v>
      </c>
      <c r="K1034" t="s">
        <v>100</v>
      </c>
      <c r="L1034" t="s">
        <v>38</v>
      </c>
      <c r="M1034">
        <v>1</v>
      </c>
    </row>
    <row r="1035" spans="1:13" x14ac:dyDescent="0.25">
      <c r="A1035">
        <v>1418</v>
      </c>
      <c r="B1035" t="s">
        <v>439</v>
      </c>
      <c r="C1035" t="s">
        <v>47</v>
      </c>
      <c r="D1035">
        <v>2019</v>
      </c>
      <c r="E1035" t="s">
        <v>978</v>
      </c>
      <c r="F1035">
        <v>9000</v>
      </c>
      <c r="G1035">
        <v>15000</v>
      </c>
      <c r="I1035" t="s">
        <v>42</v>
      </c>
      <c r="J1035" t="s">
        <v>36</v>
      </c>
      <c r="K1035" t="s">
        <v>44</v>
      </c>
      <c r="L1035" t="s">
        <v>38</v>
      </c>
    </row>
    <row r="1036" spans="1:13" x14ac:dyDescent="0.25">
      <c r="A1036">
        <v>1045</v>
      </c>
      <c r="B1036" t="s">
        <v>252</v>
      </c>
      <c r="C1036" t="s">
        <v>32</v>
      </c>
      <c r="D1036">
        <v>2015</v>
      </c>
      <c r="E1036">
        <v>12602</v>
      </c>
      <c r="F1036">
        <v>18000</v>
      </c>
      <c r="G1036" t="s">
        <v>121</v>
      </c>
      <c r="H1036" t="s">
        <v>41</v>
      </c>
      <c r="I1036" t="s">
        <v>59</v>
      </c>
      <c r="J1036" t="s">
        <v>66</v>
      </c>
      <c r="K1036" t="s">
        <v>48</v>
      </c>
      <c r="L1036" t="s">
        <v>109</v>
      </c>
      <c r="M1036">
        <v>0</v>
      </c>
    </row>
    <row r="1037" spans="1:13" x14ac:dyDescent="0.25">
      <c r="A1037">
        <v>1437</v>
      </c>
      <c r="B1037" t="s">
        <v>979</v>
      </c>
      <c r="C1037" t="s">
        <v>75</v>
      </c>
      <c r="D1037">
        <v>2022</v>
      </c>
      <c r="E1037">
        <v>11726</v>
      </c>
      <c r="F1037">
        <v>15000</v>
      </c>
      <c r="G1037">
        <v>80000</v>
      </c>
      <c r="H1037" t="s">
        <v>58</v>
      </c>
      <c r="I1037" t="s">
        <v>35</v>
      </c>
      <c r="J1037" t="s">
        <v>36</v>
      </c>
      <c r="K1037" t="s">
        <v>73</v>
      </c>
      <c r="L1037" t="s">
        <v>45</v>
      </c>
      <c r="M1037">
        <v>1</v>
      </c>
    </row>
    <row r="1038" spans="1:13" x14ac:dyDescent="0.25">
      <c r="A1038">
        <v>1200</v>
      </c>
      <c r="B1038" t="s">
        <v>980</v>
      </c>
      <c r="C1038" t="s">
        <v>57</v>
      </c>
      <c r="D1038">
        <v>2016</v>
      </c>
      <c r="E1038">
        <v>13630</v>
      </c>
      <c r="F1038">
        <v>15000</v>
      </c>
      <c r="G1038">
        <v>120000</v>
      </c>
      <c r="H1038" t="s">
        <v>41</v>
      </c>
      <c r="I1038" t="s">
        <v>59</v>
      </c>
      <c r="J1038" t="s">
        <v>66</v>
      </c>
      <c r="K1038" t="s">
        <v>100</v>
      </c>
      <c r="L1038" t="s">
        <v>126</v>
      </c>
      <c r="M1038">
        <v>0</v>
      </c>
    </row>
    <row r="1039" spans="1:13" x14ac:dyDescent="0.25">
      <c r="A1039">
        <v>1064</v>
      </c>
      <c r="B1039" t="s">
        <v>276</v>
      </c>
      <c r="C1039" t="s">
        <v>47</v>
      </c>
      <c r="D1039">
        <v>2019</v>
      </c>
      <c r="E1039">
        <v>13463</v>
      </c>
      <c r="F1039">
        <v>18000</v>
      </c>
      <c r="G1039">
        <v>120000</v>
      </c>
      <c r="H1039" t="s">
        <v>58</v>
      </c>
      <c r="I1039" t="s">
        <v>72</v>
      </c>
      <c r="J1039" t="s">
        <v>36</v>
      </c>
      <c r="L1039" t="s">
        <v>90</v>
      </c>
      <c r="M1039">
        <v>3</v>
      </c>
    </row>
    <row r="1040" spans="1:13" x14ac:dyDescent="0.25">
      <c r="A1040">
        <v>1425</v>
      </c>
      <c r="B1040" t="s">
        <v>981</v>
      </c>
      <c r="C1040" t="s">
        <v>32</v>
      </c>
      <c r="D1040">
        <v>2015</v>
      </c>
      <c r="E1040" t="s">
        <v>982</v>
      </c>
      <c r="F1040">
        <v>12000</v>
      </c>
      <c r="G1040">
        <v>25000</v>
      </c>
      <c r="H1040" t="s">
        <v>69</v>
      </c>
      <c r="L1040" t="s">
        <v>109</v>
      </c>
      <c r="M1040">
        <v>3</v>
      </c>
    </row>
    <row r="1041" spans="1:13" x14ac:dyDescent="0.25">
      <c r="A1041">
        <v>1455</v>
      </c>
      <c r="B1041" t="s">
        <v>983</v>
      </c>
      <c r="C1041" t="s">
        <v>57</v>
      </c>
      <c r="E1041">
        <v>10520</v>
      </c>
      <c r="F1041">
        <v>15000</v>
      </c>
      <c r="G1041" t="s">
        <v>92</v>
      </c>
      <c r="H1041" t="s">
        <v>41</v>
      </c>
      <c r="I1041" t="s">
        <v>42</v>
      </c>
      <c r="J1041" t="s">
        <v>43</v>
      </c>
      <c r="K1041" t="s">
        <v>54</v>
      </c>
      <c r="L1041" t="s">
        <v>98</v>
      </c>
    </row>
    <row r="1042" spans="1:13" x14ac:dyDescent="0.25">
      <c r="A1042">
        <v>1235</v>
      </c>
      <c r="B1042" t="s">
        <v>984</v>
      </c>
      <c r="C1042" t="s">
        <v>138</v>
      </c>
      <c r="D1042">
        <v>2015</v>
      </c>
      <c r="E1042">
        <v>6962</v>
      </c>
      <c r="F1042">
        <v>9000</v>
      </c>
      <c r="G1042">
        <v>120000</v>
      </c>
      <c r="I1042" t="s">
        <v>59</v>
      </c>
      <c r="K1042" t="s">
        <v>100</v>
      </c>
      <c r="L1042" t="s">
        <v>126</v>
      </c>
    </row>
    <row r="1043" spans="1:13" x14ac:dyDescent="0.25">
      <c r="A1043">
        <v>1520</v>
      </c>
      <c r="B1043" t="s">
        <v>476</v>
      </c>
      <c r="C1043" t="s">
        <v>57</v>
      </c>
      <c r="D1043">
        <v>2022</v>
      </c>
      <c r="E1043">
        <v>12030</v>
      </c>
      <c r="F1043">
        <v>15000</v>
      </c>
      <c r="G1043" t="s">
        <v>33</v>
      </c>
      <c r="H1043" t="s">
        <v>84</v>
      </c>
      <c r="I1043" t="s">
        <v>72</v>
      </c>
      <c r="L1043" t="s">
        <v>49</v>
      </c>
      <c r="M1043">
        <v>2</v>
      </c>
    </row>
    <row r="1044" spans="1:13" x14ac:dyDescent="0.25">
      <c r="A1044">
        <v>1502</v>
      </c>
      <c r="B1044" t="s">
        <v>464</v>
      </c>
      <c r="C1044" t="s">
        <v>65</v>
      </c>
      <c r="D1044">
        <v>2019</v>
      </c>
      <c r="E1044">
        <v>10640</v>
      </c>
      <c r="F1044">
        <v>12000</v>
      </c>
      <c r="G1044">
        <v>25000</v>
      </c>
      <c r="H1044" t="s">
        <v>53</v>
      </c>
      <c r="I1044" t="s">
        <v>35</v>
      </c>
      <c r="K1044" t="s">
        <v>100</v>
      </c>
      <c r="L1044" t="s">
        <v>55</v>
      </c>
      <c r="M1044">
        <v>0</v>
      </c>
    </row>
    <row r="1045" spans="1:13" x14ac:dyDescent="0.25">
      <c r="A1045">
        <v>1168</v>
      </c>
      <c r="B1045" t="s">
        <v>468</v>
      </c>
      <c r="C1045" t="s">
        <v>103</v>
      </c>
      <c r="D1045" t="s">
        <v>52</v>
      </c>
      <c r="E1045">
        <v>5364</v>
      </c>
      <c r="F1045">
        <v>9000</v>
      </c>
      <c r="G1045">
        <v>120000</v>
      </c>
      <c r="H1045" t="s">
        <v>41</v>
      </c>
      <c r="I1045" t="s">
        <v>35</v>
      </c>
      <c r="J1045" t="s">
        <v>36</v>
      </c>
      <c r="K1045" t="s">
        <v>73</v>
      </c>
      <c r="L1045" t="s">
        <v>126</v>
      </c>
      <c r="M1045">
        <v>0</v>
      </c>
    </row>
    <row r="1046" spans="1:13" x14ac:dyDescent="0.25">
      <c r="A1046">
        <v>1492</v>
      </c>
      <c r="B1046" t="s">
        <v>110</v>
      </c>
      <c r="C1046" t="s">
        <v>61</v>
      </c>
      <c r="D1046">
        <v>2016</v>
      </c>
      <c r="E1046">
        <v>2365</v>
      </c>
      <c r="F1046" t="s">
        <v>81</v>
      </c>
      <c r="G1046">
        <v>15000</v>
      </c>
      <c r="H1046" t="s">
        <v>63</v>
      </c>
      <c r="I1046" t="s">
        <v>35</v>
      </c>
      <c r="K1046" t="s">
        <v>73</v>
      </c>
      <c r="L1046" t="s">
        <v>90</v>
      </c>
      <c r="M1046">
        <v>2</v>
      </c>
    </row>
    <row r="1047" spans="1:13" x14ac:dyDescent="0.25">
      <c r="A1047">
        <v>1299</v>
      </c>
      <c r="B1047" t="s">
        <v>441</v>
      </c>
      <c r="C1047" t="s">
        <v>61</v>
      </c>
      <c r="D1047">
        <v>2020</v>
      </c>
      <c r="E1047">
        <v>2712</v>
      </c>
      <c r="F1047" t="s">
        <v>81</v>
      </c>
      <c r="G1047">
        <v>80000</v>
      </c>
      <c r="I1047" t="s">
        <v>72</v>
      </c>
      <c r="J1047" t="s">
        <v>43</v>
      </c>
      <c r="L1047" t="s">
        <v>49</v>
      </c>
      <c r="M1047">
        <v>1</v>
      </c>
    </row>
    <row r="1048" spans="1:13" x14ac:dyDescent="0.25">
      <c r="A1048">
        <v>1041</v>
      </c>
      <c r="B1048" t="s">
        <v>985</v>
      </c>
      <c r="C1048" t="s">
        <v>57</v>
      </c>
      <c r="D1048">
        <v>2018</v>
      </c>
      <c r="E1048">
        <v>2892</v>
      </c>
      <c r="F1048">
        <v>7000</v>
      </c>
      <c r="G1048" t="s">
        <v>130</v>
      </c>
      <c r="H1048" t="s">
        <v>41</v>
      </c>
      <c r="I1048" t="s">
        <v>35</v>
      </c>
      <c r="J1048" t="s">
        <v>96</v>
      </c>
      <c r="K1048" t="s">
        <v>77</v>
      </c>
      <c r="L1048" t="s">
        <v>98</v>
      </c>
      <c r="M1048">
        <v>2</v>
      </c>
    </row>
    <row r="1049" spans="1:13" x14ac:dyDescent="0.25">
      <c r="A1049">
        <v>1542</v>
      </c>
      <c r="B1049" t="s">
        <v>986</v>
      </c>
      <c r="C1049" t="s">
        <v>61</v>
      </c>
      <c r="D1049">
        <v>2015</v>
      </c>
      <c r="E1049" t="s">
        <v>987</v>
      </c>
      <c r="F1049">
        <v>22000</v>
      </c>
      <c r="G1049" t="s">
        <v>108</v>
      </c>
      <c r="H1049" t="s">
        <v>34</v>
      </c>
      <c r="I1049" t="s">
        <v>42</v>
      </c>
      <c r="J1049" t="s">
        <v>96</v>
      </c>
      <c r="L1049" t="s">
        <v>38</v>
      </c>
      <c r="M1049">
        <v>2</v>
      </c>
    </row>
    <row r="1050" spans="1:13" x14ac:dyDescent="0.25">
      <c r="A1050">
        <v>1590</v>
      </c>
      <c r="B1050" t="s">
        <v>988</v>
      </c>
      <c r="C1050" t="s">
        <v>79</v>
      </c>
      <c r="D1050" t="s">
        <v>52</v>
      </c>
      <c r="E1050">
        <v>3460</v>
      </c>
      <c r="F1050" t="s">
        <v>147</v>
      </c>
      <c r="G1050">
        <v>40000</v>
      </c>
      <c r="I1050" t="s">
        <v>35</v>
      </c>
      <c r="J1050" t="s">
        <v>43</v>
      </c>
      <c r="K1050" t="s">
        <v>77</v>
      </c>
      <c r="L1050" t="s">
        <v>38</v>
      </c>
      <c r="M1050">
        <v>3</v>
      </c>
    </row>
    <row r="1051" spans="1:13" x14ac:dyDescent="0.25">
      <c r="A1051">
        <v>1189</v>
      </c>
      <c r="B1051" t="s">
        <v>989</v>
      </c>
      <c r="C1051" t="s">
        <v>138</v>
      </c>
      <c r="E1051" t="s">
        <v>990</v>
      </c>
      <c r="F1051" t="s">
        <v>115</v>
      </c>
      <c r="G1051">
        <v>15000</v>
      </c>
      <c r="H1051" t="s">
        <v>84</v>
      </c>
      <c r="I1051" t="s">
        <v>59</v>
      </c>
      <c r="J1051" t="s">
        <v>96</v>
      </c>
      <c r="L1051" t="s">
        <v>49</v>
      </c>
    </row>
    <row r="1052" spans="1:13" x14ac:dyDescent="0.25">
      <c r="A1052">
        <v>1485</v>
      </c>
      <c r="B1052" t="s">
        <v>607</v>
      </c>
      <c r="C1052" t="s">
        <v>40</v>
      </c>
      <c r="D1052">
        <v>2018</v>
      </c>
      <c r="E1052">
        <v>15547</v>
      </c>
      <c r="F1052">
        <v>18000</v>
      </c>
      <c r="G1052">
        <v>120000</v>
      </c>
      <c r="H1052" t="s">
        <v>34</v>
      </c>
      <c r="I1052" t="s">
        <v>42</v>
      </c>
      <c r="K1052" t="s">
        <v>37</v>
      </c>
      <c r="L1052" t="s">
        <v>98</v>
      </c>
      <c r="M1052">
        <v>2</v>
      </c>
    </row>
    <row r="1053" spans="1:13" x14ac:dyDescent="0.25">
      <c r="A1053">
        <v>1302</v>
      </c>
      <c r="B1053" t="s">
        <v>991</v>
      </c>
      <c r="C1053" t="s">
        <v>119</v>
      </c>
      <c r="D1053">
        <v>2016</v>
      </c>
      <c r="E1053">
        <v>2294</v>
      </c>
      <c r="F1053">
        <v>9000</v>
      </c>
      <c r="G1053">
        <v>25000</v>
      </c>
      <c r="H1053" t="s">
        <v>69</v>
      </c>
      <c r="I1053" t="s">
        <v>59</v>
      </c>
      <c r="J1053" t="s">
        <v>96</v>
      </c>
      <c r="K1053" t="s">
        <v>100</v>
      </c>
      <c r="L1053" t="s">
        <v>126</v>
      </c>
      <c r="M1053">
        <v>1</v>
      </c>
    </row>
    <row r="1054" spans="1:13" x14ac:dyDescent="0.25">
      <c r="A1054">
        <v>1441</v>
      </c>
      <c r="B1054" t="s">
        <v>845</v>
      </c>
      <c r="C1054" t="s">
        <v>103</v>
      </c>
      <c r="D1054">
        <v>2016</v>
      </c>
      <c r="E1054">
        <v>15059</v>
      </c>
      <c r="F1054">
        <v>22000</v>
      </c>
      <c r="G1054">
        <v>120000</v>
      </c>
      <c r="H1054" t="s">
        <v>84</v>
      </c>
      <c r="I1054" t="s">
        <v>59</v>
      </c>
      <c r="J1054" t="s">
        <v>36</v>
      </c>
      <c r="K1054" t="s">
        <v>48</v>
      </c>
      <c r="L1054" t="s">
        <v>45</v>
      </c>
      <c r="M1054">
        <v>3</v>
      </c>
    </row>
    <row r="1055" spans="1:13" x14ac:dyDescent="0.25">
      <c r="A1055">
        <v>1412</v>
      </c>
      <c r="B1055" t="s">
        <v>210</v>
      </c>
      <c r="C1055" t="s">
        <v>57</v>
      </c>
      <c r="D1055">
        <v>2019</v>
      </c>
      <c r="E1055">
        <v>20654</v>
      </c>
      <c r="F1055">
        <v>22000</v>
      </c>
      <c r="G1055">
        <v>40000</v>
      </c>
      <c r="H1055" t="s">
        <v>58</v>
      </c>
      <c r="I1055" t="s">
        <v>72</v>
      </c>
      <c r="J1055" t="s">
        <v>66</v>
      </c>
      <c r="K1055" t="s">
        <v>73</v>
      </c>
      <c r="L1055" t="s">
        <v>49</v>
      </c>
      <c r="M1055">
        <v>3</v>
      </c>
    </row>
    <row r="1056" spans="1:13" x14ac:dyDescent="0.25">
      <c r="A1056">
        <v>1589</v>
      </c>
      <c r="B1056" t="s">
        <v>992</v>
      </c>
      <c r="C1056" t="s">
        <v>94</v>
      </c>
      <c r="D1056">
        <v>2018</v>
      </c>
      <c r="E1056">
        <v>22620</v>
      </c>
      <c r="F1056">
        <v>26000</v>
      </c>
      <c r="G1056">
        <v>40000</v>
      </c>
      <c r="H1056" t="s">
        <v>41</v>
      </c>
      <c r="I1056" t="s">
        <v>42</v>
      </c>
      <c r="J1056" t="s">
        <v>36</v>
      </c>
      <c r="K1056" t="s">
        <v>44</v>
      </c>
      <c r="L1056" t="s">
        <v>38</v>
      </c>
    </row>
    <row r="1057" spans="1:13" x14ac:dyDescent="0.25">
      <c r="A1057">
        <v>1063</v>
      </c>
      <c r="B1057" t="s">
        <v>993</v>
      </c>
      <c r="C1057" t="s">
        <v>57</v>
      </c>
      <c r="D1057">
        <v>2018</v>
      </c>
      <c r="E1057">
        <v>19901</v>
      </c>
      <c r="F1057">
        <v>22000</v>
      </c>
      <c r="G1057">
        <v>120000</v>
      </c>
      <c r="H1057" t="s">
        <v>41</v>
      </c>
      <c r="I1057" t="s">
        <v>72</v>
      </c>
      <c r="J1057" t="s">
        <v>66</v>
      </c>
      <c r="K1057" t="s">
        <v>77</v>
      </c>
      <c r="L1057" t="s">
        <v>38</v>
      </c>
      <c r="M1057">
        <v>1</v>
      </c>
    </row>
    <row r="1058" spans="1:13" x14ac:dyDescent="0.25">
      <c r="A1058">
        <v>1404</v>
      </c>
      <c r="B1058" t="s">
        <v>558</v>
      </c>
      <c r="C1058" t="s">
        <v>79</v>
      </c>
      <c r="D1058">
        <v>2017</v>
      </c>
      <c r="E1058">
        <v>14419</v>
      </c>
      <c r="F1058">
        <v>18000</v>
      </c>
      <c r="G1058">
        <v>80000</v>
      </c>
      <c r="H1058" t="s">
        <v>84</v>
      </c>
      <c r="I1058" t="s">
        <v>35</v>
      </c>
      <c r="K1058" t="s">
        <v>116</v>
      </c>
      <c r="M1058">
        <v>3</v>
      </c>
    </row>
    <row r="1059" spans="1:13" x14ac:dyDescent="0.25">
      <c r="A1059">
        <v>1093</v>
      </c>
      <c r="B1059" t="s">
        <v>252</v>
      </c>
      <c r="C1059" t="s">
        <v>32</v>
      </c>
      <c r="D1059">
        <v>2022</v>
      </c>
      <c r="E1059">
        <v>4373</v>
      </c>
      <c r="F1059">
        <v>7000</v>
      </c>
      <c r="G1059" t="s">
        <v>121</v>
      </c>
      <c r="H1059" t="s">
        <v>34</v>
      </c>
      <c r="I1059" t="s">
        <v>72</v>
      </c>
      <c r="J1059" t="s">
        <v>66</v>
      </c>
      <c r="K1059" t="s">
        <v>73</v>
      </c>
      <c r="L1059" t="s">
        <v>98</v>
      </c>
      <c r="M1059">
        <v>0</v>
      </c>
    </row>
    <row r="1060" spans="1:13" x14ac:dyDescent="0.25">
      <c r="A1060">
        <v>1472</v>
      </c>
      <c r="B1060" t="s">
        <v>240</v>
      </c>
      <c r="C1060" t="s">
        <v>75</v>
      </c>
      <c r="D1060">
        <v>2015</v>
      </c>
      <c r="E1060">
        <v>26811</v>
      </c>
      <c r="F1060">
        <v>31000</v>
      </c>
      <c r="G1060">
        <v>40000</v>
      </c>
      <c r="H1060" t="s">
        <v>41</v>
      </c>
      <c r="I1060" t="s">
        <v>35</v>
      </c>
      <c r="J1060" t="s">
        <v>66</v>
      </c>
      <c r="K1060" t="s">
        <v>77</v>
      </c>
      <c r="L1060" t="s">
        <v>126</v>
      </c>
      <c r="M1060">
        <v>0</v>
      </c>
    </row>
    <row r="1061" spans="1:13" x14ac:dyDescent="0.25">
      <c r="A1061">
        <v>1536</v>
      </c>
      <c r="B1061" t="s">
        <v>994</v>
      </c>
      <c r="C1061" t="s">
        <v>32</v>
      </c>
      <c r="D1061">
        <v>2019</v>
      </c>
      <c r="E1061">
        <v>20497</v>
      </c>
      <c r="F1061">
        <v>26000</v>
      </c>
      <c r="G1061">
        <v>15000</v>
      </c>
      <c r="I1061" t="s">
        <v>59</v>
      </c>
      <c r="J1061" t="s">
        <v>96</v>
      </c>
      <c r="K1061" t="s">
        <v>54</v>
      </c>
      <c r="L1061" t="s">
        <v>49</v>
      </c>
      <c r="M1061">
        <v>3</v>
      </c>
    </row>
    <row r="1062" spans="1:13" x14ac:dyDescent="0.25">
      <c r="A1062">
        <v>1137</v>
      </c>
      <c r="B1062" t="s">
        <v>995</v>
      </c>
      <c r="C1062" t="s">
        <v>40</v>
      </c>
      <c r="E1062">
        <v>10987</v>
      </c>
      <c r="F1062" t="s">
        <v>89</v>
      </c>
      <c r="G1062">
        <v>60000</v>
      </c>
      <c r="H1062" t="s">
        <v>84</v>
      </c>
      <c r="K1062" t="s">
        <v>54</v>
      </c>
      <c r="L1062" t="s">
        <v>49</v>
      </c>
    </row>
    <row r="1063" spans="1:13" x14ac:dyDescent="0.25">
      <c r="A1063">
        <v>1351</v>
      </c>
      <c r="B1063" t="s">
        <v>419</v>
      </c>
      <c r="C1063" t="s">
        <v>51</v>
      </c>
      <c r="D1063">
        <v>2017</v>
      </c>
      <c r="E1063">
        <v>9660</v>
      </c>
      <c r="F1063">
        <v>15000</v>
      </c>
      <c r="G1063">
        <v>60000</v>
      </c>
      <c r="H1063" t="s">
        <v>34</v>
      </c>
      <c r="I1063" t="s">
        <v>42</v>
      </c>
      <c r="J1063" t="s">
        <v>66</v>
      </c>
      <c r="K1063" t="s">
        <v>100</v>
      </c>
      <c r="L1063" t="s">
        <v>38</v>
      </c>
    </row>
    <row r="1064" spans="1:13" x14ac:dyDescent="0.25">
      <c r="A1064">
        <v>1345</v>
      </c>
      <c r="B1064" t="s">
        <v>996</v>
      </c>
      <c r="C1064" t="s">
        <v>164</v>
      </c>
      <c r="D1064">
        <v>2015</v>
      </c>
      <c r="E1064">
        <v>11748</v>
      </c>
      <c r="F1064" t="s">
        <v>89</v>
      </c>
      <c r="G1064">
        <v>60000</v>
      </c>
      <c r="H1064" t="s">
        <v>69</v>
      </c>
      <c r="I1064" t="s">
        <v>42</v>
      </c>
      <c r="L1064" t="s">
        <v>98</v>
      </c>
      <c r="M1064">
        <v>0</v>
      </c>
    </row>
    <row r="1065" spans="1:13" x14ac:dyDescent="0.25">
      <c r="A1065">
        <v>1404</v>
      </c>
      <c r="B1065" t="s">
        <v>997</v>
      </c>
      <c r="C1065" t="s">
        <v>79</v>
      </c>
      <c r="D1065" t="s">
        <v>52</v>
      </c>
      <c r="E1065">
        <v>4054</v>
      </c>
      <c r="F1065">
        <v>7000</v>
      </c>
      <c r="G1065">
        <v>40000</v>
      </c>
      <c r="H1065" t="s">
        <v>84</v>
      </c>
      <c r="I1065" t="s">
        <v>35</v>
      </c>
      <c r="J1065" t="s">
        <v>66</v>
      </c>
      <c r="K1065" t="s">
        <v>48</v>
      </c>
      <c r="L1065" t="s">
        <v>126</v>
      </c>
      <c r="M1065">
        <v>0</v>
      </c>
    </row>
    <row r="1066" spans="1:13" x14ac:dyDescent="0.25">
      <c r="A1066">
        <v>1090</v>
      </c>
      <c r="B1066" t="s">
        <v>998</v>
      </c>
      <c r="C1066" t="s">
        <v>47</v>
      </c>
      <c r="D1066">
        <v>2014</v>
      </c>
      <c r="E1066">
        <v>10801</v>
      </c>
      <c r="F1066">
        <v>15000</v>
      </c>
      <c r="G1066">
        <v>40000</v>
      </c>
      <c r="I1066" t="s">
        <v>35</v>
      </c>
      <c r="J1066" t="s">
        <v>96</v>
      </c>
      <c r="K1066" t="s">
        <v>77</v>
      </c>
      <c r="L1066" t="s">
        <v>49</v>
      </c>
      <c r="M1066">
        <v>1</v>
      </c>
    </row>
    <row r="1067" spans="1:13" x14ac:dyDescent="0.25">
      <c r="A1067">
        <v>1521</v>
      </c>
      <c r="B1067" t="s">
        <v>926</v>
      </c>
      <c r="C1067" t="s">
        <v>47</v>
      </c>
      <c r="D1067">
        <v>2018</v>
      </c>
      <c r="E1067">
        <v>20574</v>
      </c>
      <c r="F1067">
        <v>22000</v>
      </c>
      <c r="G1067" t="s">
        <v>130</v>
      </c>
      <c r="I1067" t="s">
        <v>59</v>
      </c>
      <c r="K1067" t="s">
        <v>100</v>
      </c>
      <c r="L1067" t="s">
        <v>38</v>
      </c>
    </row>
    <row r="1068" spans="1:13" x14ac:dyDescent="0.25">
      <c r="A1068">
        <v>1567</v>
      </c>
      <c r="B1068" t="s">
        <v>999</v>
      </c>
      <c r="C1068" t="s">
        <v>65</v>
      </c>
      <c r="D1068">
        <v>2018</v>
      </c>
      <c r="E1068" t="s">
        <v>1000</v>
      </c>
      <c r="F1068">
        <v>7000</v>
      </c>
      <c r="G1068">
        <v>15000</v>
      </c>
      <c r="H1068" t="s">
        <v>53</v>
      </c>
      <c r="I1068" t="s">
        <v>72</v>
      </c>
      <c r="J1068" t="s">
        <v>96</v>
      </c>
      <c r="K1068" t="s">
        <v>77</v>
      </c>
      <c r="L1068" t="s">
        <v>55</v>
      </c>
    </row>
    <row r="1069" spans="1:13" x14ac:dyDescent="0.25">
      <c r="A1069">
        <v>1127</v>
      </c>
      <c r="B1069" t="s">
        <v>343</v>
      </c>
      <c r="C1069" t="s">
        <v>164</v>
      </c>
      <c r="D1069">
        <v>2020</v>
      </c>
      <c r="E1069" t="s">
        <v>1001</v>
      </c>
      <c r="F1069">
        <v>7000</v>
      </c>
      <c r="G1069">
        <v>25000</v>
      </c>
      <c r="H1069" t="s">
        <v>41</v>
      </c>
      <c r="J1069" t="s">
        <v>36</v>
      </c>
      <c r="L1069" t="s">
        <v>109</v>
      </c>
    </row>
    <row r="1070" spans="1:13" x14ac:dyDescent="0.25">
      <c r="A1070">
        <v>1463</v>
      </c>
      <c r="B1070" t="s">
        <v>1002</v>
      </c>
      <c r="C1070" t="s">
        <v>75</v>
      </c>
      <c r="D1070">
        <v>2018</v>
      </c>
      <c r="E1070">
        <v>15511</v>
      </c>
      <c r="F1070">
        <v>18000</v>
      </c>
      <c r="G1070" t="s">
        <v>121</v>
      </c>
      <c r="H1070" t="s">
        <v>34</v>
      </c>
      <c r="K1070" t="s">
        <v>48</v>
      </c>
      <c r="L1070" t="s">
        <v>45</v>
      </c>
    </row>
    <row r="1071" spans="1:13" x14ac:dyDescent="0.25">
      <c r="A1071">
        <v>1593</v>
      </c>
      <c r="B1071" t="s">
        <v>283</v>
      </c>
      <c r="C1071" t="s">
        <v>138</v>
      </c>
      <c r="D1071">
        <v>2015</v>
      </c>
      <c r="E1071">
        <v>12616</v>
      </c>
      <c r="F1071">
        <v>18000</v>
      </c>
      <c r="G1071" t="s">
        <v>33</v>
      </c>
      <c r="H1071" t="s">
        <v>63</v>
      </c>
      <c r="J1071" t="s">
        <v>36</v>
      </c>
      <c r="K1071" t="s">
        <v>54</v>
      </c>
      <c r="L1071" t="s">
        <v>126</v>
      </c>
    </row>
    <row r="1072" spans="1:13" x14ac:dyDescent="0.25">
      <c r="A1072">
        <v>1189</v>
      </c>
      <c r="B1072" t="s">
        <v>1003</v>
      </c>
      <c r="C1072" t="s">
        <v>51</v>
      </c>
      <c r="E1072">
        <v>12441</v>
      </c>
      <c r="F1072">
        <v>15000</v>
      </c>
      <c r="G1072" t="s">
        <v>33</v>
      </c>
      <c r="H1072" t="s">
        <v>58</v>
      </c>
      <c r="I1072" t="s">
        <v>59</v>
      </c>
      <c r="J1072" t="s">
        <v>43</v>
      </c>
      <c r="L1072" t="s">
        <v>126</v>
      </c>
      <c r="M1072">
        <v>3</v>
      </c>
    </row>
    <row r="1073" spans="1:13" x14ac:dyDescent="0.25">
      <c r="A1073">
        <v>1468</v>
      </c>
      <c r="B1073" t="s">
        <v>304</v>
      </c>
      <c r="C1073" t="s">
        <v>40</v>
      </c>
      <c r="D1073">
        <v>2022</v>
      </c>
      <c r="E1073">
        <v>26740</v>
      </c>
      <c r="F1073">
        <v>31000</v>
      </c>
      <c r="G1073" t="s">
        <v>33</v>
      </c>
      <c r="I1073" t="s">
        <v>42</v>
      </c>
      <c r="J1073" t="s">
        <v>66</v>
      </c>
      <c r="K1073" t="s">
        <v>54</v>
      </c>
      <c r="M1073">
        <v>1</v>
      </c>
    </row>
    <row r="1074" spans="1:13" x14ac:dyDescent="0.25">
      <c r="A1074">
        <v>1141</v>
      </c>
      <c r="B1074" t="s">
        <v>1004</v>
      </c>
      <c r="C1074" t="s">
        <v>119</v>
      </c>
      <c r="D1074">
        <v>2019</v>
      </c>
      <c r="E1074">
        <v>19002</v>
      </c>
      <c r="F1074">
        <v>22000</v>
      </c>
      <c r="G1074" t="s">
        <v>108</v>
      </c>
      <c r="H1074" t="s">
        <v>69</v>
      </c>
      <c r="I1074" t="s">
        <v>35</v>
      </c>
      <c r="J1074" t="s">
        <v>96</v>
      </c>
      <c r="K1074" t="s">
        <v>48</v>
      </c>
      <c r="L1074" t="s">
        <v>49</v>
      </c>
      <c r="M1074">
        <v>1</v>
      </c>
    </row>
    <row r="1075" spans="1:13" x14ac:dyDescent="0.25">
      <c r="A1075">
        <v>1367</v>
      </c>
      <c r="B1075" t="s">
        <v>1005</v>
      </c>
      <c r="C1075" t="s">
        <v>103</v>
      </c>
      <c r="D1075">
        <v>2019</v>
      </c>
      <c r="E1075">
        <v>4794</v>
      </c>
      <c r="F1075" t="s">
        <v>147</v>
      </c>
      <c r="G1075">
        <v>80000</v>
      </c>
      <c r="H1075" t="s">
        <v>84</v>
      </c>
      <c r="J1075" t="s">
        <v>43</v>
      </c>
      <c r="K1075" t="s">
        <v>48</v>
      </c>
      <c r="L1075" t="s">
        <v>109</v>
      </c>
      <c r="M1075">
        <v>3</v>
      </c>
    </row>
    <row r="1076" spans="1:13" x14ac:dyDescent="0.25">
      <c r="A1076">
        <v>1100</v>
      </c>
      <c r="B1076" t="s">
        <v>1006</v>
      </c>
      <c r="C1076" t="s">
        <v>75</v>
      </c>
      <c r="D1076">
        <v>2017</v>
      </c>
      <c r="E1076">
        <v>2053</v>
      </c>
      <c r="F1076">
        <v>7000</v>
      </c>
      <c r="G1076" t="s">
        <v>121</v>
      </c>
      <c r="H1076" t="s">
        <v>53</v>
      </c>
      <c r="J1076" t="s">
        <v>96</v>
      </c>
      <c r="K1076" t="s">
        <v>44</v>
      </c>
      <c r="L1076" t="s">
        <v>49</v>
      </c>
      <c r="M1076">
        <v>2</v>
      </c>
    </row>
    <row r="1077" spans="1:13" x14ac:dyDescent="0.25">
      <c r="A1077">
        <v>1318</v>
      </c>
      <c r="B1077" t="s">
        <v>248</v>
      </c>
      <c r="C1077" t="s">
        <v>47</v>
      </c>
      <c r="D1077">
        <v>2018</v>
      </c>
      <c r="E1077">
        <v>23780</v>
      </c>
      <c r="F1077">
        <v>26000</v>
      </c>
      <c r="G1077">
        <v>80000</v>
      </c>
      <c r="H1077" t="s">
        <v>41</v>
      </c>
      <c r="I1077" t="s">
        <v>42</v>
      </c>
      <c r="J1077" t="s">
        <v>43</v>
      </c>
      <c r="K1077" t="s">
        <v>77</v>
      </c>
      <c r="L1077" t="s">
        <v>126</v>
      </c>
      <c r="M1077">
        <v>0</v>
      </c>
    </row>
    <row r="1078" spans="1:13" x14ac:dyDescent="0.25">
      <c r="A1078">
        <v>1119</v>
      </c>
      <c r="B1078" t="s">
        <v>303</v>
      </c>
      <c r="C1078" t="s">
        <v>103</v>
      </c>
      <c r="E1078">
        <v>24488</v>
      </c>
      <c r="F1078">
        <v>26000</v>
      </c>
      <c r="G1078">
        <v>60000</v>
      </c>
      <c r="H1078" t="s">
        <v>84</v>
      </c>
      <c r="I1078" t="s">
        <v>35</v>
      </c>
      <c r="J1078" t="s">
        <v>66</v>
      </c>
      <c r="K1078" t="s">
        <v>44</v>
      </c>
      <c r="L1078" t="s">
        <v>126</v>
      </c>
      <c r="M1078">
        <v>0</v>
      </c>
    </row>
    <row r="1079" spans="1:13" x14ac:dyDescent="0.25">
      <c r="A1079">
        <v>1082</v>
      </c>
      <c r="B1079" t="s">
        <v>1007</v>
      </c>
      <c r="C1079" t="s">
        <v>75</v>
      </c>
      <c r="D1079">
        <v>2020</v>
      </c>
      <c r="E1079">
        <v>690</v>
      </c>
      <c r="F1079">
        <v>7000</v>
      </c>
      <c r="G1079">
        <v>80000</v>
      </c>
      <c r="H1079" t="s">
        <v>63</v>
      </c>
      <c r="I1079" t="s">
        <v>35</v>
      </c>
      <c r="J1079" t="s">
        <v>43</v>
      </c>
      <c r="K1079" t="s">
        <v>48</v>
      </c>
      <c r="L1079" t="s">
        <v>90</v>
      </c>
    </row>
    <row r="1080" spans="1:13" x14ac:dyDescent="0.25">
      <c r="A1080">
        <v>1051</v>
      </c>
      <c r="B1080" t="s">
        <v>1008</v>
      </c>
      <c r="C1080" t="s">
        <v>47</v>
      </c>
      <c r="E1080">
        <v>26632</v>
      </c>
      <c r="F1080">
        <v>31000</v>
      </c>
      <c r="G1080">
        <v>120000</v>
      </c>
      <c r="H1080" t="s">
        <v>41</v>
      </c>
      <c r="I1080" t="s">
        <v>59</v>
      </c>
      <c r="J1080" t="s">
        <v>43</v>
      </c>
      <c r="K1080" t="s">
        <v>116</v>
      </c>
      <c r="L1080" t="s">
        <v>45</v>
      </c>
      <c r="M1080">
        <v>3</v>
      </c>
    </row>
    <row r="1081" spans="1:13" x14ac:dyDescent="0.25">
      <c r="A1081">
        <v>1421</v>
      </c>
      <c r="B1081" t="s">
        <v>1009</v>
      </c>
      <c r="C1081" t="s">
        <v>57</v>
      </c>
      <c r="D1081">
        <v>2014</v>
      </c>
      <c r="E1081">
        <v>24053</v>
      </c>
      <c r="F1081">
        <v>31000</v>
      </c>
      <c r="G1081">
        <v>25000</v>
      </c>
      <c r="H1081" t="s">
        <v>84</v>
      </c>
      <c r="I1081" t="s">
        <v>59</v>
      </c>
      <c r="J1081" t="s">
        <v>43</v>
      </c>
      <c r="K1081" t="s">
        <v>48</v>
      </c>
      <c r="L1081" t="s">
        <v>126</v>
      </c>
      <c r="M1081">
        <v>1</v>
      </c>
    </row>
    <row r="1082" spans="1:13" x14ac:dyDescent="0.25">
      <c r="A1082">
        <v>1269</v>
      </c>
      <c r="B1082" t="s">
        <v>160</v>
      </c>
      <c r="C1082" t="s">
        <v>75</v>
      </c>
      <c r="D1082">
        <v>2018</v>
      </c>
      <c r="E1082" t="s">
        <v>1010</v>
      </c>
      <c r="F1082">
        <v>7000</v>
      </c>
      <c r="G1082" t="s">
        <v>92</v>
      </c>
      <c r="H1082" t="s">
        <v>53</v>
      </c>
      <c r="I1082" t="s">
        <v>35</v>
      </c>
      <c r="J1082" t="s">
        <v>66</v>
      </c>
      <c r="K1082" t="s">
        <v>44</v>
      </c>
      <c r="L1082" t="s">
        <v>109</v>
      </c>
      <c r="M1082">
        <v>1</v>
      </c>
    </row>
    <row r="1083" spans="1:13" x14ac:dyDescent="0.25">
      <c r="A1083">
        <v>1081</v>
      </c>
      <c r="B1083" t="s">
        <v>1011</v>
      </c>
      <c r="C1083" t="s">
        <v>47</v>
      </c>
      <c r="D1083">
        <v>2019</v>
      </c>
      <c r="E1083">
        <v>21173</v>
      </c>
      <c r="F1083">
        <v>26000</v>
      </c>
      <c r="G1083">
        <v>15000</v>
      </c>
      <c r="H1083" t="s">
        <v>58</v>
      </c>
      <c r="I1083" t="s">
        <v>35</v>
      </c>
      <c r="J1083" t="s">
        <v>36</v>
      </c>
      <c r="K1083" t="s">
        <v>100</v>
      </c>
      <c r="L1083" t="s">
        <v>126</v>
      </c>
      <c r="M1083">
        <v>3</v>
      </c>
    </row>
    <row r="1084" spans="1:13" x14ac:dyDescent="0.25">
      <c r="A1084">
        <v>1135</v>
      </c>
      <c r="B1084" t="s">
        <v>883</v>
      </c>
      <c r="C1084" t="s">
        <v>32</v>
      </c>
      <c r="D1084">
        <v>2017</v>
      </c>
      <c r="E1084">
        <v>20796</v>
      </c>
      <c r="F1084">
        <v>26000</v>
      </c>
      <c r="G1084">
        <v>25000</v>
      </c>
      <c r="H1084" t="s">
        <v>34</v>
      </c>
      <c r="I1084" t="s">
        <v>35</v>
      </c>
      <c r="J1084" t="s">
        <v>66</v>
      </c>
      <c r="K1084" t="s">
        <v>77</v>
      </c>
      <c r="L1084" t="s">
        <v>55</v>
      </c>
      <c r="M1084">
        <v>0</v>
      </c>
    </row>
    <row r="1085" spans="1:13" x14ac:dyDescent="0.25">
      <c r="A1085">
        <v>1592</v>
      </c>
      <c r="B1085" t="s">
        <v>383</v>
      </c>
      <c r="C1085" t="s">
        <v>51</v>
      </c>
      <c r="D1085">
        <v>2018</v>
      </c>
      <c r="E1085">
        <v>16598</v>
      </c>
      <c r="F1085" t="s">
        <v>129</v>
      </c>
      <c r="G1085">
        <v>80000</v>
      </c>
      <c r="H1085" t="s">
        <v>41</v>
      </c>
      <c r="I1085" t="s">
        <v>35</v>
      </c>
      <c r="J1085" t="s">
        <v>43</v>
      </c>
      <c r="K1085" t="s">
        <v>54</v>
      </c>
      <c r="L1085" t="s">
        <v>45</v>
      </c>
      <c r="M1085">
        <v>0</v>
      </c>
    </row>
    <row r="1086" spans="1:13" x14ac:dyDescent="0.25">
      <c r="A1086">
        <v>1407</v>
      </c>
      <c r="B1086" t="s">
        <v>1012</v>
      </c>
      <c r="C1086" t="s">
        <v>119</v>
      </c>
      <c r="D1086">
        <v>2021</v>
      </c>
      <c r="E1086">
        <v>11951</v>
      </c>
      <c r="F1086" t="s">
        <v>89</v>
      </c>
      <c r="G1086" t="s">
        <v>108</v>
      </c>
      <c r="I1086" t="s">
        <v>59</v>
      </c>
      <c r="K1086" t="s">
        <v>100</v>
      </c>
      <c r="L1086" t="s">
        <v>90</v>
      </c>
      <c r="M1086">
        <v>0</v>
      </c>
    </row>
    <row r="1087" spans="1:13" x14ac:dyDescent="0.25">
      <c r="A1087">
        <v>1186</v>
      </c>
      <c r="B1087" t="s">
        <v>1013</v>
      </c>
      <c r="C1087" t="s">
        <v>40</v>
      </c>
      <c r="D1087">
        <v>2016</v>
      </c>
      <c r="E1087" t="s">
        <v>1014</v>
      </c>
      <c r="F1087">
        <v>9000</v>
      </c>
      <c r="G1087">
        <v>60000</v>
      </c>
      <c r="H1087" t="s">
        <v>34</v>
      </c>
      <c r="I1087" t="s">
        <v>42</v>
      </c>
      <c r="L1087" t="s">
        <v>109</v>
      </c>
      <c r="M1087">
        <v>3</v>
      </c>
    </row>
    <row r="1088" spans="1:13" x14ac:dyDescent="0.25">
      <c r="A1088">
        <v>1117</v>
      </c>
      <c r="B1088" t="s">
        <v>1015</v>
      </c>
      <c r="C1088" t="s">
        <v>138</v>
      </c>
      <c r="D1088">
        <v>2017</v>
      </c>
      <c r="E1088">
        <v>20582</v>
      </c>
      <c r="F1088">
        <v>26000</v>
      </c>
      <c r="G1088">
        <v>25000</v>
      </c>
      <c r="H1088" t="s">
        <v>63</v>
      </c>
      <c r="I1088" t="s">
        <v>59</v>
      </c>
      <c r="J1088" t="s">
        <v>36</v>
      </c>
      <c r="K1088" t="s">
        <v>44</v>
      </c>
      <c r="L1088" t="s">
        <v>38</v>
      </c>
    </row>
    <row r="1089" spans="1:13" x14ac:dyDescent="0.25">
      <c r="A1089">
        <v>1438</v>
      </c>
      <c r="B1089" t="s">
        <v>1011</v>
      </c>
      <c r="C1089" t="s">
        <v>138</v>
      </c>
      <c r="D1089">
        <v>2014</v>
      </c>
      <c r="E1089">
        <v>25179</v>
      </c>
      <c r="F1089">
        <v>31000</v>
      </c>
      <c r="G1089" t="s">
        <v>108</v>
      </c>
      <c r="I1089" t="s">
        <v>35</v>
      </c>
      <c r="J1089" t="s">
        <v>43</v>
      </c>
      <c r="K1089" t="s">
        <v>116</v>
      </c>
      <c r="L1089" t="s">
        <v>38</v>
      </c>
      <c r="M1089">
        <v>3</v>
      </c>
    </row>
    <row r="1090" spans="1:13" x14ac:dyDescent="0.25">
      <c r="A1090">
        <v>1147</v>
      </c>
      <c r="B1090" t="s">
        <v>265</v>
      </c>
      <c r="C1090" t="s">
        <v>164</v>
      </c>
      <c r="D1090">
        <v>2014</v>
      </c>
      <c r="E1090" t="s">
        <v>1016</v>
      </c>
      <c r="F1090">
        <v>22000</v>
      </c>
      <c r="G1090" t="s">
        <v>76</v>
      </c>
      <c r="H1090" t="s">
        <v>63</v>
      </c>
      <c r="I1090" t="s">
        <v>72</v>
      </c>
      <c r="J1090" t="s">
        <v>66</v>
      </c>
      <c r="K1090" t="s">
        <v>37</v>
      </c>
      <c r="L1090" t="s">
        <v>98</v>
      </c>
      <c r="M1090">
        <v>2</v>
      </c>
    </row>
    <row r="1091" spans="1:13" x14ac:dyDescent="0.25">
      <c r="A1091">
        <v>1414</v>
      </c>
      <c r="B1091" t="s">
        <v>868</v>
      </c>
      <c r="C1091" t="s">
        <v>40</v>
      </c>
      <c r="D1091">
        <v>2019</v>
      </c>
      <c r="E1091">
        <v>24375</v>
      </c>
      <c r="F1091">
        <v>31000</v>
      </c>
      <c r="G1091">
        <v>15000</v>
      </c>
      <c r="H1091" t="s">
        <v>58</v>
      </c>
      <c r="I1091" t="s">
        <v>35</v>
      </c>
      <c r="K1091" t="s">
        <v>100</v>
      </c>
      <c r="L1091" t="s">
        <v>109</v>
      </c>
    </row>
    <row r="1092" spans="1:13" x14ac:dyDescent="0.25">
      <c r="A1092">
        <v>1274</v>
      </c>
      <c r="B1092" t="s">
        <v>881</v>
      </c>
      <c r="C1092" t="s">
        <v>94</v>
      </c>
      <c r="D1092">
        <v>2021</v>
      </c>
      <c r="E1092">
        <v>1162</v>
      </c>
      <c r="F1092">
        <v>7000</v>
      </c>
      <c r="G1092">
        <v>80000</v>
      </c>
      <c r="H1092" t="s">
        <v>41</v>
      </c>
      <c r="I1092" t="s">
        <v>42</v>
      </c>
      <c r="J1092" t="s">
        <v>66</v>
      </c>
      <c r="K1092" t="s">
        <v>73</v>
      </c>
      <c r="L1092" t="s">
        <v>109</v>
      </c>
      <c r="M1092">
        <v>0</v>
      </c>
    </row>
    <row r="1093" spans="1:13" x14ac:dyDescent="0.25">
      <c r="A1093">
        <v>1519</v>
      </c>
      <c r="B1093" t="s">
        <v>647</v>
      </c>
      <c r="C1093" t="s">
        <v>119</v>
      </c>
      <c r="D1093" t="s">
        <v>52</v>
      </c>
      <c r="E1093">
        <v>20100</v>
      </c>
      <c r="F1093">
        <v>26000</v>
      </c>
      <c r="G1093">
        <v>120000</v>
      </c>
      <c r="H1093" t="s">
        <v>63</v>
      </c>
      <c r="L1093" t="s">
        <v>49</v>
      </c>
      <c r="M1093">
        <v>0</v>
      </c>
    </row>
    <row r="1094" spans="1:13" x14ac:dyDescent="0.25">
      <c r="A1094">
        <v>1468</v>
      </c>
      <c r="B1094" t="s">
        <v>1017</v>
      </c>
      <c r="C1094" t="s">
        <v>51</v>
      </c>
      <c r="D1094">
        <v>2019</v>
      </c>
      <c r="E1094">
        <v>25530</v>
      </c>
      <c r="F1094">
        <v>31000</v>
      </c>
      <c r="G1094" t="s">
        <v>108</v>
      </c>
      <c r="I1094" t="s">
        <v>35</v>
      </c>
      <c r="J1094" t="s">
        <v>96</v>
      </c>
      <c r="K1094" t="s">
        <v>100</v>
      </c>
      <c r="L1094" t="s">
        <v>38</v>
      </c>
    </row>
    <row r="1095" spans="1:13" x14ac:dyDescent="0.25">
      <c r="A1095">
        <v>1191</v>
      </c>
      <c r="B1095" t="s">
        <v>544</v>
      </c>
      <c r="C1095" t="s">
        <v>94</v>
      </c>
      <c r="D1095">
        <v>2021</v>
      </c>
      <c r="E1095" t="s">
        <v>1018</v>
      </c>
      <c r="F1095">
        <v>26000</v>
      </c>
      <c r="G1095">
        <v>60000</v>
      </c>
      <c r="H1095" t="s">
        <v>84</v>
      </c>
      <c r="J1095" t="s">
        <v>36</v>
      </c>
      <c r="K1095" t="s">
        <v>116</v>
      </c>
      <c r="L1095" t="s">
        <v>55</v>
      </c>
    </row>
    <row r="1096" spans="1:13" x14ac:dyDescent="0.25">
      <c r="A1096">
        <v>1517</v>
      </c>
      <c r="B1096" t="s">
        <v>189</v>
      </c>
      <c r="C1096" t="s">
        <v>133</v>
      </c>
      <c r="D1096">
        <v>2020</v>
      </c>
      <c r="E1096">
        <v>6293</v>
      </c>
      <c r="F1096">
        <v>12000</v>
      </c>
      <c r="G1096">
        <v>80000</v>
      </c>
      <c r="H1096" t="s">
        <v>58</v>
      </c>
      <c r="I1096" t="s">
        <v>72</v>
      </c>
      <c r="K1096" t="s">
        <v>77</v>
      </c>
      <c r="L1096" t="s">
        <v>55</v>
      </c>
      <c r="M1096">
        <v>0</v>
      </c>
    </row>
    <row r="1097" spans="1:13" x14ac:dyDescent="0.25">
      <c r="A1097">
        <v>1243</v>
      </c>
      <c r="B1097" t="s">
        <v>237</v>
      </c>
      <c r="C1097" t="s">
        <v>61</v>
      </c>
      <c r="D1097" t="s">
        <v>52</v>
      </c>
      <c r="E1097">
        <v>729</v>
      </c>
      <c r="F1097">
        <v>7000</v>
      </c>
      <c r="G1097">
        <v>60000</v>
      </c>
      <c r="H1097" t="s">
        <v>63</v>
      </c>
      <c r="I1097" t="s">
        <v>59</v>
      </c>
      <c r="J1097" t="s">
        <v>43</v>
      </c>
      <c r="K1097" t="s">
        <v>44</v>
      </c>
      <c r="L1097" t="s">
        <v>55</v>
      </c>
    </row>
    <row r="1098" spans="1:13" x14ac:dyDescent="0.25">
      <c r="A1098">
        <v>1180</v>
      </c>
      <c r="B1098" t="s">
        <v>794</v>
      </c>
      <c r="C1098" t="s">
        <v>68</v>
      </c>
      <c r="D1098">
        <v>2014</v>
      </c>
      <c r="E1098">
        <v>5710</v>
      </c>
      <c r="F1098">
        <v>9000</v>
      </c>
      <c r="G1098">
        <v>25000</v>
      </c>
      <c r="H1098" t="s">
        <v>69</v>
      </c>
      <c r="I1098" t="s">
        <v>42</v>
      </c>
      <c r="K1098" t="s">
        <v>48</v>
      </c>
      <c r="L1098" t="s">
        <v>55</v>
      </c>
    </row>
    <row r="1099" spans="1:13" x14ac:dyDescent="0.25">
      <c r="A1099">
        <v>1190</v>
      </c>
      <c r="B1099" t="s">
        <v>347</v>
      </c>
      <c r="C1099" t="s">
        <v>94</v>
      </c>
      <c r="D1099">
        <v>2017</v>
      </c>
      <c r="E1099">
        <v>5992</v>
      </c>
      <c r="F1099">
        <v>12000</v>
      </c>
      <c r="G1099" t="s">
        <v>130</v>
      </c>
      <c r="H1099" t="s">
        <v>69</v>
      </c>
      <c r="I1099" t="s">
        <v>59</v>
      </c>
      <c r="J1099" t="s">
        <v>66</v>
      </c>
      <c r="K1099" t="s">
        <v>77</v>
      </c>
    </row>
    <row r="1100" spans="1:13" x14ac:dyDescent="0.25">
      <c r="A1100">
        <v>1335</v>
      </c>
      <c r="B1100" t="s">
        <v>211</v>
      </c>
      <c r="C1100" t="s">
        <v>32</v>
      </c>
      <c r="D1100">
        <v>2019</v>
      </c>
      <c r="E1100" t="s">
        <v>1019</v>
      </c>
      <c r="F1100">
        <v>26000</v>
      </c>
      <c r="G1100">
        <v>25000</v>
      </c>
      <c r="I1100" t="s">
        <v>42</v>
      </c>
      <c r="J1100" t="s">
        <v>96</v>
      </c>
      <c r="K1100" t="s">
        <v>48</v>
      </c>
      <c r="L1100" t="s">
        <v>90</v>
      </c>
    </row>
    <row r="1101" spans="1:13" x14ac:dyDescent="0.25">
      <c r="A1101">
        <v>1542</v>
      </c>
      <c r="B1101" t="s">
        <v>1020</v>
      </c>
      <c r="C1101" t="s">
        <v>57</v>
      </c>
      <c r="D1101">
        <v>2020</v>
      </c>
      <c r="E1101">
        <v>12180</v>
      </c>
      <c r="F1101">
        <v>15000</v>
      </c>
      <c r="G1101" t="s">
        <v>108</v>
      </c>
      <c r="H1101" t="s">
        <v>84</v>
      </c>
      <c r="J1101" t="s">
        <v>43</v>
      </c>
      <c r="K1101" t="s">
        <v>44</v>
      </c>
      <c r="L1101" t="s">
        <v>109</v>
      </c>
      <c r="M1101">
        <v>0</v>
      </c>
    </row>
    <row r="1102" spans="1:13" x14ac:dyDescent="0.25">
      <c r="A1102">
        <v>1016</v>
      </c>
      <c r="B1102" t="s">
        <v>186</v>
      </c>
      <c r="C1102" t="s">
        <v>133</v>
      </c>
      <c r="D1102">
        <v>2022</v>
      </c>
      <c r="E1102">
        <v>12424</v>
      </c>
      <c r="F1102">
        <v>18000</v>
      </c>
      <c r="G1102">
        <v>60000</v>
      </c>
      <c r="H1102" t="s">
        <v>69</v>
      </c>
      <c r="I1102" t="s">
        <v>72</v>
      </c>
      <c r="J1102" t="s">
        <v>66</v>
      </c>
      <c r="K1102" t="s">
        <v>73</v>
      </c>
      <c r="L1102" t="s">
        <v>38</v>
      </c>
      <c r="M1102">
        <v>2</v>
      </c>
    </row>
    <row r="1103" spans="1:13" x14ac:dyDescent="0.25">
      <c r="A1103">
        <v>1168</v>
      </c>
      <c r="B1103" t="s">
        <v>1021</v>
      </c>
      <c r="C1103" t="s">
        <v>32</v>
      </c>
      <c r="D1103" t="s">
        <v>52</v>
      </c>
      <c r="E1103" t="s">
        <v>1022</v>
      </c>
      <c r="F1103">
        <v>9000</v>
      </c>
      <c r="G1103">
        <v>15000</v>
      </c>
      <c r="H1103" t="s">
        <v>53</v>
      </c>
      <c r="I1103" t="s">
        <v>72</v>
      </c>
      <c r="J1103" t="s">
        <v>36</v>
      </c>
      <c r="K1103" t="s">
        <v>37</v>
      </c>
      <c r="L1103" t="s">
        <v>109</v>
      </c>
      <c r="M1103">
        <v>1</v>
      </c>
    </row>
    <row r="1104" spans="1:13" x14ac:dyDescent="0.25">
      <c r="A1104">
        <v>1110</v>
      </c>
      <c r="B1104" t="s">
        <v>70</v>
      </c>
      <c r="C1104" t="s">
        <v>94</v>
      </c>
      <c r="D1104">
        <v>2018</v>
      </c>
      <c r="E1104">
        <v>5595</v>
      </c>
      <c r="F1104">
        <v>9000</v>
      </c>
      <c r="G1104" t="s">
        <v>130</v>
      </c>
      <c r="H1104" t="s">
        <v>58</v>
      </c>
      <c r="I1104" t="s">
        <v>72</v>
      </c>
      <c r="K1104" t="s">
        <v>77</v>
      </c>
      <c r="L1104" t="s">
        <v>98</v>
      </c>
      <c r="M1104">
        <v>3</v>
      </c>
    </row>
    <row r="1105" spans="1:13" x14ac:dyDescent="0.25">
      <c r="A1105">
        <v>1016</v>
      </c>
      <c r="B1105" t="s">
        <v>220</v>
      </c>
      <c r="C1105" t="s">
        <v>32</v>
      </c>
      <c r="D1105">
        <v>2017</v>
      </c>
      <c r="E1105">
        <v>22401</v>
      </c>
      <c r="F1105">
        <v>26000</v>
      </c>
      <c r="G1105">
        <v>60000</v>
      </c>
      <c r="H1105" t="s">
        <v>84</v>
      </c>
      <c r="I1105" t="s">
        <v>72</v>
      </c>
      <c r="J1105" t="s">
        <v>36</v>
      </c>
      <c r="K1105" t="s">
        <v>73</v>
      </c>
      <c r="L1105" t="s">
        <v>109</v>
      </c>
      <c r="M1105">
        <v>1</v>
      </c>
    </row>
    <row r="1106" spans="1:13" x14ac:dyDescent="0.25">
      <c r="A1106">
        <v>1484</v>
      </c>
      <c r="B1106" t="s">
        <v>1023</v>
      </c>
      <c r="C1106" t="s">
        <v>138</v>
      </c>
      <c r="D1106">
        <v>2020</v>
      </c>
      <c r="E1106">
        <v>3153</v>
      </c>
      <c r="F1106">
        <v>9000</v>
      </c>
      <c r="G1106">
        <v>120000</v>
      </c>
      <c r="I1106" t="s">
        <v>35</v>
      </c>
      <c r="J1106" t="s">
        <v>96</v>
      </c>
      <c r="K1106" t="s">
        <v>44</v>
      </c>
      <c r="L1106" t="s">
        <v>90</v>
      </c>
      <c r="M1106">
        <v>1</v>
      </c>
    </row>
    <row r="1107" spans="1:13" x14ac:dyDescent="0.25">
      <c r="A1107">
        <v>1438</v>
      </c>
      <c r="B1107" t="s">
        <v>918</v>
      </c>
      <c r="C1107" t="s">
        <v>79</v>
      </c>
      <c r="D1107">
        <v>2020</v>
      </c>
      <c r="E1107">
        <v>8290</v>
      </c>
      <c r="F1107">
        <v>12000</v>
      </c>
      <c r="G1107">
        <v>25000</v>
      </c>
      <c r="H1107" t="s">
        <v>34</v>
      </c>
      <c r="I1107" t="s">
        <v>59</v>
      </c>
      <c r="K1107" t="s">
        <v>116</v>
      </c>
      <c r="L1107" t="s">
        <v>45</v>
      </c>
      <c r="M1107">
        <v>2</v>
      </c>
    </row>
    <row r="1108" spans="1:13" x14ac:dyDescent="0.25">
      <c r="A1108">
        <v>1345</v>
      </c>
      <c r="B1108" t="s">
        <v>1024</v>
      </c>
      <c r="C1108" t="s">
        <v>57</v>
      </c>
      <c r="D1108">
        <v>2016</v>
      </c>
      <c r="E1108">
        <v>27233</v>
      </c>
      <c r="F1108">
        <v>31000</v>
      </c>
      <c r="G1108">
        <v>120000</v>
      </c>
      <c r="H1108" t="s">
        <v>63</v>
      </c>
      <c r="J1108" t="s">
        <v>43</v>
      </c>
      <c r="K1108" t="s">
        <v>44</v>
      </c>
      <c r="L1108" t="s">
        <v>109</v>
      </c>
    </row>
    <row r="1109" spans="1:13" x14ac:dyDescent="0.25">
      <c r="A1109">
        <v>1084</v>
      </c>
      <c r="B1109" t="s">
        <v>359</v>
      </c>
      <c r="C1109" t="s">
        <v>51</v>
      </c>
      <c r="D1109">
        <v>2016</v>
      </c>
      <c r="E1109">
        <v>5967</v>
      </c>
      <c r="F1109">
        <v>12000</v>
      </c>
      <c r="G1109">
        <v>40000</v>
      </c>
      <c r="H1109" t="s">
        <v>58</v>
      </c>
      <c r="I1109" t="s">
        <v>35</v>
      </c>
      <c r="J1109" t="s">
        <v>36</v>
      </c>
      <c r="K1109" t="s">
        <v>73</v>
      </c>
      <c r="L1109" t="s">
        <v>90</v>
      </c>
      <c r="M1109">
        <v>2</v>
      </c>
    </row>
    <row r="1110" spans="1:13" x14ac:dyDescent="0.25">
      <c r="A1110">
        <v>1074</v>
      </c>
      <c r="B1110" t="s">
        <v>1025</v>
      </c>
      <c r="C1110" t="s">
        <v>79</v>
      </c>
      <c r="D1110" t="s">
        <v>52</v>
      </c>
      <c r="E1110">
        <v>8697</v>
      </c>
      <c r="F1110" t="s">
        <v>89</v>
      </c>
      <c r="G1110">
        <v>80000</v>
      </c>
      <c r="H1110" t="s">
        <v>84</v>
      </c>
      <c r="I1110" t="s">
        <v>72</v>
      </c>
      <c r="J1110" t="s">
        <v>96</v>
      </c>
      <c r="K1110" t="s">
        <v>37</v>
      </c>
      <c r="L1110" t="s">
        <v>38</v>
      </c>
      <c r="M1110">
        <v>0</v>
      </c>
    </row>
    <row r="1111" spans="1:13" x14ac:dyDescent="0.25">
      <c r="A1111">
        <v>1435</v>
      </c>
      <c r="B1111" t="s">
        <v>575</v>
      </c>
      <c r="C1111" t="s">
        <v>61</v>
      </c>
      <c r="D1111">
        <v>2019</v>
      </c>
      <c r="E1111">
        <v>25726</v>
      </c>
      <c r="F1111">
        <v>31000</v>
      </c>
      <c r="G1111" t="s">
        <v>76</v>
      </c>
      <c r="H1111" t="s">
        <v>69</v>
      </c>
      <c r="I1111" t="s">
        <v>72</v>
      </c>
      <c r="L1111" t="s">
        <v>98</v>
      </c>
      <c r="M1111">
        <v>3</v>
      </c>
    </row>
    <row r="1112" spans="1:13" x14ac:dyDescent="0.25">
      <c r="A1112">
        <v>1459</v>
      </c>
      <c r="B1112" t="s">
        <v>183</v>
      </c>
      <c r="C1112" t="s">
        <v>133</v>
      </c>
      <c r="D1112">
        <v>2016</v>
      </c>
      <c r="E1112">
        <v>28181</v>
      </c>
      <c r="F1112">
        <v>31000</v>
      </c>
      <c r="G1112">
        <v>120000</v>
      </c>
      <c r="H1112" t="s">
        <v>69</v>
      </c>
      <c r="I1112" t="s">
        <v>59</v>
      </c>
      <c r="J1112" t="s">
        <v>66</v>
      </c>
      <c r="K1112" t="s">
        <v>73</v>
      </c>
      <c r="L1112" t="s">
        <v>90</v>
      </c>
      <c r="M1112">
        <v>2</v>
      </c>
    </row>
    <row r="1113" spans="1:13" x14ac:dyDescent="0.25">
      <c r="A1113">
        <v>1223</v>
      </c>
      <c r="B1113" t="s">
        <v>989</v>
      </c>
      <c r="C1113" t="s">
        <v>57</v>
      </c>
      <c r="D1113">
        <v>2019</v>
      </c>
      <c r="E1113">
        <v>16430</v>
      </c>
      <c r="F1113">
        <v>18000</v>
      </c>
      <c r="G1113">
        <v>25000</v>
      </c>
      <c r="H1113" t="s">
        <v>84</v>
      </c>
      <c r="I1113" t="s">
        <v>42</v>
      </c>
      <c r="J1113" t="s">
        <v>66</v>
      </c>
      <c r="K1113" t="s">
        <v>37</v>
      </c>
      <c r="L1113" t="s">
        <v>90</v>
      </c>
      <c r="M1113">
        <v>1</v>
      </c>
    </row>
    <row r="1114" spans="1:13" x14ac:dyDescent="0.25">
      <c r="A1114">
        <v>1060</v>
      </c>
      <c r="B1114" t="s">
        <v>1026</v>
      </c>
      <c r="C1114" t="s">
        <v>164</v>
      </c>
      <c r="D1114" t="s">
        <v>52</v>
      </c>
      <c r="E1114">
        <v>3503</v>
      </c>
      <c r="F1114" t="s">
        <v>147</v>
      </c>
      <c r="G1114" t="s">
        <v>108</v>
      </c>
      <c r="H1114" t="s">
        <v>53</v>
      </c>
      <c r="I1114" t="s">
        <v>59</v>
      </c>
      <c r="J1114" t="s">
        <v>96</v>
      </c>
      <c r="K1114" t="s">
        <v>116</v>
      </c>
      <c r="L1114" t="s">
        <v>90</v>
      </c>
      <c r="M1114">
        <v>1</v>
      </c>
    </row>
    <row r="1115" spans="1:13" x14ac:dyDescent="0.25">
      <c r="A1115">
        <v>1413</v>
      </c>
      <c r="B1115" t="s">
        <v>1027</v>
      </c>
      <c r="C1115" t="s">
        <v>138</v>
      </c>
      <c r="D1115">
        <v>2019</v>
      </c>
      <c r="E1115">
        <v>4648</v>
      </c>
      <c r="F1115" t="s">
        <v>147</v>
      </c>
      <c r="G1115">
        <v>80000</v>
      </c>
      <c r="H1115" t="s">
        <v>58</v>
      </c>
      <c r="I1115" t="s">
        <v>72</v>
      </c>
      <c r="J1115" t="s">
        <v>43</v>
      </c>
      <c r="K1115" t="s">
        <v>116</v>
      </c>
      <c r="L1115" t="s">
        <v>109</v>
      </c>
      <c r="M1115">
        <v>2</v>
      </c>
    </row>
    <row r="1116" spans="1:13" x14ac:dyDescent="0.25">
      <c r="A1116">
        <v>1158</v>
      </c>
      <c r="B1116" t="s">
        <v>1028</v>
      </c>
      <c r="C1116" t="s">
        <v>79</v>
      </c>
      <c r="D1116">
        <v>2022</v>
      </c>
      <c r="E1116">
        <v>15889</v>
      </c>
      <c r="F1116">
        <v>18000</v>
      </c>
      <c r="G1116">
        <v>60000</v>
      </c>
      <c r="H1116" t="s">
        <v>84</v>
      </c>
      <c r="J1116" t="s">
        <v>43</v>
      </c>
      <c r="K1116" t="s">
        <v>48</v>
      </c>
      <c r="M1116">
        <v>1</v>
      </c>
    </row>
    <row r="1117" spans="1:13" x14ac:dyDescent="0.25">
      <c r="A1117">
        <v>1123</v>
      </c>
      <c r="B1117" t="s">
        <v>1029</v>
      </c>
      <c r="C1117" t="s">
        <v>32</v>
      </c>
      <c r="D1117">
        <v>2020</v>
      </c>
      <c r="E1117">
        <v>4512</v>
      </c>
      <c r="F1117">
        <v>7000</v>
      </c>
      <c r="G1117">
        <v>80000</v>
      </c>
      <c r="H1117" t="s">
        <v>53</v>
      </c>
      <c r="I1117" t="s">
        <v>42</v>
      </c>
      <c r="J1117" t="s">
        <v>43</v>
      </c>
      <c r="K1117" t="s">
        <v>77</v>
      </c>
      <c r="L1117" t="s">
        <v>90</v>
      </c>
      <c r="M1117">
        <v>0</v>
      </c>
    </row>
    <row r="1118" spans="1:13" x14ac:dyDescent="0.25">
      <c r="A1118">
        <v>1219</v>
      </c>
      <c r="B1118" t="s">
        <v>1030</v>
      </c>
      <c r="C1118" t="s">
        <v>61</v>
      </c>
      <c r="D1118">
        <v>2016</v>
      </c>
      <c r="E1118">
        <v>6277</v>
      </c>
      <c r="F1118">
        <v>12000</v>
      </c>
      <c r="G1118">
        <v>25000</v>
      </c>
      <c r="H1118" t="s">
        <v>34</v>
      </c>
      <c r="I1118" t="s">
        <v>72</v>
      </c>
      <c r="K1118" t="s">
        <v>37</v>
      </c>
      <c r="L1118" t="s">
        <v>45</v>
      </c>
      <c r="M1118">
        <v>1</v>
      </c>
    </row>
    <row r="1119" spans="1:13" x14ac:dyDescent="0.25">
      <c r="A1119">
        <v>1250</v>
      </c>
      <c r="B1119" t="s">
        <v>557</v>
      </c>
      <c r="C1119" t="s">
        <v>164</v>
      </c>
      <c r="D1119">
        <v>2017</v>
      </c>
      <c r="E1119">
        <v>5649</v>
      </c>
      <c r="F1119">
        <v>12000</v>
      </c>
      <c r="G1119">
        <v>40000</v>
      </c>
      <c r="H1119" t="s">
        <v>63</v>
      </c>
      <c r="J1119" t="s">
        <v>96</v>
      </c>
      <c r="K1119" t="s">
        <v>54</v>
      </c>
      <c r="L1119" t="s">
        <v>98</v>
      </c>
      <c r="M1119">
        <v>0</v>
      </c>
    </row>
    <row r="1120" spans="1:13" x14ac:dyDescent="0.25">
      <c r="A1120">
        <v>1165</v>
      </c>
      <c r="B1120" t="s">
        <v>790</v>
      </c>
      <c r="C1120" t="s">
        <v>133</v>
      </c>
      <c r="D1120" t="s">
        <v>52</v>
      </c>
      <c r="E1120">
        <v>25961</v>
      </c>
      <c r="F1120">
        <v>31000</v>
      </c>
      <c r="G1120">
        <v>120000</v>
      </c>
      <c r="H1120" t="s">
        <v>63</v>
      </c>
      <c r="I1120" t="s">
        <v>72</v>
      </c>
      <c r="J1120" t="s">
        <v>96</v>
      </c>
      <c r="K1120" t="s">
        <v>116</v>
      </c>
      <c r="L1120" t="s">
        <v>49</v>
      </c>
      <c r="M1120">
        <v>1</v>
      </c>
    </row>
    <row r="1121" spans="1:13" x14ac:dyDescent="0.25">
      <c r="A1121">
        <v>1178</v>
      </c>
      <c r="B1121" t="s">
        <v>1031</v>
      </c>
      <c r="C1121" t="s">
        <v>138</v>
      </c>
      <c r="E1121">
        <v>28470</v>
      </c>
      <c r="F1121">
        <v>31000</v>
      </c>
      <c r="G1121">
        <v>15000</v>
      </c>
      <c r="J1121" t="s">
        <v>43</v>
      </c>
      <c r="K1121" t="s">
        <v>37</v>
      </c>
      <c r="L1121" t="s">
        <v>38</v>
      </c>
      <c r="M1121">
        <v>3</v>
      </c>
    </row>
    <row r="1122" spans="1:13" x14ac:dyDescent="0.25">
      <c r="A1122">
        <v>1100</v>
      </c>
      <c r="B1122" t="s">
        <v>719</v>
      </c>
      <c r="C1122" t="s">
        <v>61</v>
      </c>
      <c r="D1122">
        <v>2016</v>
      </c>
      <c r="E1122" t="s">
        <v>1032</v>
      </c>
      <c r="F1122">
        <v>15000</v>
      </c>
      <c r="G1122">
        <v>25000</v>
      </c>
      <c r="H1122" t="s">
        <v>41</v>
      </c>
      <c r="J1122" t="s">
        <v>66</v>
      </c>
      <c r="K1122" t="s">
        <v>100</v>
      </c>
      <c r="L1122" t="s">
        <v>126</v>
      </c>
      <c r="M1122">
        <v>0</v>
      </c>
    </row>
    <row r="1123" spans="1:13" x14ac:dyDescent="0.25">
      <c r="A1123">
        <v>1531</v>
      </c>
      <c r="B1123" t="s">
        <v>993</v>
      </c>
      <c r="C1123" t="s">
        <v>65</v>
      </c>
      <c r="D1123">
        <v>2022</v>
      </c>
      <c r="E1123">
        <v>24381</v>
      </c>
      <c r="F1123">
        <v>31000</v>
      </c>
      <c r="G1123">
        <v>80000</v>
      </c>
      <c r="H1123" t="s">
        <v>53</v>
      </c>
      <c r="I1123" t="s">
        <v>72</v>
      </c>
      <c r="K1123" t="s">
        <v>44</v>
      </c>
      <c r="L1123" t="s">
        <v>90</v>
      </c>
      <c r="M1123">
        <v>1</v>
      </c>
    </row>
    <row r="1124" spans="1:13" x14ac:dyDescent="0.25">
      <c r="A1124">
        <v>1309</v>
      </c>
      <c r="B1124" t="s">
        <v>461</v>
      </c>
      <c r="C1124" t="s">
        <v>94</v>
      </c>
      <c r="D1124">
        <v>2014</v>
      </c>
      <c r="E1124">
        <v>5858</v>
      </c>
      <c r="F1124">
        <v>7000</v>
      </c>
      <c r="G1124" t="s">
        <v>33</v>
      </c>
      <c r="H1124" t="s">
        <v>63</v>
      </c>
      <c r="I1124" t="s">
        <v>35</v>
      </c>
      <c r="J1124" t="s">
        <v>43</v>
      </c>
      <c r="K1124" t="s">
        <v>37</v>
      </c>
      <c r="L1124" t="s">
        <v>109</v>
      </c>
      <c r="M1124">
        <v>1</v>
      </c>
    </row>
    <row r="1125" spans="1:13" x14ac:dyDescent="0.25">
      <c r="A1125">
        <v>1171</v>
      </c>
      <c r="B1125" t="s">
        <v>1033</v>
      </c>
      <c r="C1125" t="s">
        <v>47</v>
      </c>
      <c r="E1125">
        <v>6778</v>
      </c>
      <c r="F1125">
        <v>9000</v>
      </c>
      <c r="G1125">
        <v>15000</v>
      </c>
      <c r="H1125" t="s">
        <v>63</v>
      </c>
      <c r="I1125" t="s">
        <v>35</v>
      </c>
      <c r="J1125" t="s">
        <v>36</v>
      </c>
      <c r="K1125" t="s">
        <v>54</v>
      </c>
      <c r="L1125" t="s">
        <v>38</v>
      </c>
      <c r="M1125">
        <v>3</v>
      </c>
    </row>
    <row r="1126" spans="1:13" x14ac:dyDescent="0.25">
      <c r="A1126">
        <v>1005</v>
      </c>
      <c r="B1126" t="s">
        <v>959</v>
      </c>
      <c r="C1126" t="s">
        <v>65</v>
      </c>
      <c r="D1126" t="s">
        <v>52</v>
      </c>
      <c r="E1126">
        <v>8986</v>
      </c>
      <c r="F1126">
        <v>15000</v>
      </c>
      <c r="G1126" t="s">
        <v>76</v>
      </c>
      <c r="I1126" t="s">
        <v>35</v>
      </c>
      <c r="K1126" t="s">
        <v>37</v>
      </c>
      <c r="L1126" t="s">
        <v>90</v>
      </c>
      <c r="M1126">
        <v>3</v>
      </c>
    </row>
    <row r="1127" spans="1:13" x14ac:dyDescent="0.25">
      <c r="A1127">
        <v>1212</v>
      </c>
      <c r="B1127" t="s">
        <v>1034</v>
      </c>
      <c r="C1127" t="s">
        <v>68</v>
      </c>
      <c r="D1127" t="s">
        <v>52</v>
      </c>
      <c r="E1127" t="s">
        <v>1035</v>
      </c>
      <c r="F1127">
        <v>12000</v>
      </c>
      <c r="G1127">
        <v>120000</v>
      </c>
      <c r="I1127" t="s">
        <v>59</v>
      </c>
      <c r="J1127" t="s">
        <v>43</v>
      </c>
      <c r="K1127" t="s">
        <v>100</v>
      </c>
      <c r="L1127" t="s">
        <v>126</v>
      </c>
      <c r="M1127">
        <v>0</v>
      </c>
    </row>
    <row r="1128" spans="1:13" x14ac:dyDescent="0.25">
      <c r="A1128">
        <v>1132</v>
      </c>
      <c r="B1128" t="s">
        <v>1036</v>
      </c>
      <c r="C1128" t="s">
        <v>75</v>
      </c>
      <c r="D1128">
        <v>2015</v>
      </c>
      <c r="E1128">
        <v>4702</v>
      </c>
      <c r="F1128" t="s">
        <v>81</v>
      </c>
      <c r="G1128">
        <v>60000</v>
      </c>
      <c r="H1128" t="s">
        <v>41</v>
      </c>
      <c r="I1128" t="s">
        <v>59</v>
      </c>
      <c r="J1128" t="s">
        <v>66</v>
      </c>
      <c r="K1128" t="s">
        <v>44</v>
      </c>
      <c r="M1128">
        <v>3</v>
      </c>
    </row>
    <row r="1129" spans="1:13" x14ac:dyDescent="0.25">
      <c r="A1129">
        <v>1197</v>
      </c>
      <c r="B1129" t="s">
        <v>1037</v>
      </c>
      <c r="C1129" t="s">
        <v>119</v>
      </c>
      <c r="D1129">
        <v>2017</v>
      </c>
      <c r="E1129">
        <v>11595</v>
      </c>
      <c r="F1129">
        <v>15000</v>
      </c>
      <c r="G1129">
        <v>15000</v>
      </c>
      <c r="H1129" t="s">
        <v>58</v>
      </c>
      <c r="I1129" t="s">
        <v>59</v>
      </c>
      <c r="J1129" t="s">
        <v>96</v>
      </c>
      <c r="L1129" t="s">
        <v>49</v>
      </c>
      <c r="M1129">
        <v>1</v>
      </c>
    </row>
    <row r="1130" spans="1:13" x14ac:dyDescent="0.25">
      <c r="A1130">
        <v>1571</v>
      </c>
      <c r="B1130" t="s">
        <v>522</v>
      </c>
      <c r="C1130" t="s">
        <v>51</v>
      </c>
      <c r="D1130">
        <v>2016</v>
      </c>
      <c r="E1130">
        <v>5670</v>
      </c>
      <c r="F1130">
        <v>9000</v>
      </c>
      <c r="G1130" t="s">
        <v>76</v>
      </c>
      <c r="H1130" t="s">
        <v>63</v>
      </c>
      <c r="I1130" t="s">
        <v>35</v>
      </c>
      <c r="K1130" t="s">
        <v>44</v>
      </c>
      <c r="L1130" t="s">
        <v>90</v>
      </c>
      <c r="M1130">
        <v>1</v>
      </c>
    </row>
    <row r="1131" spans="1:13" x14ac:dyDescent="0.25">
      <c r="A1131">
        <v>1375</v>
      </c>
      <c r="B1131" t="s">
        <v>1038</v>
      </c>
      <c r="C1131" t="s">
        <v>51</v>
      </c>
      <c r="D1131">
        <v>2020</v>
      </c>
      <c r="E1131">
        <v>6156</v>
      </c>
      <c r="F1131">
        <v>12000</v>
      </c>
      <c r="G1131">
        <v>15000</v>
      </c>
      <c r="H1131" t="s">
        <v>84</v>
      </c>
      <c r="I1131" t="s">
        <v>35</v>
      </c>
      <c r="J1131" t="s">
        <v>66</v>
      </c>
      <c r="K1131" t="s">
        <v>44</v>
      </c>
      <c r="L1131" t="s">
        <v>90</v>
      </c>
    </row>
    <row r="1132" spans="1:13" x14ac:dyDescent="0.25">
      <c r="A1132">
        <v>1145</v>
      </c>
      <c r="B1132" t="s">
        <v>453</v>
      </c>
      <c r="C1132" t="s">
        <v>133</v>
      </c>
      <c r="D1132">
        <v>2014</v>
      </c>
      <c r="E1132">
        <v>4284</v>
      </c>
      <c r="F1132">
        <v>9000</v>
      </c>
      <c r="G1132">
        <v>25000</v>
      </c>
      <c r="H1132" t="s">
        <v>63</v>
      </c>
      <c r="J1132" t="s">
        <v>96</v>
      </c>
      <c r="K1132" t="s">
        <v>48</v>
      </c>
      <c r="L1132" t="s">
        <v>45</v>
      </c>
      <c r="M1132">
        <v>1</v>
      </c>
    </row>
    <row r="1133" spans="1:13" x14ac:dyDescent="0.25">
      <c r="A1133">
        <v>1144</v>
      </c>
      <c r="B1133" t="s">
        <v>854</v>
      </c>
      <c r="C1133" t="s">
        <v>47</v>
      </c>
      <c r="D1133">
        <v>2014</v>
      </c>
      <c r="E1133">
        <v>15721</v>
      </c>
      <c r="F1133">
        <v>18000</v>
      </c>
      <c r="G1133">
        <v>15000</v>
      </c>
      <c r="H1133" t="s">
        <v>63</v>
      </c>
      <c r="J1133" t="s">
        <v>66</v>
      </c>
      <c r="K1133" t="s">
        <v>116</v>
      </c>
      <c r="L1133" t="s">
        <v>38</v>
      </c>
    </row>
    <row r="1134" spans="1:13" x14ac:dyDescent="0.25">
      <c r="A1134">
        <v>1453</v>
      </c>
      <c r="B1134" t="s">
        <v>485</v>
      </c>
      <c r="C1134" t="s">
        <v>133</v>
      </c>
      <c r="D1134">
        <v>2018</v>
      </c>
      <c r="E1134">
        <v>1093</v>
      </c>
      <c r="F1134">
        <v>7000</v>
      </c>
      <c r="G1134">
        <v>25000</v>
      </c>
      <c r="H1134" t="s">
        <v>41</v>
      </c>
      <c r="I1134" t="s">
        <v>59</v>
      </c>
      <c r="J1134" t="s">
        <v>66</v>
      </c>
      <c r="K1134" t="s">
        <v>100</v>
      </c>
      <c r="L1134" t="s">
        <v>90</v>
      </c>
      <c r="M1134">
        <v>2</v>
      </c>
    </row>
    <row r="1135" spans="1:13" x14ac:dyDescent="0.25">
      <c r="A1135">
        <v>1227</v>
      </c>
      <c r="B1135" t="s">
        <v>1039</v>
      </c>
      <c r="C1135" t="s">
        <v>32</v>
      </c>
      <c r="D1135">
        <v>2019</v>
      </c>
      <c r="E1135">
        <v>19701</v>
      </c>
      <c r="F1135">
        <v>22000</v>
      </c>
      <c r="G1135" t="s">
        <v>130</v>
      </c>
      <c r="H1135" t="s">
        <v>41</v>
      </c>
      <c r="I1135" t="s">
        <v>35</v>
      </c>
      <c r="J1135" t="s">
        <v>36</v>
      </c>
      <c r="K1135" t="s">
        <v>44</v>
      </c>
      <c r="L1135" t="s">
        <v>98</v>
      </c>
      <c r="M1135">
        <v>3</v>
      </c>
    </row>
    <row r="1136" spans="1:13" x14ac:dyDescent="0.25">
      <c r="A1136">
        <v>1379</v>
      </c>
      <c r="B1136" t="s">
        <v>541</v>
      </c>
      <c r="C1136" t="s">
        <v>138</v>
      </c>
      <c r="D1136">
        <v>2019</v>
      </c>
      <c r="E1136">
        <v>19898</v>
      </c>
      <c r="F1136">
        <v>26000</v>
      </c>
      <c r="G1136">
        <v>40000</v>
      </c>
      <c r="H1136" t="s">
        <v>63</v>
      </c>
      <c r="I1136" t="s">
        <v>72</v>
      </c>
      <c r="J1136" t="s">
        <v>43</v>
      </c>
      <c r="K1136" t="s">
        <v>100</v>
      </c>
      <c r="L1136" t="s">
        <v>38</v>
      </c>
      <c r="M1136">
        <v>2</v>
      </c>
    </row>
    <row r="1137" spans="1:13" x14ac:dyDescent="0.25">
      <c r="A1137">
        <v>1002</v>
      </c>
      <c r="B1137" t="s">
        <v>1040</v>
      </c>
      <c r="C1137" t="s">
        <v>133</v>
      </c>
      <c r="D1137">
        <v>2015</v>
      </c>
      <c r="E1137" t="s">
        <v>1041</v>
      </c>
      <c r="F1137">
        <v>12000</v>
      </c>
      <c r="G1137">
        <v>40000</v>
      </c>
      <c r="H1137" t="s">
        <v>84</v>
      </c>
      <c r="I1137" t="s">
        <v>35</v>
      </c>
      <c r="J1137" t="s">
        <v>66</v>
      </c>
      <c r="K1137" t="s">
        <v>73</v>
      </c>
      <c r="L1137" t="s">
        <v>98</v>
      </c>
    </row>
    <row r="1138" spans="1:13" x14ac:dyDescent="0.25">
      <c r="A1138">
        <v>1500</v>
      </c>
      <c r="B1138" t="s">
        <v>1042</v>
      </c>
      <c r="C1138" t="s">
        <v>119</v>
      </c>
      <c r="D1138">
        <v>2015</v>
      </c>
      <c r="E1138" t="s">
        <v>1043</v>
      </c>
      <c r="F1138">
        <v>31000</v>
      </c>
      <c r="G1138">
        <v>60000</v>
      </c>
      <c r="H1138" t="s">
        <v>84</v>
      </c>
      <c r="I1138" t="s">
        <v>72</v>
      </c>
      <c r="J1138" t="s">
        <v>43</v>
      </c>
      <c r="K1138" t="s">
        <v>37</v>
      </c>
      <c r="L1138" t="s">
        <v>90</v>
      </c>
    </row>
    <row r="1139" spans="1:13" x14ac:dyDescent="0.25">
      <c r="A1139">
        <v>1086</v>
      </c>
      <c r="B1139" t="s">
        <v>960</v>
      </c>
      <c r="C1139" t="s">
        <v>40</v>
      </c>
      <c r="D1139">
        <v>2015</v>
      </c>
      <c r="E1139" t="s">
        <v>1044</v>
      </c>
      <c r="F1139" t="s">
        <v>115</v>
      </c>
      <c r="G1139">
        <v>120000</v>
      </c>
      <c r="H1139" t="s">
        <v>53</v>
      </c>
      <c r="I1139" t="s">
        <v>35</v>
      </c>
      <c r="J1139" t="s">
        <v>43</v>
      </c>
      <c r="K1139" t="s">
        <v>77</v>
      </c>
      <c r="L1139" t="s">
        <v>109</v>
      </c>
      <c r="M1139">
        <v>0</v>
      </c>
    </row>
    <row r="1140" spans="1:13" x14ac:dyDescent="0.25">
      <c r="A1140">
        <v>1307</v>
      </c>
      <c r="B1140" t="s">
        <v>153</v>
      </c>
      <c r="C1140" t="s">
        <v>68</v>
      </c>
      <c r="D1140">
        <v>2018</v>
      </c>
      <c r="E1140" t="s">
        <v>1045</v>
      </c>
      <c r="F1140">
        <v>22000</v>
      </c>
      <c r="G1140" t="s">
        <v>121</v>
      </c>
      <c r="H1140" t="s">
        <v>53</v>
      </c>
      <c r="I1140" t="s">
        <v>35</v>
      </c>
      <c r="J1140" t="s">
        <v>36</v>
      </c>
      <c r="K1140" t="s">
        <v>48</v>
      </c>
      <c r="L1140" t="s">
        <v>90</v>
      </c>
      <c r="M1140">
        <v>2</v>
      </c>
    </row>
    <row r="1141" spans="1:13" x14ac:dyDescent="0.25">
      <c r="A1141">
        <v>1508</v>
      </c>
      <c r="B1141" t="s">
        <v>1046</v>
      </c>
      <c r="C1141" t="s">
        <v>79</v>
      </c>
      <c r="D1141">
        <v>2021</v>
      </c>
      <c r="E1141" t="s">
        <v>1047</v>
      </c>
      <c r="F1141" t="s">
        <v>83</v>
      </c>
      <c r="G1141" t="s">
        <v>108</v>
      </c>
      <c r="H1141" t="s">
        <v>53</v>
      </c>
      <c r="I1141" t="s">
        <v>42</v>
      </c>
      <c r="K1141" t="s">
        <v>48</v>
      </c>
      <c r="L1141" t="s">
        <v>90</v>
      </c>
      <c r="M1141">
        <v>3</v>
      </c>
    </row>
    <row r="1142" spans="1:13" x14ac:dyDescent="0.25">
      <c r="A1142">
        <v>1361</v>
      </c>
      <c r="B1142" t="s">
        <v>235</v>
      </c>
      <c r="C1142" t="s">
        <v>65</v>
      </c>
      <c r="D1142">
        <v>2020</v>
      </c>
      <c r="E1142">
        <v>23781</v>
      </c>
      <c r="F1142">
        <v>26000</v>
      </c>
      <c r="G1142">
        <v>60000</v>
      </c>
      <c r="I1142" t="s">
        <v>35</v>
      </c>
      <c r="J1142" t="s">
        <v>36</v>
      </c>
      <c r="K1142" t="s">
        <v>73</v>
      </c>
      <c r="L1142" t="s">
        <v>45</v>
      </c>
      <c r="M1142">
        <v>3</v>
      </c>
    </row>
    <row r="1143" spans="1:13" x14ac:dyDescent="0.25">
      <c r="A1143">
        <v>1069</v>
      </c>
      <c r="B1143" t="s">
        <v>364</v>
      </c>
      <c r="C1143" t="s">
        <v>103</v>
      </c>
      <c r="D1143">
        <v>2020</v>
      </c>
      <c r="E1143">
        <v>5294</v>
      </c>
      <c r="F1143" t="s">
        <v>81</v>
      </c>
      <c r="G1143">
        <v>40000</v>
      </c>
      <c r="I1143" t="s">
        <v>35</v>
      </c>
      <c r="J1143" t="s">
        <v>96</v>
      </c>
      <c r="K1143" t="s">
        <v>73</v>
      </c>
      <c r="L1143" t="s">
        <v>126</v>
      </c>
      <c r="M1143">
        <v>2</v>
      </c>
    </row>
    <row r="1144" spans="1:13" x14ac:dyDescent="0.25">
      <c r="A1144">
        <v>1587</v>
      </c>
      <c r="B1144" t="s">
        <v>974</v>
      </c>
      <c r="C1144" t="s">
        <v>119</v>
      </c>
      <c r="D1144">
        <v>2022</v>
      </c>
      <c r="E1144" t="s">
        <v>1048</v>
      </c>
      <c r="F1144">
        <v>9000</v>
      </c>
      <c r="G1144">
        <v>120000</v>
      </c>
      <c r="H1144" t="s">
        <v>84</v>
      </c>
      <c r="I1144" t="s">
        <v>72</v>
      </c>
      <c r="J1144" t="s">
        <v>66</v>
      </c>
      <c r="K1144" t="s">
        <v>73</v>
      </c>
      <c r="L1144" t="s">
        <v>45</v>
      </c>
    </row>
    <row r="1145" spans="1:13" x14ac:dyDescent="0.25">
      <c r="A1145">
        <v>1404</v>
      </c>
      <c r="B1145" t="s">
        <v>1049</v>
      </c>
      <c r="C1145" t="s">
        <v>68</v>
      </c>
      <c r="E1145">
        <v>12102</v>
      </c>
      <c r="F1145">
        <v>18000</v>
      </c>
      <c r="G1145">
        <v>120000</v>
      </c>
      <c r="H1145" t="s">
        <v>53</v>
      </c>
      <c r="I1145" t="s">
        <v>35</v>
      </c>
      <c r="J1145" t="s">
        <v>66</v>
      </c>
      <c r="K1145" t="s">
        <v>116</v>
      </c>
      <c r="L1145" t="s">
        <v>55</v>
      </c>
      <c r="M1145">
        <v>0</v>
      </c>
    </row>
    <row r="1146" spans="1:13" x14ac:dyDescent="0.25">
      <c r="A1146">
        <v>1101</v>
      </c>
      <c r="B1146" t="s">
        <v>1050</v>
      </c>
      <c r="C1146" t="s">
        <v>103</v>
      </c>
      <c r="D1146">
        <v>2020</v>
      </c>
      <c r="E1146" t="s">
        <v>1051</v>
      </c>
      <c r="F1146">
        <v>18000</v>
      </c>
      <c r="G1146">
        <v>15000</v>
      </c>
      <c r="I1146" t="s">
        <v>59</v>
      </c>
      <c r="K1146" t="s">
        <v>54</v>
      </c>
      <c r="L1146" t="s">
        <v>38</v>
      </c>
      <c r="M1146">
        <v>1</v>
      </c>
    </row>
    <row r="1147" spans="1:13" x14ac:dyDescent="0.25">
      <c r="A1147">
        <v>1296</v>
      </c>
      <c r="B1147" t="s">
        <v>677</v>
      </c>
      <c r="C1147" t="s">
        <v>57</v>
      </c>
      <c r="D1147">
        <v>2019</v>
      </c>
      <c r="E1147">
        <v>23273</v>
      </c>
      <c r="F1147">
        <v>26000</v>
      </c>
      <c r="G1147">
        <v>25000</v>
      </c>
      <c r="I1147" t="s">
        <v>35</v>
      </c>
      <c r="J1147" t="s">
        <v>36</v>
      </c>
      <c r="K1147" t="s">
        <v>54</v>
      </c>
      <c r="L1147" t="s">
        <v>90</v>
      </c>
      <c r="M1147">
        <v>3</v>
      </c>
    </row>
    <row r="1148" spans="1:13" x14ac:dyDescent="0.25">
      <c r="A1148">
        <v>1471</v>
      </c>
      <c r="B1148" t="s">
        <v>677</v>
      </c>
      <c r="C1148" t="s">
        <v>164</v>
      </c>
      <c r="D1148">
        <v>2014</v>
      </c>
      <c r="E1148">
        <v>13583</v>
      </c>
      <c r="F1148">
        <v>15000</v>
      </c>
      <c r="G1148" t="s">
        <v>92</v>
      </c>
      <c r="H1148" t="s">
        <v>84</v>
      </c>
      <c r="I1148" t="s">
        <v>59</v>
      </c>
      <c r="J1148" t="s">
        <v>36</v>
      </c>
      <c r="K1148" t="s">
        <v>100</v>
      </c>
      <c r="L1148" t="s">
        <v>126</v>
      </c>
      <c r="M1148">
        <v>2</v>
      </c>
    </row>
    <row r="1149" spans="1:13" x14ac:dyDescent="0.25">
      <c r="A1149">
        <v>1525</v>
      </c>
      <c r="B1149" t="s">
        <v>1052</v>
      </c>
      <c r="C1149" t="s">
        <v>32</v>
      </c>
      <c r="D1149">
        <v>2022</v>
      </c>
      <c r="E1149">
        <v>4975</v>
      </c>
      <c r="F1149">
        <v>9000</v>
      </c>
      <c r="G1149">
        <v>25000</v>
      </c>
      <c r="I1149" t="s">
        <v>42</v>
      </c>
      <c r="J1149" t="s">
        <v>36</v>
      </c>
      <c r="K1149" t="s">
        <v>37</v>
      </c>
      <c r="L1149" t="s">
        <v>55</v>
      </c>
      <c r="M1149">
        <v>0</v>
      </c>
    </row>
    <row r="1150" spans="1:13" x14ac:dyDescent="0.25">
      <c r="A1150">
        <v>1266</v>
      </c>
      <c r="B1150" t="s">
        <v>1053</v>
      </c>
      <c r="C1150" t="s">
        <v>51</v>
      </c>
      <c r="D1150" t="s">
        <v>52</v>
      </c>
      <c r="E1150">
        <v>1523</v>
      </c>
      <c r="F1150" t="s">
        <v>147</v>
      </c>
      <c r="G1150">
        <v>15000</v>
      </c>
      <c r="I1150" t="s">
        <v>72</v>
      </c>
      <c r="L1150" t="s">
        <v>38</v>
      </c>
    </row>
    <row r="1151" spans="1:13" x14ac:dyDescent="0.25">
      <c r="A1151">
        <v>1176</v>
      </c>
      <c r="B1151" t="s">
        <v>544</v>
      </c>
      <c r="C1151" t="s">
        <v>138</v>
      </c>
      <c r="D1151">
        <v>2022</v>
      </c>
      <c r="E1151" t="s">
        <v>1054</v>
      </c>
      <c r="F1151" t="s">
        <v>115</v>
      </c>
      <c r="G1151">
        <v>60000</v>
      </c>
      <c r="H1151" t="s">
        <v>34</v>
      </c>
      <c r="I1151" t="s">
        <v>59</v>
      </c>
      <c r="J1151" t="s">
        <v>96</v>
      </c>
      <c r="K1151" t="s">
        <v>116</v>
      </c>
      <c r="L1151" t="s">
        <v>49</v>
      </c>
      <c r="M1151">
        <v>1</v>
      </c>
    </row>
    <row r="1152" spans="1:13" x14ac:dyDescent="0.25">
      <c r="A1152">
        <v>1093</v>
      </c>
      <c r="B1152" t="s">
        <v>1009</v>
      </c>
      <c r="C1152" t="s">
        <v>47</v>
      </c>
      <c r="D1152">
        <v>2020</v>
      </c>
      <c r="E1152">
        <v>3121</v>
      </c>
      <c r="F1152">
        <v>9000</v>
      </c>
      <c r="G1152">
        <v>40000</v>
      </c>
      <c r="J1152" t="s">
        <v>96</v>
      </c>
      <c r="K1152" t="s">
        <v>100</v>
      </c>
      <c r="L1152" t="s">
        <v>98</v>
      </c>
    </row>
    <row r="1153" spans="1:13" x14ac:dyDescent="0.25">
      <c r="A1153">
        <v>1051</v>
      </c>
      <c r="B1153" t="s">
        <v>419</v>
      </c>
      <c r="C1153" t="s">
        <v>164</v>
      </c>
      <c r="D1153">
        <v>2021</v>
      </c>
      <c r="E1153">
        <v>19510</v>
      </c>
      <c r="F1153">
        <v>26000</v>
      </c>
      <c r="G1153" t="s">
        <v>121</v>
      </c>
      <c r="H1153" t="s">
        <v>84</v>
      </c>
      <c r="I1153" t="s">
        <v>72</v>
      </c>
      <c r="J1153" t="s">
        <v>36</v>
      </c>
      <c r="K1153" t="s">
        <v>48</v>
      </c>
      <c r="L1153" t="s">
        <v>49</v>
      </c>
      <c r="M1153">
        <v>2</v>
      </c>
    </row>
    <row r="1154" spans="1:13" x14ac:dyDescent="0.25">
      <c r="A1154">
        <v>1181</v>
      </c>
      <c r="B1154" t="s">
        <v>1055</v>
      </c>
      <c r="C1154" t="s">
        <v>103</v>
      </c>
      <c r="D1154">
        <v>2014</v>
      </c>
      <c r="E1154">
        <v>24739</v>
      </c>
      <c r="F1154">
        <v>31000</v>
      </c>
      <c r="G1154">
        <v>80000</v>
      </c>
      <c r="H1154" t="s">
        <v>53</v>
      </c>
      <c r="I1154" t="s">
        <v>72</v>
      </c>
      <c r="J1154" t="s">
        <v>43</v>
      </c>
      <c r="K1154" t="s">
        <v>44</v>
      </c>
      <c r="L1154" t="s">
        <v>49</v>
      </c>
      <c r="M1154">
        <v>3</v>
      </c>
    </row>
    <row r="1155" spans="1:13" x14ac:dyDescent="0.25">
      <c r="A1155">
        <v>1289</v>
      </c>
      <c r="B1155" t="s">
        <v>860</v>
      </c>
      <c r="C1155" t="s">
        <v>94</v>
      </c>
      <c r="D1155">
        <v>2016</v>
      </c>
      <c r="E1155">
        <v>16630</v>
      </c>
      <c r="F1155">
        <v>18000</v>
      </c>
      <c r="G1155">
        <v>120000</v>
      </c>
      <c r="H1155" t="s">
        <v>69</v>
      </c>
      <c r="J1155" t="s">
        <v>43</v>
      </c>
      <c r="K1155" t="s">
        <v>73</v>
      </c>
      <c r="L1155" t="s">
        <v>45</v>
      </c>
      <c r="M1155">
        <v>3</v>
      </c>
    </row>
    <row r="1156" spans="1:13" x14ac:dyDescent="0.25">
      <c r="A1156">
        <v>1574</v>
      </c>
      <c r="B1156" t="s">
        <v>736</v>
      </c>
      <c r="C1156" t="s">
        <v>51</v>
      </c>
      <c r="D1156">
        <v>2016</v>
      </c>
      <c r="E1156">
        <v>7905</v>
      </c>
      <c r="F1156">
        <v>9000</v>
      </c>
      <c r="G1156" t="s">
        <v>92</v>
      </c>
      <c r="H1156" t="s">
        <v>63</v>
      </c>
      <c r="J1156" t="s">
        <v>66</v>
      </c>
      <c r="K1156" t="s">
        <v>48</v>
      </c>
      <c r="L1156" t="s">
        <v>45</v>
      </c>
    </row>
    <row r="1157" spans="1:13" x14ac:dyDescent="0.25">
      <c r="A1157">
        <v>1545</v>
      </c>
      <c r="B1157" t="s">
        <v>991</v>
      </c>
      <c r="C1157" t="s">
        <v>164</v>
      </c>
      <c r="D1157">
        <v>2014</v>
      </c>
      <c r="E1157">
        <v>9621</v>
      </c>
      <c r="F1157">
        <v>15000</v>
      </c>
      <c r="G1157" t="s">
        <v>130</v>
      </c>
      <c r="H1157" t="s">
        <v>34</v>
      </c>
      <c r="I1157" t="s">
        <v>42</v>
      </c>
      <c r="J1157" t="s">
        <v>96</v>
      </c>
      <c r="K1157" t="s">
        <v>48</v>
      </c>
      <c r="L1157" t="s">
        <v>55</v>
      </c>
      <c r="M1157">
        <v>1</v>
      </c>
    </row>
    <row r="1158" spans="1:13" x14ac:dyDescent="0.25">
      <c r="A1158">
        <v>1091</v>
      </c>
      <c r="B1158" t="s">
        <v>376</v>
      </c>
      <c r="C1158" t="s">
        <v>138</v>
      </c>
      <c r="E1158">
        <v>7820</v>
      </c>
      <c r="F1158">
        <v>9000</v>
      </c>
      <c r="G1158">
        <v>60000</v>
      </c>
      <c r="H1158" t="s">
        <v>53</v>
      </c>
      <c r="I1158" t="s">
        <v>72</v>
      </c>
      <c r="K1158" t="s">
        <v>100</v>
      </c>
      <c r="L1158" t="s">
        <v>38</v>
      </c>
      <c r="M1158">
        <v>3</v>
      </c>
    </row>
    <row r="1159" spans="1:13" x14ac:dyDescent="0.25">
      <c r="A1159">
        <v>1000</v>
      </c>
      <c r="B1159" t="s">
        <v>780</v>
      </c>
      <c r="C1159" t="s">
        <v>32</v>
      </c>
      <c r="D1159">
        <v>2017</v>
      </c>
      <c r="E1159">
        <v>8105</v>
      </c>
      <c r="F1159">
        <v>15000</v>
      </c>
      <c r="G1159" t="s">
        <v>92</v>
      </c>
      <c r="H1159" t="s">
        <v>69</v>
      </c>
      <c r="I1159" t="s">
        <v>72</v>
      </c>
      <c r="L1159" t="s">
        <v>49</v>
      </c>
      <c r="M1159">
        <v>3</v>
      </c>
    </row>
    <row r="1160" spans="1:13" x14ac:dyDescent="0.25">
      <c r="A1160">
        <v>1507</v>
      </c>
      <c r="B1160" t="s">
        <v>171</v>
      </c>
      <c r="C1160" t="s">
        <v>61</v>
      </c>
      <c r="D1160">
        <v>2014</v>
      </c>
      <c r="E1160" t="s">
        <v>1056</v>
      </c>
      <c r="F1160" t="s">
        <v>204</v>
      </c>
      <c r="G1160" t="s">
        <v>130</v>
      </c>
      <c r="H1160" t="s">
        <v>63</v>
      </c>
      <c r="I1160" t="s">
        <v>35</v>
      </c>
      <c r="J1160" t="s">
        <v>66</v>
      </c>
      <c r="K1160" t="s">
        <v>54</v>
      </c>
      <c r="L1160" t="s">
        <v>45</v>
      </c>
      <c r="M1160">
        <v>0</v>
      </c>
    </row>
    <row r="1161" spans="1:13" x14ac:dyDescent="0.25">
      <c r="A1161">
        <v>1528</v>
      </c>
      <c r="B1161" t="s">
        <v>895</v>
      </c>
      <c r="C1161" t="s">
        <v>103</v>
      </c>
      <c r="D1161">
        <v>2020</v>
      </c>
      <c r="E1161" t="s">
        <v>1057</v>
      </c>
      <c r="F1161">
        <v>9000</v>
      </c>
      <c r="G1161">
        <v>60000</v>
      </c>
      <c r="H1161" t="s">
        <v>41</v>
      </c>
      <c r="K1161" t="s">
        <v>73</v>
      </c>
      <c r="L1161" t="s">
        <v>98</v>
      </c>
      <c r="M1161">
        <v>3</v>
      </c>
    </row>
    <row r="1162" spans="1:13" x14ac:dyDescent="0.25">
      <c r="A1162">
        <v>1423</v>
      </c>
      <c r="B1162" t="s">
        <v>1058</v>
      </c>
      <c r="C1162" t="s">
        <v>164</v>
      </c>
      <c r="D1162">
        <v>2015</v>
      </c>
      <c r="E1162">
        <v>13373</v>
      </c>
      <c r="F1162">
        <v>18000</v>
      </c>
      <c r="G1162">
        <v>15000</v>
      </c>
      <c r="H1162" t="s">
        <v>63</v>
      </c>
      <c r="J1162" t="s">
        <v>66</v>
      </c>
      <c r="K1162" t="s">
        <v>48</v>
      </c>
      <c r="L1162" t="s">
        <v>98</v>
      </c>
      <c r="M1162">
        <v>2</v>
      </c>
    </row>
    <row r="1163" spans="1:13" x14ac:dyDescent="0.25">
      <c r="A1163">
        <v>1562</v>
      </c>
      <c r="B1163" t="s">
        <v>913</v>
      </c>
      <c r="C1163" t="s">
        <v>103</v>
      </c>
      <c r="E1163">
        <v>9235</v>
      </c>
      <c r="F1163">
        <v>15000</v>
      </c>
      <c r="G1163">
        <v>120000</v>
      </c>
      <c r="H1163" t="s">
        <v>69</v>
      </c>
      <c r="I1163" t="s">
        <v>35</v>
      </c>
      <c r="J1163" t="s">
        <v>96</v>
      </c>
      <c r="K1163" t="s">
        <v>44</v>
      </c>
      <c r="L1163" t="s">
        <v>45</v>
      </c>
      <c r="M1163">
        <v>2</v>
      </c>
    </row>
    <row r="1164" spans="1:13" x14ac:dyDescent="0.25">
      <c r="A1164">
        <v>1059</v>
      </c>
      <c r="B1164" t="s">
        <v>551</v>
      </c>
      <c r="C1164" t="s">
        <v>68</v>
      </c>
      <c r="D1164">
        <v>2015</v>
      </c>
      <c r="E1164">
        <v>6896</v>
      </c>
      <c r="F1164">
        <v>9000</v>
      </c>
      <c r="G1164">
        <v>80000</v>
      </c>
      <c r="H1164" t="s">
        <v>53</v>
      </c>
      <c r="I1164" t="s">
        <v>59</v>
      </c>
      <c r="J1164" t="s">
        <v>36</v>
      </c>
      <c r="K1164" t="s">
        <v>44</v>
      </c>
      <c r="L1164" t="s">
        <v>49</v>
      </c>
      <c r="M1164">
        <v>0</v>
      </c>
    </row>
    <row r="1165" spans="1:13" x14ac:dyDescent="0.25">
      <c r="A1165">
        <v>1232</v>
      </c>
      <c r="B1165" t="s">
        <v>1059</v>
      </c>
      <c r="C1165" t="s">
        <v>133</v>
      </c>
      <c r="D1165">
        <v>2015</v>
      </c>
      <c r="E1165">
        <v>19035</v>
      </c>
      <c r="F1165">
        <v>26000</v>
      </c>
      <c r="G1165">
        <v>120000</v>
      </c>
      <c r="H1165" t="s">
        <v>34</v>
      </c>
      <c r="I1165" t="s">
        <v>42</v>
      </c>
      <c r="J1165" t="s">
        <v>43</v>
      </c>
      <c r="K1165" t="s">
        <v>44</v>
      </c>
      <c r="L1165" t="s">
        <v>38</v>
      </c>
      <c r="M1165">
        <v>3</v>
      </c>
    </row>
    <row r="1166" spans="1:13" x14ac:dyDescent="0.25">
      <c r="A1166">
        <v>1388</v>
      </c>
      <c r="B1166" t="s">
        <v>559</v>
      </c>
      <c r="C1166" t="s">
        <v>164</v>
      </c>
      <c r="D1166">
        <v>2015</v>
      </c>
      <c r="E1166">
        <v>13950</v>
      </c>
      <c r="F1166" t="s">
        <v>129</v>
      </c>
      <c r="G1166">
        <v>40000</v>
      </c>
      <c r="H1166" t="s">
        <v>69</v>
      </c>
      <c r="I1166" t="s">
        <v>42</v>
      </c>
      <c r="J1166" t="s">
        <v>96</v>
      </c>
      <c r="L1166" t="s">
        <v>45</v>
      </c>
      <c r="M1166">
        <v>1</v>
      </c>
    </row>
    <row r="1167" spans="1:13" x14ac:dyDescent="0.25">
      <c r="A1167">
        <v>1570</v>
      </c>
      <c r="B1167" t="s">
        <v>938</v>
      </c>
      <c r="C1167" t="s">
        <v>68</v>
      </c>
      <c r="D1167">
        <v>2018</v>
      </c>
      <c r="E1167">
        <v>19410</v>
      </c>
      <c r="F1167">
        <v>26000</v>
      </c>
      <c r="G1167">
        <v>60000</v>
      </c>
      <c r="H1167" t="s">
        <v>63</v>
      </c>
      <c r="I1167" t="s">
        <v>59</v>
      </c>
      <c r="J1167" t="s">
        <v>96</v>
      </c>
      <c r="K1167" t="s">
        <v>100</v>
      </c>
      <c r="L1167" t="s">
        <v>126</v>
      </c>
      <c r="M1167">
        <v>2</v>
      </c>
    </row>
    <row r="1168" spans="1:13" x14ac:dyDescent="0.25">
      <c r="A1168">
        <v>1550</v>
      </c>
      <c r="B1168" t="s">
        <v>611</v>
      </c>
      <c r="C1168" t="s">
        <v>61</v>
      </c>
      <c r="D1168">
        <v>2020</v>
      </c>
      <c r="E1168">
        <v>17371</v>
      </c>
      <c r="F1168">
        <v>22000</v>
      </c>
      <c r="G1168">
        <v>60000</v>
      </c>
      <c r="H1168" t="s">
        <v>69</v>
      </c>
      <c r="I1168" t="s">
        <v>72</v>
      </c>
      <c r="J1168" t="s">
        <v>66</v>
      </c>
      <c r="K1168" t="s">
        <v>77</v>
      </c>
    </row>
    <row r="1169" spans="1:13" x14ac:dyDescent="0.25">
      <c r="A1169">
        <v>1414</v>
      </c>
      <c r="B1169" t="s">
        <v>479</v>
      </c>
      <c r="C1169" t="s">
        <v>40</v>
      </c>
      <c r="D1169">
        <v>2020</v>
      </c>
      <c r="E1169">
        <v>7973</v>
      </c>
      <c r="F1169">
        <v>12000</v>
      </c>
      <c r="G1169">
        <v>25000</v>
      </c>
      <c r="H1169" t="s">
        <v>58</v>
      </c>
      <c r="I1169" t="s">
        <v>59</v>
      </c>
      <c r="J1169" t="s">
        <v>96</v>
      </c>
      <c r="K1169" t="s">
        <v>54</v>
      </c>
      <c r="L1169" t="s">
        <v>126</v>
      </c>
      <c r="M1169">
        <v>0</v>
      </c>
    </row>
    <row r="1170" spans="1:13" x14ac:dyDescent="0.25">
      <c r="A1170">
        <v>1234</v>
      </c>
      <c r="B1170" t="s">
        <v>645</v>
      </c>
      <c r="C1170" t="s">
        <v>94</v>
      </c>
      <c r="D1170" t="s">
        <v>52</v>
      </c>
      <c r="E1170">
        <v>16018</v>
      </c>
      <c r="F1170" t="s">
        <v>115</v>
      </c>
      <c r="G1170">
        <v>80000</v>
      </c>
      <c r="H1170" t="s">
        <v>34</v>
      </c>
      <c r="I1170" t="s">
        <v>42</v>
      </c>
      <c r="J1170" t="s">
        <v>66</v>
      </c>
      <c r="K1170" t="s">
        <v>37</v>
      </c>
      <c r="L1170" t="s">
        <v>90</v>
      </c>
      <c r="M1170">
        <v>1</v>
      </c>
    </row>
    <row r="1171" spans="1:13" x14ac:dyDescent="0.25">
      <c r="A1171">
        <v>1318</v>
      </c>
      <c r="B1171" t="s">
        <v>1060</v>
      </c>
      <c r="C1171" t="s">
        <v>51</v>
      </c>
      <c r="D1171">
        <v>2016</v>
      </c>
      <c r="E1171">
        <v>26082</v>
      </c>
      <c r="F1171">
        <v>31000</v>
      </c>
      <c r="G1171">
        <v>60000</v>
      </c>
      <c r="H1171" t="s">
        <v>34</v>
      </c>
      <c r="I1171" t="s">
        <v>35</v>
      </c>
      <c r="J1171" t="s">
        <v>36</v>
      </c>
      <c r="K1171" t="s">
        <v>37</v>
      </c>
      <c r="L1171" t="s">
        <v>90</v>
      </c>
      <c r="M1171">
        <v>2</v>
      </c>
    </row>
    <row r="1172" spans="1:13" x14ac:dyDescent="0.25">
      <c r="A1172">
        <v>1529</v>
      </c>
      <c r="B1172" t="s">
        <v>160</v>
      </c>
      <c r="C1172" t="s">
        <v>32</v>
      </c>
      <c r="D1172">
        <v>2015</v>
      </c>
      <c r="E1172">
        <v>18943</v>
      </c>
      <c r="F1172">
        <v>22000</v>
      </c>
      <c r="G1172" t="s">
        <v>121</v>
      </c>
      <c r="H1172" t="s">
        <v>41</v>
      </c>
      <c r="I1172" t="s">
        <v>35</v>
      </c>
      <c r="J1172" t="s">
        <v>43</v>
      </c>
      <c r="L1172" t="s">
        <v>98</v>
      </c>
      <c r="M1172">
        <v>3</v>
      </c>
    </row>
    <row r="1173" spans="1:13" x14ac:dyDescent="0.25">
      <c r="A1173">
        <v>1591</v>
      </c>
      <c r="B1173" t="s">
        <v>332</v>
      </c>
      <c r="C1173" t="s">
        <v>133</v>
      </c>
      <c r="D1173">
        <v>2022</v>
      </c>
      <c r="E1173">
        <v>10352</v>
      </c>
      <c r="F1173">
        <v>12000</v>
      </c>
      <c r="G1173">
        <v>25000</v>
      </c>
      <c r="H1173" t="s">
        <v>41</v>
      </c>
      <c r="I1173" t="s">
        <v>72</v>
      </c>
      <c r="J1173" t="s">
        <v>43</v>
      </c>
      <c r="K1173" t="s">
        <v>100</v>
      </c>
      <c r="L1173" t="s">
        <v>98</v>
      </c>
      <c r="M1173">
        <v>2</v>
      </c>
    </row>
    <row r="1174" spans="1:13" x14ac:dyDescent="0.25">
      <c r="A1174">
        <v>1168</v>
      </c>
      <c r="B1174" t="s">
        <v>768</v>
      </c>
      <c r="C1174" t="s">
        <v>57</v>
      </c>
      <c r="D1174" t="s">
        <v>52</v>
      </c>
      <c r="E1174" t="s">
        <v>1061</v>
      </c>
      <c r="F1174">
        <v>26000</v>
      </c>
      <c r="G1174" t="s">
        <v>76</v>
      </c>
      <c r="I1174" t="s">
        <v>72</v>
      </c>
      <c r="J1174" t="s">
        <v>66</v>
      </c>
      <c r="K1174" t="s">
        <v>48</v>
      </c>
      <c r="L1174" t="s">
        <v>109</v>
      </c>
    </row>
    <row r="1175" spans="1:13" x14ac:dyDescent="0.25">
      <c r="A1175">
        <v>1172</v>
      </c>
      <c r="B1175" t="s">
        <v>1062</v>
      </c>
      <c r="C1175" t="s">
        <v>94</v>
      </c>
      <c r="D1175">
        <v>2022</v>
      </c>
      <c r="E1175">
        <v>1461</v>
      </c>
      <c r="F1175">
        <v>7000</v>
      </c>
      <c r="G1175">
        <v>60000</v>
      </c>
      <c r="H1175" t="s">
        <v>69</v>
      </c>
      <c r="I1175" t="s">
        <v>42</v>
      </c>
      <c r="J1175" t="s">
        <v>36</v>
      </c>
      <c r="L1175" t="s">
        <v>38</v>
      </c>
    </row>
    <row r="1176" spans="1:13" x14ac:dyDescent="0.25">
      <c r="A1176">
        <v>1439</v>
      </c>
      <c r="B1176" t="s">
        <v>956</v>
      </c>
      <c r="C1176" t="s">
        <v>61</v>
      </c>
      <c r="D1176">
        <v>2018</v>
      </c>
      <c r="E1176">
        <v>20614</v>
      </c>
      <c r="F1176">
        <v>22000</v>
      </c>
      <c r="G1176">
        <v>40000</v>
      </c>
      <c r="I1176" t="s">
        <v>72</v>
      </c>
      <c r="J1176" t="s">
        <v>66</v>
      </c>
      <c r="K1176" t="s">
        <v>77</v>
      </c>
      <c r="L1176" t="s">
        <v>49</v>
      </c>
      <c r="M1176">
        <v>0</v>
      </c>
    </row>
    <row r="1177" spans="1:13" x14ac:dyDescent="0.25">
      <c r="A1177">
        <v>1550</v>
      </c>
      <c r="B1177" t="s">
        <v>519</v>
      </c>
      <c r="C1177" t="s">
        <v>164</v>
      </c>
      <c r="D1177">
        <v>2017</v>
      </c>
      <c r="E1177">
        <v>7335</v>
      </c>
      <c r="F1177">
        <v>12000</v>
      </c>
      <c r="G1177">
        <v>120000</v>
      </c>
      <c r="H1177" t="s">
        <v>84</v>
      </c>
      <c r="I1177" t="s">
        <v>59</v>
      </c>
      <c r="J1177" t="s">
        <v>43</v>
      </c>
      <c r="K1177" t="s">
        <v>48</v>
      </c>
      <c r="L1177" t="s">
        <v>38</v>
      </c>
      <c r="M1177">
        <v>1</v>
      </c>
    </row>
    <row r="1178" spans="1:13" x14ac:dyDescent="0.25">
      <c r="A1178">
        <v>1196</v>
      </c>
      <c r="B1178" t="s">
        <v>1063</v>
      </c>
      <c r="C1178" t="s">
        <v>51</v>
      </c>
      <c r="D1178" t="s">
        <v>52</v>
      </c>
      <c r="E1178">
        <v>9610</v>
      </c>
      <c r="F1178">
        <v>12000</v>
      </c>
      <c r="G1178">
        <v>60000</v>
      </c>
      <c r="H1178" t="s">
        <v>58</v>
      </c>
      <c r="I1178" t="s">
        <v>35</v>
      </c>
      <c r="J1178" t="s">
        <v>43</v>
      </c>
      <c r="K1178" t="s">
        <v>44</v>
      </c>
      <c r="L1178" t="s">
        <v>126</v>
      </c>
    </row>
    <row r="1179" spans="1:13" x14ac:dyDescent="0.25">
      <c r="A1179">
        <v>1336</v>
      </c>
      <c r="B1179" t="s">
        <v>1064</v>
      </c>
      <c r="C1179" t="s">
        <v>68</v>
      </c>
      <c r="D1179">
        <v>2015</v>
      </c>
      <c r="E1179">
        <v>24659</v>
      </c>
      <c r="F1179">
        <v>26000</v>
      </c>
      <c r="G1179">
        <v>25000</v>
      </c>
      <c r="H1179" t="s">
        <v>53</v>
      </c>
      <c r="I1179" t="s">
        <v>72</v>
      </c>
      <c r="L1179" t="s">
        <v>90</v>
      </c>
      <c r="M1179">
        <v>2</v>
      </c>
    </row>
    <row r="1180" spans="1:13" x14ac:dyDescent="0.25">
      <c r="A1180">
        <v>1106</v>
      </c>
      <c r="B1180" t="s">
        <v>1065</v>
      </c>
      <c r="C1180" t="s">
        <v>119</v>
      </c>
      <c r="D1180">
        <v>2019</v>
      </c>
      <c r="E1180">
        <v>13904</v>
      </c>
      <c r="F1180">
        <v>15000</v>
      </c>
      <c r="G1180">
        <v>40000</v>
      </c>
      <c r="J1180" t="s">
        <v>96</v>
      </c>
      <c r="L1180" t="s">
        <v>49</v>
      </c>
      <c r="M1180">
        <v>3</v>
      </c>
    </row>
    <row r="1181" spans="1:13" x14ac:dyDescent="0.25">
      <c r="A1181">
        <v>1267</v>
      </c>
      <c r="B1181" t="s">
        <v>241</v>
      </c>
      <c r="C1181" t="s">
        <v>79</v>
      </c>
      <c r="D1181">
        <v>2016</v>
      </c>
      <c r="E1181">
        <v>14917</v>
      </c>
      <c r="F1181" t="s">
        <v>129</v>
      </c>
      <c r="G1181">
        <v>40000</v>
      </c>
      <c r="H1181" t="s">
        <v>63</v>
      </c>
      <c r="I1181" t="s">
        <v>35</v>
      </c>
      <c r="J1181" t="s">
        <v>43</v>
      </c>
      <c r="K1181" t="s">
        <v>77</v>
      </c>
      <c r="L1181" t="s">
        <v>55</v>
      </c>
    </row>
    <row r="1182" spans="1:13" x14ac:dyDescent="0.25">
      <c r="A1182">
        <v>1150</v>
      </c>
      <c r="B1182" t="s">
        <v>298</v>
      </c>
      <c r="C1182" t="s">
        <v>32</v>
      </c>
      <c r="D1182">
        <v>2014</v>
      </c>
      <c r="E1182">
        <v>15728</v>
      </c>
      <c r="F1182">
        <v>22000</v>
      </c>
      <c r="G1182">
        <v>25000</v>
      </c>
      <c r="H1182" t="s">
        <v>69</v>
      </c>
      <c r="J1182" t="s">
        <v>43</v>
      </c>
      <c r="K1182" t="s">
        <v>48</v>
      </c>
    </row>
    <row r="1183" spans="1:13" x14ac:dyDescent="0.25">
      <c r="A1183">
        <v>1592</v>
      </c>
      <c r="B1183" t="s">
        <v>1066</v>
      </c>
      <c r="C1183" t="s">
        <v>164</v>
      </c>
      <c r="E1183">
        <v>3424</v>
      </c>
      <c r="F1183">
        <v>7000</v>
      </c>
      <c r="G1183" t="s">
        <v>130</v>
      </c>
      <c r="I1183" t="s">
        <v>42</v>
      </c>
      <c r="J1183" t="s">
        <v>96</v>
      </c>
      <c r="K1183" t="s">
        <v>48</v>
      </c>
      <c r="L1183" t="s">
        <v>38</v>
      </c>
      <c r="M1183">
        <v>0</v>
      </c>
    </row>
    <row r="1184" spans="1:13" x14ac:dyDescent="0.25">
      <c r="A1184">
        <v>1274</v>
      </c>
      <c r="B1184" t="s">
        <v>251</v>
      </c>
      <c r="C1184" t="s">
        <v>75</v>
      </c>
      <c r="E1184" t="s">
        <v>1067</v>
      </c>
      <c r="F1184">
        <v>26000</v>
      </c>
      <c r="G1184">
        <v>120000</v>
      </c>
      <c r="H1184" t="s">
        <v>53</v>
      </c>
      <c r="J1184" t="s">
        <v>43</v>
      </c>
      <c r="K1184" t="s">
        <v>100</v>
      </c>
      <c r="M1184">
        <v>1</v>
      </c>
    </row>
    <row r="1185" spans="1:13" x14ac:dyDescent="0.25">
      <c r="A1185">
        <v>1511</v>
      </c>
      <c r="B1185" t="s">
        <v>1068</v>
      </c>
      <c r="C1185" t="s">
        <v>119</v>
      </c>
      <c r="E1185" t="s">
        <v>1069</v>
      </c>
      <c r="F1185">
        <v>9000</v>
      </c>
      <c r="G1185" t="s">
        <v>33</v>
      </c>
      <c r="H1185" t="s">
        <v>53</v>
      </c>
      <c r="I1185" t="s">
        <v>42</v>
      </c>
      <c r="L1185" t="s">
        <v>126</v>
      </c>
    </row>
    <row r="1186" spans="1:13" x14ac:dyDescent="0.25">
      <c r="A1186">
        <v>1015</v>
      </c>
      <c r="B1186" t="s">
        <v>1070</v>
      </c>
      <c r="C1186" t="s">
        <v>47</v>
      </c>
      <c r="D1186">
        <v>2016</v>
      </c>
      <c r="E1186" t="s">
        <v>1071</v>
      </c>
      <c r="F1186">
        <v>12000</v>
      </c>
      <c r="G1186" t="s">
        <v>76</v>
      </c>
      <c r="H1186" t="s">
        <v>84</v>
      </c>
      <c r="J1186" t="s">
        <v>43</v>
      </c>
      <c r="K1186" t="s">
        <v>116</v>
      </c>
      <c r="L1186" t="s">
        <v>98</v>
      </c>
      <c r="M1186">
        <v>3</v>
      </c>
    </row>
    <row r="1187" spans="1:13" x14ac:dyDescent="0.25">
      <c r="A1187">
        <v>1492</v>
      </c>
      <c r="B1187" t="s">
        <v>1072</v>
      </c>
      <c r="C1187" t="s">
        <v>32</v>
      </c>
      <c r="D1187">
        <v>2014</v>
      </c>
      <c r="E1187">
        <v>828</v>
      </c>
      <c r="F1187" t="s">
        <v>147</v>
      </c>
      <c r="G1187">
        <v>80000</v>
      </c>
      <c r="H1187" t="s">
        <v>69</v>
      </c>
      <c r="I1187" t="s">
        <v>42</v>
      </c>
      <c r="J1187" t="s">
        <v>96</v>
      </c>
      <c r="K1187" t="s">
        <v>48</v>
      </c>
      <c r="L1187" t="s">
        <v>49</v>
      </c>
      <c r="M1187">
        <v>2</v>
      </c>
    </row>
    <row r="1188" spans="1:13" x14ac:dyDescent="0.25">
      <c r="A1188">
        <v>1087</v>
      </c>
      <c r="B1188" t="s">
        <v>481</v>
      </c>
      <c r="C1188" t="s">
        <v>68</v>
      </c>
      <c r="D1188">
        <v>2017</v>
      </c>
      <c r="E1188">
        <v>11677</v>
      </c>
      <c r="F1188">
        <v>18000</v>
      </c>
      <c r="G1188">
        <v>40000</v>
      </c>
      <c r="H1188" t="s">
        <v>69</v>
      </c>
      <c r="I1188" t="s">
        <v>59</v>
      </c>
      <c r="K1188" t="s">
        <v>100</v>
      </c>
      <c r="L1188" t="s">
        <v>38</v>
      </c>
      <c r="M1188">
        <v>2</v>
      </c>
    </row>
    <row r="1189" spans="1:13" x14ac:dyDescent="0.25">
      <c r="A1189">
        <v>1003</v>
      </c>
      <c r="B1189" t="s">
        <v>560</v>
      </c>
      <c r="C1189" t="s">
        <v>51</v>
      </c>
      <c r="D1189">
        <v>2020</v>
      </c>
      <c r="E1189" t="s">
        <v>1073</v>
      </c>
      <c r="F1189">
        <v>22000</v>
      </c>
      <c r="G1189" t="s">
        <v>108</v>
      </c>
      <c r="H1189" t="s">
        <v>34</v>
      </c>
      <c r="I1189" t="s">
        <v>42</v>
      </c>
      <c r="J1189" t="s">
        <v>36</v>
      </c>
      <c r="K1189" t="s">
        <v>44</v>
      </c>
      <c r="L1189" t="s">
        <v>45</v>
      </c>
      <c r="M1189">
        <v>2</v>
      </c>
    </row>
    <row r="1190" spans="1:13" x14ac:dyDescent="0.25">
      <c r="A1190">
        <v>1446</v>
      </c>
      <c r="B1190" t="s">
        <v>1074</v>
      </c>
      <c r="C1190" t="s">
        <v>94</v>
      </c>
      <c r="D1190">
        <v>2021</v>
      </c>
      <c r="E1190">
        <v>7840</v>
      </c>
      <c r="F1190">
        <v>9000</v>
      </c>
      <c r="G1190">
        <v>40000</v>
      </c>
      <c r="H1190" t="s">
        <v>69</v>
      </c>
      <c r="I1190" t="s">
        <v>35</v>
      </c>
      <c r="J1190" t="s">
        <v>36</v>
      </c>
      <c r="K1190" t="s">
        <v>73</v>
      </c>
      <c r="L1190" t="s">
        <v>98</v>
      </c>
      <c r="M1190">
        <v>2</v>
      </c>
    </row>
    <row r="1191" spans="1:13" x14ac:dyDescent="0.25">
      <c r="A1191">
        <v>1001</v>
      </c>
      <c r="B1191" t="s">
        <v>536</v>
      </c>
      <c r="C1191" t="s">
        <v>51</v>
      </c>
      <c r="D1191">
        <v>2015</v>
      </c>
      <c r="E1191">
        <v>6159</v>
      </c>
      <c r="F1191">
        <v>9000</v>
      </c>
      <c r="G1191" t="s">
        <v>108</v>
      </c>
      <c r="H1191" t="s">
        <v>69</v>
      </c>
      <c r="J1191" t="s">
        <v>43</v>
      </c>
      <c r="K1191" t="s">
        <v>73</v>
      </c>
    </row>
    <row r="1192" spans="1:13" x14ac:dyDescent="0.25">
      <c r="A1192">
        <v>1207</v>
      </c>
      <c r="B1192" t="s">
        <v>948</v>
      </c>
      <c r="C1192" t="s">
        <v>40</v>
      </c>
      <c r="D1192">
        <v>2019</v>
      </c>
      <c r="E1192">
        <v>10562</v>
      </c>
      <c r="F1192" t="s">
        <v>89</v>
      </c>
      <c r="G1192">
        <v>60000</v>
      </c>
      <c r="H1192" t="s">
        <v>34</v>
      </c>
      <c r="I1192" t="s">
        <v>42</v>
      </c>
      <c r="J1192" t="s">
        <v>43</v>
      </c>
      <c r="K1192" t="s">
        <v>116</v>
      </c>
      <c r="L1192" t="s">
        <v>126</v>
      </c>
    </row>
    <row r="1193" spans="1:13" x14ac:dyDescent="0.25">
      <c r="A1193">
        <v>1579</v>
      </c>
      <c r="B1193" t="s">
        <v>1004</v>
      </c>
      <c r="C1193" t="s">
        <v>119</v>
      </c>
      <c r="D1193">
        <v>2022</v>
      </c>
      <c r="E1193" t="s">
        <v>1075</v>
      </c>
      <c r="F1193">
        <v>26000</v>
      </c>
      <c r="G1193">
        <v>80000</v>
      </c>
      <c r="J1193" t="s">
        <v>36</v>
      </c>
      <c r="K1193" t="s">
        <v>44</v>
      </c>
      <c r="L1193" t="s">
        <v>126</v>
      </c>
      <c r="M1193">
        <v>2</v>
      </c>
    </row>
    <row r="1194" spans="1:13" x14ac:dyDescent="0.25">
      <c r="A1194">
        <v>1465</v>
      </c>
      <c r="B1194" t="s">
        <v>91</v>
      </c>
      <c r="C1194" t="s">
        <v>103</v>
      </c>
      <c r="D1194">
        <v>2016</v>
      </c>
      <c r="E1194">
        <v>20365</v>
      </c>
      <c r="F1194" t="s">
        <v>115</v>
      </c>
      <c r="G1194">
        <v>60000</v>
      </c>
      <c r="H1194" t="s">
        <v>58</v>
      </c>
      <c r="I1194" t="s">
        <v>35</v>
      </c>
      <c r="J1194" t="s">
        <v>36</v>
      </c>
      <c r="K1194" t="s">
        <v>100</v>
      </c>
      <c r="L1194" t="s">
        <v>98</v>
      </c>
      <c r="M1194">
        <v>2</v>
      </c>
    </row>
    <row r="1195" spans="1:13" x14ac:dyDescent="0.25">
      <c r="A1195">
        <v>1080</v>
      </c>
      <c r="B1195" t="s">
        <v>1076</v>
      </c>
      <c r="C1195" t="s">
        <v>138</v>
      </c>
      <c r="D1195" t="s">
        <v>52</v>
      </c>
      <c r="E1195">
        <v>10880</v>
      </c>
      <c r="F1195" t="s">
        <v>204</v>
      </c>
      <c r="G1195">
        <v>60000</v>
      </c>
      <c r="H1195" t="s">
        <v>63</v>
      </c>
      <c r="I1195" t="s">
        <v>42</v>
      </c>
      <c r="J1195" t="s">
        <v>36</v>
      </c>
      <c r="K1195" t="s">
        <v>116</v>
      </c>
      <c r="L1195" t="s">
        <v>109</v>
      </c>
      <c r="M1195">
        <v>2</v>
      </c>
    </row>
    <row r="1196" spans="1:13" x14ac:dyDescent="0.25">
      <c r="A1196">
        <v>1092</v>
      </c>
      <c r="B1196" t="s">
        <v>1077</v>
      </c>
      <c r="C1196" t="s">
        <v>61</v>
      </c>
      <c r="D1196">
        <v>2015</v>
      </c>
      <c r="E1196">
        <v>26257</v>
      </c>
      <c r="F1196" t="s">
        <v>87</v>
      </c>
      <c r="G1196">
        <v>60000</v>
      </c>
      <c r="H1196" t="s">
        <v>58</v>
      </c>
      <c r="I1196" t="s">
        <v>35</v>
      </c>
      <c r="J1196" t="s">
        <v>36</v>
      </c>
      <c r="M1196">
        <v>1</v>
      </c>
    </row>
    <row r="1197" spans="1:13" x14ac:dyDescent="0.25">
      <c r="A1197">
        <v>1181</v>
      </c>
      <c r="B1197" t="s">
        <v>424</v>
      </c>
      <c r="C1197" t="s">
        <v>65</v>
      </c>
      <c r="D1197">
        <v>2015</v>
      </c>
      <c r="E1197" t="s">
        <v>1078</v>
      </c>
      <c r="F1197">
        <v>26000</v>
      </c>
      <c r="G1197">
        <v>25000</v>
      </c>
      <c r="H1197" t="s">
        <v>84</v>
      </c>
      <c r="I1197" t="s">
        <v>59</v>
      </c>
      <c r="J1197" t="s">
        <v>36</v>
      </c>
      <c r="K1197" t="s">
        <v>54</v>
      </c>
      <c r="L1197" t="s">
        <v>109</v>
      </c>
      <c r="M1197">
        <v>2</v>
      </c>
    </row>
    <row r="1198" spans="1:13" x14ac:dyDescent="0.25">
      <c r="A1198">
        <v>1497</v>
      </c>
      <c r="B1198" t="s">
        <v>1079</v>
      </c>
      <c r="C1198" t="s">
        <v>164</v>
      </c>
      <c r="D1198">
        <v>2015</v>
      </c>
      <c r="E1198">
        <v>18595</v>
      </c>
      <c r="F1198" t="s">
        <v>115</v>
      </c>
      <c r="G1198">
        <v>120000</v>
      </c>
      <c r="H1198" t="s">
        <v>58</v>
      </c>
      <c r="I1198" t="s">
        <v>35</v>
      </c>
      <c r="K1198" t="s">
        <v>100</v>
      </c>
      <c r="L1198" t="s">
        <v>90</v>
      </c>
      <c r="M1198">
        <v>2</v>
      </c>
    </row>
    <row r="1199" spans="1:13" x14ac:dyDescent="0.25">
      <c r="A1199">
        <v>1408</v>
      </c>
      <c r="B1199" t="s">
        <v>376</v>
      </c>
      <c r="C1199" t="s">
        <v>133</v>
      </c>
      <c r="D1199">
        <v>2014</v>
      </c>
      <c r="E1199">
        <v>5593</v>
      </c>
      <c r="F1199">
        <v>7000</v>
      </c>
      <c r="G1199">
        <v>120000</v>
      </c>
      <c r="H1199" t="s">
        <v>69</v>
      </c>
      <c r="I1199" t="s">
        <v>35</v>
      </c>
      <c r="J1199" t="s">
        <v>43</v>
      </c>
      <c r="K1199" t="s">
        <v>100</v>
      </c>
      <c r="L1199" t="s">
        <v>38</v>
      </c>
      <c r="M1199">
        <v>1</v>
      </c>
    </row>
    <row r="1200" spans="1:13" x14ac:dyDescent="0.25">
      <c r="A1200">
        <v>1335</v>
      </c>
      <c r="B1200" t="s">
        <v>1080</v>
      </c>
      <c r="C1200" t="s">
        <v>65</v>
      </c>
      <c r="D1200">
        <v>2021</v>
      </c>
      <c r="E1200">
        <v>9666</v>
      </c>
      <c r="F1200">
        <v>12000</v>
      </c>
      <c r="G1200">
        <v>80000</v>
      </c>
      <c r="H1200" t="s">
        <v>41</v>
      </c>
      <c r="I1200" t="s">
        <v>35</v>
      </c>
      <c r="J1200" t="s">
        <v>43</v>
      </c>
      <c r="M1200">
        <v>1</v>
      </c>
    </row>
    <row r="1201" spans="1:13" x14ac:dyDescent="0.25">
      <c r="A1201">
        <v>1429</v>
      </c>
      <c r="B1201" t="s">
        <v>1081</v>
      </c>
      <c r="C1201" t="s">
        <v>57</v>
      </c>
      <c r="D1201">
        <v>2018</v>
      </c>
      <c r="E1201" t="s">
        <v>1082</v>
      </c>
      <c r="F1201">
        <v>31000</v>
      </c>
      <c r="G1201">
        <v>25000</v>
      </c>
      <c r="H1201" t="s">
        <v>63</v>
      </c>
      <c r="I1201" t="s">
        <v>35</v>
      </c>
      <c r="J1201" t="s">
        <v>43</v>
      </c>
      <c r="K1201" t="s">
        <v>37</v>
      </c>
      <c r="L1201" t="s">
        <v>126</v>
      </c>
      <c r="M1201">
        <v>2</v>
      </c>
    </row>
    <row r="1202" spans="1:13" x14ac:dyDescent="0.25">
      <c r="A1202">
        <v>1182</v>
      </c>
      <c r="B1202" t="s">
        <v>325</v>
      </c>
      <c r="C1202" t="s">
        <v>68</v>
      </c>
      <c r="D1202">
        <v>2015</v>
      </c>
      <c r="E1202">
        <v>4955</v>
      </c>
      <c r="F1202">
        <v>9000</v>
      </c>
      <c r="G1202" t="s">
        <v>121</v>
      </c>
      <c r="H1202" t="s">
        <v>84</v>
      </c>
      <c r="I1202" t="s">
        <v>72</v>
      </c>
      <c r="J1202" t="s">
        <v>66</v>
      </c>
      <c r="K1202" t="s">
        <v>48</v>
      </c>
      <c r="L1202" t="s">
        <v>49</v>
      </c>
      <c r="M1202">
        <v>0</v>
      </c>
    </row>
    <row r="1203" spans="1:13" x14ac:dyDescent="0.25">
      <c r="A1203">
        <v>1204</v>
      </c>
      <c r="B1203" t="s">
        <v>1083</v>
      </c>
      <c r="C1203" t="s">
        <v>79</v>
      </c>
      <c r="D1203">
        <v>2017</v>
      </c>
      <c r="E1203" t="s">
        <v>1084</v>
      </c>
      <c r="F1203">
        <v>31000</v>
      </c>
      <c r="G1203">
        <v>15000</v>
      </c>
      <c r="H1203" t="s">
        <v>63</v>
      </c>
      <c r="I1203" t="s">
        <v>35</v>
      </c>
      <c r="J1203" t="s">
        <v>36</v>
      </c>
      <c r="K1203" t="s">
        <v>116</v>
      </c>
      <c r="L1203" t="s">
        <v>45</v>
      </c>
      <c r="M1203">
        <v>0</v>
      </c>
    </row>
    <row r="1204" spans="1:13" x14ac:dyDescent="0.25">
      <c r="A1204">
        <v>1144</v>
      </c>
      <c r="B1204" t="s">
        <v>1085</v>
      </c>
      <c r="C1204" t="s">
        <v>51</v>
      </c>
      <c r="D1204">
        <v>2022</v>
      </c>
      <c r="E1204">
        <v>18600</v>
      </c>
      <c r="F1204">
        <v>22000</v>
      </c>
      <c r="G1204">
        <v>120000</v>
      </c>
      <c r="H1204" t="s">
        <v>53</v>
      </c>
      <c r="I1204" t="s">
        <v>59</v>
      </c>
      <c r="J1204" t="s">
        <v>96</v>
      </c>
      <c r="K1204" t="s">
        <v>100</v>
      </c>
      <c r="L1204" t="s">
        <v>45</v>
      </c>
      <c r="M1204">
        <v>2</v>
      </c>
    </row>
    <row r="1205" spans="1:13" x14ac:dyDescent="0.25">
      <c r="A1205">
        <v>1144</v>
      </c>
      <c r="B1205" t="s">
        <v>1086</v>
      </c>
      <c r="C1205" t="s">
        <v>133</v>
      </c>
      <c r="D1205">
        <v>2015</v>
      </c>
      <c r="E1205">
        <v>24279</v>
      </c>
      <c r="F1205">
        <v>26000</v>
      </c>
      <c r="G1205">
        <v>120000</v>
      </c>
      <c r="H1205" t="s">
        <v>84</v>
      </c>
      <c r="I1205" t="s">
        <v>42</v>
      </c>
      <c r="J1205" t="s">
        <v>36</v>
      </c>
      <c r="K1205" t="s">
        <v>73</v>
      </c>
      <c r="L1205" t="s">
        <v>45</v>
      </c>
      <c r="M1205">
        <v>2</v>
      </c>
    </row>
    <row r="1206" spans="1:13" x14ac:dyDescent="0.25">
      <c r="A1206">
        <v>1227</v>
      </c>
      <c r="B1206" t="s">
        <v>1009</v>
      </c>
      <c r="C1206" t="s">
        <v>68</v>
      </c>
      <c r="D1206">
        <v>2016</v>
      </c>
      <c r="E1206">
        <v>15561</v>
      </c>
      <c r="F1206" t="s">
        <v>115</v>
      </c>
      <c r="G1206">
        <v>80000</v>
      </c>
      <c r="H1206" t="s">
        <v>53</v>
      </c>
      <c r="I1206" t="s">
        <v>72</v>
      </c>
      <c r="J1206" t="s">
        <v>43</v>
      </c>
      <c r="K1206" t="s">
        <v>54</v>
      </c>
      <c r="M1206">
        <v>1</v>
      </c>
    </row>
    <row r="1207" spans="1:13" x14ac:dyDescent="0.25">
      <c r="A1207">
        <v>1279</v>
      </c>
      <c r="B1207" t="s">
        <v>951</v>
      </c>
      <c r="C1207" t="s">
        <v>61</v>
      </c>
      <c r="D1207">
        <v>2016</v>
      </c>
      <c r="E1207">
        <v>24505</v>
      </c>
      <c r="F1207">
        <v>26000</v>
      </c>
      <c r="G1207">
        <v>80000</v>
      </c>
      <c r="I1207" t="s">
        <v>42</v>
      </c>
      <c r="L1207" t="s">
        <v>38</v>
      </c>
      <c r="M1207">
        <v>2</v>
      </c>
    </row>
    <row r="1208" spans="1:13" x14ac:dyDescent="0.25">
      <c r="A1208">
        <v>1325</v>
      </c>
      <c r="B1208" t="s">
        <v>102</v>
      </c>
      <c r="C1208" t="s">
        <v>51</v>
      </c>
      <c r="D1208">
        <v>2022</v>
      </c>
      <c r="E1208">
        <v>11513</v>
      </c>
      <c r="F1208">
        <v>15000</v>
      </c>
      <c r="G1208">
        <v>80000</v>
      </c>
      <c r="H1208" t="s">
        <v>69</v>
      </c>
      <c r="I1208" t="s">
        <v>59</v>
      </c>
      <c r="J1208" t="s">
        <v>66</v>
      </c>
      <c r="L1208" t="s">
        <v>126</v>
      </c>
      <c r="M1208">
        <v>2</v>
      </c>
    </row>
    <row r="1209" spans="1:13" x14ac:dyDescent="0.25">
      <c r="A1209">
        <v>1402</v>
      </c>
      <c r="B1209" t="s">
        <v>1087</v>
      </c>
      <c r="C1209" t="s">
        <v>61</v>
      </c>
      <c r="D1209">
        <v>2014</v>
      </c>
      <c r="E1209">
        <v>27734</v>
      </c>
      <c r="F1209">
        <v>31000</v>
      </c>
      <c r="G1209">
        <v>60000</v>
      </c>
      <c r="H1209" t="s">
        <v>63</v>
      </c>
      <c r="I1209" t="s">
        <v>59</v>
      </c>
      <c r="J1209" t="s">
        <v>66</v>
      </c>
      <c r="K1209" t="s">
        <v>77</v>
      </c>
      <c r="L1209" t="s">
        <v>90</v>
      </c>
      <c r="M1209">
        <v>0</v>
      </c>
    </row>
    <row r="1210" spans="1:13" x14ac:dyDescent="0.25">
      <c r="A1210">
        <v>1505</v>
      </c>
      <c r="B1210" t="s">
        <v>1088</v>
      </c>
      <c r="C1210" t="s">
        <v>68</v>
      </c>
      <c r="D1210">
        <v>2022</v>
      </c>
      <c r="E1210">
        <v>20123</v>
      </c>
      <c r="F1210">
        <v>22000</v>
      </c>
      <c r="G1210" t="s">
        <v>130</v>
      </c>
      <c r="H1210" t="s">
        <v>84</v>
      </c>
      <c r="I1210" t="s">
        <v>42</v>
      </c>
      <c r="J1210" t="s">
        <v>36</v>
      </c>
      <c r="K1210" t="s">
        <v>37</v>
      </c>
      <c r="L1210" t="s">
        <v>49</v>
      </c>
      <c r="M1210">
        <v>3</v>
      </c>
    </row>
    <row r="1211" spans="1:13" x14ac:dyDescent="0.25">
      <c r="A1211">
        <v>1455</v>
      </c>
      <c r="B1211" t="s">
        <v>267</v>
      </c>
      <c r="C1211" t="s">
        <v>94</v>
      </c>
      <c r="D1211">
        <v>2015</v>
      </c>
      <c r="E1211">
        <v>3309</v>
      </c>
      <c r="F1211" t="s">
        <v>147</v>
      </c>
      <c r="G1211">
        <v>25000</v>
      </c>
      <c r="H1211" t="s">
        <v>58</v>
      </c>
      <c r="I1211" t="s">
        <v>35</v>
      </c>
      <c r="J1211" t="s">
        <v>43</v>
      </c>
      <c r="K1211" t="s">
        <v>44</v>
      </c>
      <c r="L1211" t="s">
        <v>38</v>
      </c>
      <c r="M1211">
        <v>2</v>
      </c>
    </row>
    <row r="1212" spans="1:13" x14ac:dyDescent="0.25">
      <c r="A1212">
        <v>1186</v>
      </c>
      <c r="B1212" t="s">
        <v>1089</v>
      </c>
      <c r="C1212" t="s">
        <v>65</v>
      </c>
      <c r="D1212">
        <v>2015</v>
      </c>
      <c r="E1212">
        <v>10323</v>
      </c>
      <c r="F1212">
        <v>12000</v>
      </c>
      <c r="G1212">
        <v>15000</v>
      </c>
      <c r="H1212" t="s">
        <v>63</v>
      </c>
      <c r="I1212" t="s">
        <v>35</v>
      </c>
      <c r="J1212" t="s">
        <v>36</v>
      </c>
      <c r="K1212" t="s">
        <v>100</v>
      </c>
      <c r="L1212" t="s">
        <v>98</v>
      </c>
      <c r="M1212">
        <v>0</v>
      </c>
    </row>
    <row r="1213" spans="1:13" x14ac:dyDescent="0.25">
      <c r="A1213">
        <v>1355</v>
      </c>
      <c r="B1213" t="s">
        <v>1090</v>
      </c>
      <c r="C1213" t="s">
        <v>75</v>
      </c>
      <c r="D1213">
        <v>2019</v>
      </c>
      <c r="E1213">
        <v>6243</v>
      </c>
      <c r="F1213">
        <v>9000</v>
      </c>
      <c r="G1213">
        <v>40000</v>
      </c>
      <c r="H1213" t="s">
        <v>69</v>
      </c>
      <c r="I1213" t="s">
        <v>59</v>
      </c>
      <c r="K1213" t="s">
        <v>44</v>
      </c>
      <c r="L1213" t="s">
        <v>126</v>
      </c>
      <c r="M1213">
        <v>3</v>
      </c>
    </row>
    <row r="1214" spans="1:13" x14ac:dyDescent="0.25">
      <c r="A1214">
        <v>1132</v>
      </c>
      <c r="B1214" t="s">
        <v>1091</v>
      </c>
      <c r="C1214" t="s">
        <v>51</v>
      </c>
      <c r="D1214">
        <v>2014</v>
      </c>
      <c r="E1214">
        <v>26372</v>
      </c>
      <c r="F1214">
        <v>31000</v>
      </c>
      <c r="G1214">
        <v>15000</v>
      </c>
      <c r="H1214" t="s">
        <v>63</v>
      </c>
      <c r="I1214" t="s">
        <v>35</v>
      </c>
      <c r="J1214" t="s">
        <v>66</v>
      </c>
      <c r="K1214" t="s">
        <v>37</v>
      </c>
      <c r="L1214" t="s">
        <v>126</v>
      </c>
      <c r="M1214">
        <v>0</v>
      </c>
    </row>
    <row r="1215" spans="1:13" x14ac:dyDescent="0.25">
      <c r="A1215">
        <v>1208</v>
      </c>
      <c r="B1215" t="s">
        <v>1092</v>
      </c>
      <c r="C1215" t="s">
        <v>94</v>
      </c>
      <c r="D1215">
        <v>2018</v>
      </c>
      <c r="E1215">
        <v>8091</v>
      </c>
      <c r="F1215">
        <v>15000</v>
      </c>
      <c r="G1215" t="s">
        <v>130</v>
      </c>
      <c r="H1215" t="s">
        <v>63</v>
      </c>
      <c r="I1215" t="s">
        <v>42</v>
      </c>
      <c r="J1215" t="s">
        <v>36</v>
      </c>
      <c r="K1215" t="s">
        <v>77</v>
      </c>
      <c r="L1215" t="s">
        <v>98</v>
      </c>
      <c r="M1215">
        <v>0</v>
      </c>
    </row>
    <row r="1216" spans="1:13" x14ac:dyDescent="0.25">
      <c r="A1216">
        <v>1226</v>
      </c>
      <c r="B1216" t="s">
        <v>426</v>
      </c>
      <c r="C1216" t="s">
        <v>51</v>
      </c>
      <c r="D1216">
        <v>2015</v>
      </c>
      <c r="E1216">
        <v>5544</v>
      </c>
      <c r="F1216">
        <v>9000</v>
      </c>
      <c r="G1216">
        <v>80000</v>
      </c>
      <c r="H1216" t="s">
        <v>58</v>
      </c>
      <c r="J1216" t="s">
        <v>96</v>
      </c>
      <c r="K1216" t="s">
        <v>44</v>
      </c>
      <c r="L1216" t="s">
        <v>38</v>
      </c>
      <c r="M1216">
        <v>2</v>
      </c>
    </row>
    <row r="1217" spans="1:13" x14ac:dyDescent="0.25">
      <c r="A1217">
        <v>1034</v>
      </c>
      <c r="B1217" t="s">
        <v>1093</v>
      </c>
      <c r="C1217" t="s">
        <v>61</v>
      </c>
      <c r="D1217">
        <v>2016</v>
      </c>
      <c r="E1217" t="s">
        <v>1094</v>
      </c>
      <c r="F1217">
        <v>7000</v>
      </c>
      <c r="G1217">
        <v>40000</v>
      </c>
      <c r="H1217" t="s">
        <v>41</v>
      </c>
      <c r="I1217" t="s">
        <v>35</v>
      </c>
      <c r="J1217" t="s">
        <v>43</v>
      </c>
      <c r="K1217" t="s">
        <v>48</v>
      </c>
      <c r="M1217">
        <v>0</v>
      </c>
    </row>
    <row r="1218" spans="1:13" x14ac:dyDescent="0.25">
      <c r="A1218">
        <v>1269</v>
      </c>
      <c r="B1218" t="s">
        <v>419</v>
      </c>
      <c r="C1218" t="s">
        <v>75</v>
      </c>
      <c r="D1218">
        <v>2022</v>
      </c>
      <c r="E1218" t="s">
        <v>1095</v>
      </c>
      <c r="F1218">
        <v>26000</v>
      </c>
      <c r="G1218" t="s">
        <v>108</v>
      </c>
      <c r="J1218" t="s">
        <v>96</v>
      </c>
      <c r="K1218" t="s">
        <v>100</v>
      </c>
      <c r="L1218" t="s">
        <v>38</v>
      </c>
      <c r="M1218">
        <v>1</v>
      </c>
    </row>
    <row r="1219" spans="1:13" x14ac:dyDescent="0.25">
      <c r="A1219">
        <v>1402</v>
      </c>
      <c r="B1219" t="s">
        <v>292</v>
      </c>
      <c r="C1219" t="s">
        <v>51</v>
      </c>
      <c r="D1219">
        <v>2018</v>
      </c>
      <c r="E1219">
        <v>20832</v>
      </c>
      <c r="F1219">
        <v>22000</v>
      </c>
      <c r="G1219">
        <v>25000</v>
      </c>
      <c r="H1219" t="s">
        <v>58</v>
      </c>
      <c r="I1219" t="s">
        <v>72</v>
      </c>
      <c r="J1219" t="s">
        <v>96</v>
      </c>
      <c r="K1219" t="s">
        <v>73</v>
      </c>
      <c r="L1219" t="s">
        <v>38</v>
      </c>
      <c r="M1219">
        <v>1</v>
      </c>
    </row>
    <row r="1220" spans="1:13" x14ac:dyDescent="0.25">
      <c r="A1220">
        <v>1320</v>
      </c>
      <c r="B1220" t="s">
        <v>537</v>
      </c>
      <c r="C1220" t="s">
        <v>79</v>
      </c>
      <c r="D1220">
        <v>2014</v>
      </c>
      <c r="E1220">
        <v>6260</v>
      </c>
      <c r="F1220">
        <v>9000</v>
      </c>
      <c r="G1220" t="s">
        <v>92</v>
      </c>
      <c r="H1220" t="s">
        <v>84</v>
      </c>
      <c r="I1220" t="s">
        <v>59</v>
      </c>
      <c r="K1220" t="s">
        <v>54</v>
      </c>
      <c r="L1220" t="s">
        <v>90</v>
      </c>
    </row>
    <row r="1221" spans="1:13" x14ac:dyDescent="0.25">
      <c r="A1221">
        <v>1224</v>
      </c>
      <c r="B1221" t="s">
        <v>1096</v>
      </c>
      <c r="C1221" t="s">
        <v>68</v>
      </c>
      <c r="D1221" t="s">
        <v>52</v>
      </c>
      <c r="E1221">
        <v>6309</v>
      </c>
      <c r="F1221">
        <v>12000</v>
      </c>
      <c r="G1221">
        <v>120000</v>
      </c>
      <c r="H1221" t="s">
        <v>84</v>
      </c>
      <c r="I1221" t="s">
        <v>35</v>
      </c>
      <c r="J1221" t="s">
        <v>36</v>
      </c>
      <c r="K1221" t="s">
        <v>73</v>
      </c>
      <c r="L1221" t="s">
        <v>98</v>
      </c>
      <c r="M1221">
        <v>0</v>
      </c>
    </row>
    <row r="1222" spans="1:13" x14ac:dyDescent="0.25">
      <c r="A1222">
        <v>1423</v>
      </c>
      <c r="B1222" t="s">
        <v>1097</v>
      </c>
      <c r="C1222" t="s">
        <v>79</v>
      </c>
      <c r="D1222">
        <v>2017</v>
      </c>
      <c r="E1222">
        <v>1569</v>
      </c>
      <c r="F1222">
        <v>7000</v>
      </c>
      <c r="G1222" t="s">
        <v>108</v>
      </c>
      <c r="H1222" t="s">
        <v>84</v>
      </c>
      <c r="I1222" t="s">
        <v>35</v>
      </c>
      <c r="J1222" t="s">
        <v>43</v>
      </c>
      <c r="K1222" t="s">
        <v>48</v>
      </c>
      <c r="L1222" t="s">
        <v>55</v>
      </c>
      <c r="M1222">
        <v>1</v>
      </c>
    </row>
    <row r="1223" spans="1:13" x14ac:dyDescent="0.25">
      <c r="A1223">
        <v>1467</v>
      </c>
      <c r="B1223" t="s">
        <v>1098</v>
      </c>
      <c r="C1223" t="s">
        <v>164</v>
      </c>
      <c r="E1223">
        <v>444</v>
      </c>
      <c r="F1223">
        <v>7000</v>
      </c>
      <c r="G1223">
        <v>40000</v>
      </c>
      <c r="I1223" t="s">
        <v>72</v>
      </c>
      <c r="K1223" t="s">
        <v>100</v>
      </c>
      <c r="L1223" t="s">
        <v>49</v>
      </c>
      <c r="M1223">
        <v>1</v>
      </c>
    </row>
    <row r="1224" spans="1:13" x14ac:dyDescent="0.25">
      <c r="A1224">
        <v>1246</v>
      </c>
      <c r="B1224" t="s">
        <v>1099</v>
      </c>
      <c r="C1224" t="s">
        <v>103</v>
      </c>
      <c r="D1224">
        <v>2018</v>
      </c>
      <c r="E1224">
        <v>10620</v>
      </c>
      <c r="F1224">
        <v>12000</v>
      </c>
      <c r="G1224" t="s">
        <v>92</v>
      </c>
      <c r="H1224" t="s">
        <v>41</v>
      </c>
      <c r="I1224" t="s">
        <v>42</v>
      </c>
      <c r="J1224" t="s">
        <v>43</v>
      </c>
      <c r="K1224" t="s">
        <v>44</v>
      </c>
      <c r="L1224" t="s">
        <v>109</v>
      </c>
    </row>
    <row r="1225" spans="1:13" x14ac:dyDescent="0.25">
      <c r="A1225">
        <v>1129</v>
      </c>
      <c r="B1225" t="s">
        <v>635</v>
      </c>
      <c r="C1225" t="s">
        <v>57</v>
      </c>
      <c r="D1225">
        <v>2015</v>
      </c>
      <c r="E1225" t="s">
        <v>1100</v>
      </c>
      <c r="F1225">
        <v>18000</v>
      </c>
      <c r="G1225" t="s">
        <v>92</v>
      </c>
      <c r="H1225" t="s">
        <v>63</v>
      </c>
      <c r="I1225" t="s">
        <v>42</v>
      </c>
      <c r="J1225" t="s">
        <v>66</v>
      </c>
      <c r="L1225" t="s">
        <v>126</v>
      </c>
      <c r="M1225">
        <v>1</v>
      </c>
    </row>
    <row r="1226" spans="1:13" x14ac:dyDescent="0.25">
      <c r="A1226">
        <v>1069</v>
      </c>
      <c r="B1226" t="s">
        <v>1101</v>
      </c>
      <c r="C1226" t="s">
        <v>47</v>
      </c>
      <c r="D1226">
        <v>2020</v>
      </c>
      <c r="E1226">
        <v>5700</v>
      </c>
      <c r="F1226">
        <v>12000</v>
      </c>
      <c r="G1226">
        <v>15000</v>
      </c>
      <c r="I1226" t="s">
        <v>35</v>
      </c>
      <c r="J1226" t="s">
        <v>96</v>
      </c>
      <c r="K1226" t="s">
        <v>37</v>
      </c>
      <c r="L1226" t="s">
        <v>98</v>
      </c>
      <c r="M1226">
        <v>0</v>
      </c>
    </row>
    <row r="1227" spans="1:13" x14ac:dyDescent="0.25">
      <c r="A1227">
        <v>1340</v>
      </c>
      <c r="B1227" t="s">
        <v>1102</v>
      </c>
      <c r="C1227" t="s">
        <v>32</v>
      </c>
      <c r="D1227">
        <v>2022</v>
      </c>
      <c r="E1227">
        <v>20613</v>
      </c>
      <c r="F1227" t="s">
        <v>83</v>
      </c>
      <c r="G1227">
        <v>25000</v>
      </c>
      <c r="H1227" t="s">
        <v>63</v>
      </c>
      <c r="J1227" t="s">
        <v>43</v>
      </c>
      <c r="K1227" t="s">
        <v>116</v>
      </c>
      <c r="L1227" t="s">
        <v>90</v>
      </c>
      <c r="M1227">
        <v>0</v>
      </c>
    </row>
    <row r="1228" spans="1:13" x14ac:dyDescent="0.25">
      <c r="A1228">
        <v>1242</v>
      </c>
      <c r="B1228" t="s">
        <v>829</v>
      </c>
      <c r="C1228" t="s">
        <v>94</v>
      </c>
      <c r="D1228">
        <v>2022</v>
      </c>
      <c r="E1228">
        <v>5588</v>
      </c>
      <c r="F1228">
        <v>7000</v>
      </c>
      <c r="G1228">
        <v>120000</v>
      </c>
      <c r="H1228" t="s">
        <v>53</v>
      </c>
      <c r="I1228" t="s">
        <v>35</v>
      </c>
      <c r="K1228" t="s">
        <v>48</v>
      </c>
      <c r="L1228" t="s">
        <v>90</v>
      </c>
    </row>
    <row r="1229" spans="1:13" x14ac:dyDescent="0.25">
      <c r="A1229">
        <v>1098</v>
      </c>
      <c r="B1229" t="s">
        <v>1103</v>
      </c>
      <c r="C1229" t="s">
        <v>133</v>
      </c>
      <c r="D1229">
        <v>2016</v>
      </c>
      <c r="E1229">
        <v>14453</v>
      </c>
      <c r="F1229" t="s">
        <v>129</v>
      </c>
      <c r="G1229">
        <v>40000</v>
      </c>
      <c r="I1229" t="s">
        <v>42</v>
      </c>
      <c r="J1229" t="s">
        <v>36</v>
      </c>
      <c r="K1229" t="s">
        <v>73</v>
      </c>
      <c r="L1229" t="s">
        <v>90</v>
      </c>
    </row>
    <row r="1230" spans="1:13" x14ac:dyDescent="0.25">
      <c r="A1230">
        <v>1138</v>
      </c>
      <c r="B1230" t="s">
        <v>1104</v>
      </c>
      <c r="C1230" t="s">
        <v>47</v>
      </c>
      <c r="E1230">
        <v>15956</v>
      </c>
      <c r="F1230">
        <v>18000</v>
      </c>
      <c r="G1230">
        <v>80000</v>
      </c>
      <c r="H1230" t="s">
        <v>69</v>
      </c>
      <c r="I1230" t="s">
        <v>72</v>
      </c>
      <c r="J1230" t="s">
        <v>43</v>
      </c>
      <c r="K1230" t="s">
        <v>54</v>
      </c>
      <c r="L1230" t="s">
        <v>38</v>
      </c>
      <c r="M1230">
        <v>1</v>
      </c>
    </row>
    <row r="1231" spans="1:13" x14ac:dyDescent="0.25">
      <c r="A1231">
        <v>1010</v>
      </c>
      <c r="B1231" t="s">
        <v>805</v>
      </c>
      <c r="C1231" t="s">
        <v>32</v>
      </c>
      <c r="D1231">
        <v>2015</v>
      </c>
      <c r="E1231">
        <v>20271</v>
      </c>
      <c r="F1231">
        <v>26000</v>
      </c>
      <c r="G1231">
        <v>40000</v>
      </c>
      <c r="H1231" t="s">
        <v>58</v>
      </c>
      <c r="I1231" t="s">
        <v>35</v>
      </c>
      <c r="J1231" t="s">
        <v>66</v>
      </c>
      <c r="K1231" t="s">
        <v>73</v>
      </c>
      <c r="L1231" t="s">
        <v>45</v>
      </c>
      <c r="M1231">
        <v>1</v>
      </c>
    </row>
    <row r="1232" spans="1:13" x14ac:dyDescent="0.25">
      <c r="A1232">
        <v>1367</v>
      </c>
      <c r="B1232" t="s">
        <v>460</v>
      </c>
      <c r="C1232" t="s">
        <v>119</v>
      </c>
      <c r="D1232">
        <v>2016</v>
      </c>
      <c r="E1232">
        <v>7405</v>
      </c>
      <c r="F1232" t="s">
        <v>204</v>
      </c>
      <c r="G1232">
        <v>120000</v>
      </c>
      <c r="H1232" t="s">
        <v>53</v>
      </c>
      <c r="I1232" t="s">
        <v>72</v>
      </c>
      <c r="J1232" t="s">
        <v>66</v>
      </c>
      <c r="K1232" t="s">
        <v>73</v>
      </c>
      <c r="L1232" t="s">
        <v>90</v>
      </c>
    </row>
    <row r="1233" spans="1:13" x14ac:dyDescent="0.25">
      <c r="A1233">
        <v>1405</v>
      </c>
      <c r="B1233" t="s">
        <v>1046</v>
      </c>
      <c r="C1233" t="s">
        <v>75</v>
      </c>
      <c r="D1233">
        <v>2020</v>
      </c>
      <c r="E1233" t="s">
        <v>1105</v>
      </c>
      <c r="F1233">
        <v>22000</v>
      </c>
      <c r="G1233">
        <v>15000</v>
      </c>
      <c r="H1233" t="s">
        <v>63</v>
      </c>
      <c r="J1233" t="s">
        <v>66</v>
      </c>
      <c r="K1233" t="s">
        <v>116</v>
      </c>
      <c r="L1233" t="s">
        <v>55</v>
      </c>
      <c r="M1233">
        <v>3</v>
      </c>
    </row>
    <row r="1234" spans="1:13" x14ac:dyDescent="0.25">
      <c r="A1234">
        <v>1135</v>
      </c>
      <c r="B1234" t="s">
        <v>216</v>
      </c>
      <c r="C1234" t="s">
        <v>79</v>
      </c>
      <c r="D1234">
        <v>2020</v>
      </c>
      <c r="E1234">
        <v>3599</v>
      </c>
      <c r="F1234">
        <v>9000</v>
      </c>
      <c r="G1234">
        <v>80000</v>
      </c>
      <c r="H1234" t="s">
        <v>84</v>
      </c>
      <c r="I1234" t="s">
        <v>59</v>
      </c>
      <c r="J1234" t="s">
        <v>36</v>
      </c>
      <c r="K1234" t="s">
        <v>116</v>
      </c>
      <c r="L1234" t="s">
        <v>45</v>
      </c>
      <c r="M1234">
        <v>3</v>
      </c>
    </row>
    <row r="1235" spans="1:13" x14ac:dyDescent="0.25">
      <c r="A1235">
        <v>1253</v>
      </c>
      <c r="B1235" t="s">
        <v>1106</v>
      </c>
      <c r="C1235" t="s">
        <v>68</v>
      </c>
      <c r="D1235">
        <v>2016</v>
      </c>
      <c r="E1235">
        <v>13762</v>
      </c>
      <c r="F1235">
        <v>15000</v>
      </c>
      <c r="G1235">
        <v>15000</v>
      </c>
      <c r="H1235" t="s">
        <v>84</v>
      </c>
      <c r="J1235" t="s">
        <v>43</v>
      </c>
      <c r="K1235" t="s">
        <v>48</v>
      </c>
      <c r="L1235" t="s">
        <v>90</v>
      </c>
      <c r="M1235">
        <v>1</v>
      </c>
    </row>
    <row r="1236" spans="1:13" x14ac:dyDescent="0.25">
      <c r="A1236">
        <v>1513</v>
      </c>
      <c r="B1236" t="s">
        <v>1107</v>
      </c>
      <c r="C1236" t="s">
        <v>75</v>
      </c>
      <c r="D1236">
        <v>2017</v>
      </c>
      <c r="E1236" t="s">
        <v>1108</v>
      </c>
      <c r="F1236">
        <v>9000</v>
      </c>
      <c r="G1236">
        <v>60000</v>
      </c>
      <c r="H1236" t="s">
        <v>34</v>
      </c>
      <c r="I1236" t="s">
        <v>59</v>
      </c>
      <c r="J1236" t="s">
        <v>43</v>
      </c>
      <c r="K1236" t="s">
        <v>73</v>
      </c>
      <c r="L1236" t="s">
        <v>98</v>
      </c>
      <c r="M1236">
        <v>1</v>
      </c>
    </row>
    <row r="1237" spans="1:13" x14ac:dyDescent="0.25">
      <c r="A1237">
        <v>1370</v>
      </c>
      <c r="B1237" t="s">
        <v>228</v>
      </c>
      <c r="C1237" t="s">
        <v>94</v>
      </c>
      <c r="D1237">
        <v>2016</v>
      </c>
      <c r="E1237">
        <v>3805</v>
      </c>
      <c r="F1237">
        <v>9000</v>
      </c>
      <c r="G1237">
        <v>80000</v>
      </c>
      <c r="H1237" t="s">
        <v>69</v>
      </c>
      <c r="I1237" t="s">
        <v>72</v>
      </c>
      <c r="J1237" t="s">
        <v>36</v>
      </c>
      <c r="K1237" t="s">
        <v>116</v>
      </c>
      <c r="L1237" t="s">
        <v>98</v>
      </c>
      <c r="M1237">
        <v>3</v>
      </c>
    </row>
    <row r="1238" spans="1:13" x14ac:dyDescent="0.25">
      <c r="A1238">
        <v>1581</v>
      </c>
      <c r="B1238" t="s">
        <v>78</v>
      </c>
      <c r="C1238" t="s">
        <v>47</v>
      </c>
      <c r="D1238" t="s">
        <v>52</v>
      </c>
      <c r="E1238">
        <v>15456</v>
      </c>
      <c r="F1238" t="s">
        <v>129</v>
      </c>
      <c r="G1238">
        <v>80000</v>
      </c>
      <c r="H1238" t="s">
        <v>34</v>
      </c>
      <c r="I1238" t="s">
        <v>42</v>
      </c>
      <c r="J1238" t="s">
        <v>43</v>
      </c>
      <c r="K1238" t="s">
        <v>77</v>
      </c>
      <c r="L1238" t="s">
        <v>90</v>
      </c>
      <c r="M1238">
        <v>1</v>
      </c>
    </row>
    <row r="1239" spans="1:13" x14ac:dyDescent="0.25">
      <c r="A1239">
        <v>1150</v>
      </c>
      <c r="B1239" t="s">
        <v>198</v>
      </c>
      <c r="C1239" t="s">
        <v>94</v>
      </c>
      <c r="D1239">
        <v>2016</v>
      </c>
      <c r="E1239">
        <v>24276</v>
      </c>
      <c r="F1239">
        <v>26000</v>
      </c>
      <c r="G1239">
        <v>15000</v>
      </c>
      <c r="H1239" t="s">
        <v>63</v>
      </c>
      <c r="J1239" t="s">
        <v>96</v>
      </c>
      <c r="K1239" t="s">
        <v>54</v>
      </c>
      <c r="L1239" t="s">
        <v>90</v>
      </c>
      <c r="M1239">
        <v>0</v>
      </c>
    </row>
    <row r="1240" spans="1:13" x14ac:dyDescent="0.25">
      <c r="A1240">
        <v>1417</v>
      </c>
      <c r="B1240" t="s">
        <v>1109</v>
      </c>
      <c r="C1240" t="s">
        <v>68</v>
      </c>
      <c r="D1240">
        <v>2022</v>
      </c>
      <c r="E1240" t="s">
        <v>1110</v>
      </c>
      <c r="F1240">
        <v>31000</v>
      </c>
      <c r="G1240">
        <v>80000</v>
      </c>
      <c r="H1240" t="s">
        <v>84</v>
      </c>
      <c r="K1240" t="s">
        <v>48</v>
      </c>
      <c r="L1240" t="s">
        <v>45</v>
      </c>
      <c r="M1240">
        <v>1</v>
      </c>
    </row>
    <row r="1241" spans="1:13" x14ac:dyDescent="0.25">
      <c r="A1241">
        <v>1471</v>
      </c>
      <c r="B1241" t="s">
        <v>1111</v>
      </c>
      <c r="C1241" t="s">
        <v>47</v>
      </c>
      <c r="D1241">
        <v>2022</v>
      </c>
      <c r="E1241">
        <v>19903</v>
      </c>
      <c r="F1241">
        <v>22000</v>
      </c>
      <c r="G1241">
        <v>25000</v>
      </c>
      <c r="H1241" t="s">
        <v>41</v>
      </c>
      <c r="I1241" t="s">
        <v>72</v>
      </c>
      <c r="K1241" t="s">
        <v>77</v>
      </c>
      <c r="L1241" t="s">
        <v>38</v>
      </c>
      <c r="M1241">
        <v>1</v>
      </c>
    </row>
    <row r="1242" spans="1:13" x14ac:dyDescent="0.25">
      <c r="A1242">
        <v>1080</v>
      </c>
      <c r="B1242" t="s">
        <v>1112</v>
      </c>
      <c r="C1242" t="s">
        <v>65</v>
      </c>
      <c r="D1242">
        <v>2017</v>
      </c>
      <c r="E1242">
        <v>4027</v>
      </c>
      <c r="F1242">
        <v>7000</v>
      </c>
      <c r="G1242">
        <v>120000</v>
      </c>
      <c r="I1242" t="s">
        <v>59</v>
      </c>
      <c r="J1242" t="s">
        <v>36</v>
      </c>
      <c r="K1242" t="s">
        <v>44</v>
      </c>
      <c r="L1242" t="s">
        <v>45</v>
      </c>
      <c r="M1242">
        <v>2</v>
      </c>
    </row>
    <row r="1243" spans="1:13" x14ac:dyDescent="0.25">
      <c r="A1243">
        <v>1411</v>
      </c>
      <c r="B1243" t="s">
        <v>1113</v>
      </c>
      <c r="C1243" t="s">
        <v>138</v>
      </c>
      <c r="D1243">
        <v>2020</v>
      </c>
      <c r="E1243">
        <v>14290</v>
      </c>
      <c r="F1243">
        <v>18000</v>
      </c>
      <c r="G1243">
        <v>60000</v>
      </c>
      <c r="H1243" t="s">
        <v>69</v>
      </c>
      <c r="I1243" t="s">
        <v>72</v>
      </c>
      <c r="J1243" t="s">
        <v>66</v>
      </c>
      <c r="K1243" t="s">
        <v>44</v>
      </c>
      <c r="L1243" t="s">
        <v>38</v>
      </c>
      <c r="M1243">
        <v>3</v>
      </c>
    </row>
    <row r="1244" spans="1:13" x14ac:dyDescent="0.25">
      <c r="A1244">
        <v>1514</v>
      </c>
      <c r="B1244" t="s">
        <v>1114</v>
      </c>
      <c r="C1244" t="s">
        <v>79</v>
      </c>
      <c r="E1244">
        <v>26781</v>
      </c>
      <c r="F1244">
        <v>31000</v>
      </c>
      <c r="G1244">
        <v>40000</v>
      </c>
      <c r="H1244" t="s">
        <v>69</v>
      </c>
      <c r="I1244" t="s">
        <v>42</v>
      </c>
      <c r="J1244" t="s">
        <v>36</v>
      </c>
      <c r="K1244" t="s">
        <v>100</v>
      </c>
      <c r="L1244" t="s">
        <v>109</v>
      </c>
      <c r="M1244">
        <v>2</v>
      </c>
    </row>
    <row r="1245" spans="1:13" x14ac:dyDescent="0.25">
      <c r="A1245">
        <v>1520</v>
      </c>
      <c r="B1245" t="s">
        <v>518</v>
      </c>
      <c r="C1245" t="s">
        <v>79</v>
      </c>
      <c r="D1245">
        <v>2014</v>
      </c>
      <c r="E1245" t="s">
        <v>1115</v>
      </c>
      <c r="F1245">
        <v>7000</v>
      </c>
      <c r="G1245">
        <v>80000</v>
      </c>
      <c r="H1245" t="s">
        <v>58</v>
      </c>
      <c r="I1245" t="s">
        <v>72</v>
      </c>
      <c r="J1245" t="s">
        <v>96</v>
      </c>
      <c r="K1245" t="s">
        <v>48</v>
      </c>
      <c r="L1245" t="s">
        <v>98</v>
      </c>
      <c r="M1245">
        <v>2</v>
      </c>
    </row>
    <row r="1246" spans="1:13" x14ac:dyDescent="0.25">
      <c r="A1246">
        <v>1282</v>
      </c>
      <c r="B1246" t="s">
        <v>1113</v>
      </c>
      <c r="C1246" t="s">
        <v>138</v>
      </c>
      <c r="D1246">
        <v>2016</v>
      </c>
      <c r="E1246" t="s">
        <v>1116</v>
      </c>
      <c r="F1246">
        <v>9000</v>
      </c>
      <c r="G1246">
        <v>25000</v>
      </c>
      <c r="H1246" t="s">
        <v>84</v>
      </c>
      <c r="I1246" t="s">
        <v>72</v>
      </c>
      <c r="J1246" t="s">
        <v>66</v>
      </c>
      <c r="K1246" t="s">
        <v>48</v>
      </c>
      <c r="L1246" t="s">
        <v>49</v>
      </c>
      <c r="M1246">
        <v>2</v>
      </c>
    </row>
    <row r="1247" spans="1:13" x14ac:dyDescent="0.25">
      <c r="A1247">
        <v>1200</v>
      </c>
      <c r="B1247" t="s">
        <v>231</v>
      </c>
      <c r="C1247" t="s">
        <v>68</v>
      </c>
      <c r="D1247" t="s">
        <v>52</v>
      </c>
      <c r="E1247">
        <v>12540</v>
      </c>
      <c r="F1247">
        <v>18000</v>
      </c>
      <c r="G1247">
        <v>120000</v>
      </c>
      <c r="H1247" t="s">
        <v>84</v>
      </c>
      <c r="I1247" t="s">
        <v>72</v>
      </c>
      <c r="J1247" t="s">
        <v>96</v>
      </c>
      <c r="K1247" t="s">
        <v>54</v>
      </c>
      <c r="L1247" t="s">
        <v>38</v>
      </c>
      <c r="M1247">
        <v>0</v>
      </c>
    </row>
    <row r="1248" spans="1:13" x14ac:dyDescent="0.25">
      <c r="A1248">
        <v>1231</v>
      </c>
      <c r="B1248" t="s">
        <v>916</v>
      </c>
      <c r="C1248" t="s">
        <v>138</v>
      </c>
      <c r="E1248" t="s">
        <v>1117</v>
      </c>
      <c r="F1248">
        <v>26000</v>
      </c>
      <c r="G1248">
        <v>25000</v>
      </c>
      <c r="H1248" t="s">
        <v>41</v>
      </c>
      <c r="J1248" t="s">
        <v>36</v>
      </c>
      <c r="K1248" t="s">
        <v>116</v>
      </c>
      <c r="M1248">
        <v>2</v>
      </c>
    </row>
    <row r="1249" spans="1:13" x14ac:dyDescent="0.25">
      <c r="A1249">
        <v>1457</v>
      </c>
      <c r="B1249" t="s">
        <v>659</v>
      </c>
      <c r="C1249" t="s">
        <v>57</v>
      </c>
      <c r="D1249">
        <v>2016</v>
      </c>
      <c r="E1249" t="s">
        <v>1118</v>
      </c>
      <c r="F1249">
        <v>9000</v>
      </c>
      <c r="G1249">
        <v>15000</v>
      </c>
      <c r="H1249" t="s">
        <v>58</v>
      </c>
      <c r="I1249" t="s">
        <v>42</v>
      </c>
      <c r="J1249" t="s">
        <v>96</v>
      </c>
      <c r="K1249" t="s">
        <v>54</v>
      </c>
      <c r="L1249" t="s">
        <v>90</v>
      </c>
      <c r="M1249">
        <v>3</v>
      </c>
    </row>
    <row r="1250" spans="1:13" x14ac:dyDescent="0.25">
      <c r="A1250">
        <v>1049</v>
      </c>
      <c r="B1250" t="s">
        <v>1119</v>
      </c>
      <c r="C1250" t="s">
        <v>138</v>
      </c>
      <c r="D1250">
        <v>2018</v>
      </c>
      <c r="E1250" t="s">
        <v>1120</v>
      </c>
      <c r="F1250">
        <v>18000</v>
      </c>
      <c r="G1250">
        <v>120000</v>
      </c>
      <c r="H1250" t="s">
        <v>41</v>
      </c>
      <c r="J1250" t="s">
        <v>43</v>
      </c>
      <c r="K1250" t="s">
        <v>44</v>
      </c>
      <c r="L1250" t="s">
        <v>90</v>
      </c>
      <c r="M1250">
        <v>1</v>
      </c>
    </row>
    <row r="1251" spans="1:13" x14ac:dyDescent="0.25">
      <c r="A1251">
        <v>1409</v>
      </c>
      <c r="B1251" t="s">
        <v>926</v>
      </c>
      <c r="C1251" t="s">
        <v>138</v>
      </c>
      <c r="D1251">
        <v>2021</v>
      </c>
      <c r="E1251">
        <v>25271</v>
      </c>
      <c r="F1251">
        <v>31000</v>
      </c>
      <c r="G1251" t="s">
        <v>33</v>
      </c>
      <c r="H1251" t="s">
        <v>41</v>
      </c>
      <c r="I1251" t="s">
        <v>35</v>
      </c>
      <c r="J1251" t="s">
        <v>96</v>
      </c>
      <c r="K1251" t="s">
        <v>73</v>
      </c>
      <c r="L1251" t="s">
        <v>126</v>
      </c>
      <c r="M1251">
        <v>2</v>
      </c>
    </row>
    <row r="1252" spans="1:13" x14ac:dyDescent="0.25">
      <c r="A1252">
        <v>1531</v>
      </c>
      <c r="B1252" t="s">
        <v>1121</v>
      </c>
      <c r="C1252" t="s">
        <v>164</v>
      </c>
      <c r="D1252">
        <v>2021</v>
      </c>
      <c r="E1252">
        <v>4990</v>
      </c>
      <c r="F1252" t="s">
        <v>81</v>
      </c>
      <c r="G1252" t="s">
        <v>76</v>
      </c>
      <c r="H1252" t="s">
        <v>58</v>
      </c>
      <c r="I1252" t="s">
        <v>59</v>
      </c>
      <c r="J1252" t="s">
        <v>66</v>
      </c>
      <c r="K1252" t="s">
        <v>100</v>
      </c>
      <c r="L1252" t="s">
        <v>49</v>
      </c>
      <c r="M1252">
        <v>2</v>
      </c>
    </row>
    <row r="1253" spans="1:13" x14ac:dyDescent="0.25">
      <c r="A1253">
        <v>1435</v>
      </c>
      <c r="B1253" t="s">
        <v>786</v>
      </c>
      <c r="C1253" t="s">
        <v>57</v>
      </c>
      <c r="D1253">
        <v>2019</v>
      </c>
      <c r="E1253" t="s">
        <v>1122</v>
      </c>
      <c r="F1253">
        <v>31000</v>
      </c>
      <c r="G1253">
        <v>120000</v>
      </c>
      <c r="H1253" t="s">
        <v>84</v>
      </c>
      <c r="I1253" t="s">
        <v>42</v>
      </c>
      <c r="J1253" t="s">
        <v>43</v>
      </c>
      <c r="L1253" t="s">
        <v>49</v>
      </c>
      <c r="M1253">
        <v>3</v>
      </c>
    </row>
    <row r="1254" spans="1:13" x14ac:dyDescent="0.25">
      <c r="A1254">
        <v>1354</v>
      </c>
      <c r="B1254" t="s">
        <v>1123</v>
      </c>
      <c r="C1254" t="s">
        <v>57</v>
      </c>
      <c r="D1254">
        <v>2014</v>
      </c>
      <c r="E1254">
        <v>12378</v>
      </c>
      <c r="F1254">
        <v>15000</v>
      </c>
      <c r="G1254">
        <v>15000</v>
      </c>
      <c r="H1254" t="s">
        <v>58</v>
      </c>
      <c r="I1254" t="s">
        <v>35</v>
      </c>
      <c r="K1254" t="s">
        <v>100</v>
      </c>
      <c r="L1254" t="s">
        <v>55</v>
      </c>
      <c r="M1254">
        <v>1</v>
      </c>
    </row>
    <row r="1255" spans="1:13" x14ac:dyDescent="0.25">
      <c r="A1255">
        <v>1240</v>
      </c>
      <c r="B1255" t="s">
        <v>373</v>
      </c>
      <c r="C1255" t="s">
        <v>79</v>
      </c>
      <c r="D1255">
        <v>2016</v>
      </c>
      <c r="E1255" t="s">
        <v>1124</v>
      </c>
      <c r="F1255">
        <v>22000</v>
      </c>
      <c r="G1255">
        <v>80000</v>
      </c>
      <c r="I1255" t="s">
        <v>42</v>
      </c>
      <c r="K1255" t="s">
        <v>77</v>
      </c>
    </row>
    <row r="1256" spans="1:13" x14ac:dyDescent="0.25">
      <c r="A1256">
        <v>1362</v>
      </c>
      <c r="B1256" t="s">
        <v>1125</v>
      </c>
      <c r="C1256" t="s">
        <v>57</v>
      </c>
      <c r="D1256">
        <v>2014</v>
      </c>
      <c r="E1256">
        <v>13120</v>
      </c>
      <c r="F1256">
        <v>18000</v>
      </c>
      <c r="G1256">
        <v>40000</v>
      </c>
      <c r="H1256" t="s">
        <v>63</v>
      </c>
      <c r="I1256" t="s">
        <v>35</v>
      </c>
      <c r="J1256" t="s">
        <v>43</v>
      </c>
      <c r="K1256" t="s">
        <v>48</v>
      </c>
      <c r="L1256" t="s">
        <v>49</v>
      </c>
      <c r="M1256">
        <v>0</v>
      </c>
    </row>
    <row r="1257" spans="1:13" x14ac:dyDescent="0.25">
      <c r="A1257">
        <v>1123</v>
      </c>
      <c r="B1257" t="s">
        <v>460</v>
      </c>
      <c r="C1257" t="s">
        <v>138</v>
      </c>
      <c r="D1257">
        <v>2014</v>
      </c>
      <c r="E1257">
        <v>6027</v>
      </c>
      <c r="F1257">
        <v>12000</v>
      </c>
      <c r="G1257">
        <v>60000</v>
      </c>
      <c r="H1257" t="s">
        <v>53</v>
      </c>
      <c r="I1257" t="s">
        <v>59</v>
      </c>
      <c r="J1257" t="s">
        <v>36</v>
      </c>
      <c r="K1257" t="s">
        <v>37</v>
      </c>
      <c r="L1257" t="s">
        <v>126</v>
      </c>
      <c r="M1257">
        <v>3</v>
      </c>
    </row>
    <row r="1258" spans="1:13" x14ac:dyDescent="0.25">
      <c r="A1258">
        <v>1227</v>
      </c>
      <c r="B1258" t="s">
        <v>331</v>
      </c>
      <c r="C1258" t="s">
        <v>32</v>
      </c>
      <c r="D1258">
        <v>2016</v>
      </c>
      <c r="E1258">
        <v>22099</v>
      </c>
      <c r="F1258">
        <v>26000</v>
      </c>
      <c r="G1258">
        <v>15000</v>
      </c>
      <c r="H1258" t="s">
        <v>58</v>
      </c>
      <c r="I1258" t="s">
        <v>35</v>
      </c>
      <c r="J1258" t="s">
        <v>43</v>
      </c>
      <c r="K1258" t="s">
        <v>48</v>
      </c>
      <c r="L1258" t="s">
        <v>45</v>
      </c>
    </row>
    <row r="1259" spans="1:13" x14ac:dyDescent="0.25">
      <c r="A1259">
        <v>1268</v>
      </c>
      <c r="B1259" t="s">
        <v>1126</v>
      </c>
      <c r="C1259" t="s">
        <v>65</v>
      </c>
      <c r="D1259">
        <v>2020</v>
      </c>
      <c r="E1259" t="s">
        <v>1127</v>
      </c>
      <c r="F1259">
        <v>31000</v>
      </c>
      <c r="G1259">
        <v>25000</v>
      </c>
      <c r="H1259" t="s">
        <v>53</v>
      </c>
      <c r="I1259" t="s">
        <v>42</v>
      </c>
      <c r="J1259" t="s">
        <v>66</v>
      </c>
      <c r="K1259" t="s">
        <v>100</v>
      </c>
      <c r="M1259">
        <v>0</v>
      </c>
    </row>
    <row r="1260" spans="1:13" x14ac:dyDescent="0.25">
      <c r="A1260">
        <v>1573</v>
      </c>
      <c r="B1260" t="s">
        <v>995</v>
      </c>
      <c r="C1260" t="s">
        <v>32</v>
      </c>
      <c r="E1260">
        <v>15739</v>
      </c>
      <c r="F1260">
        <v>18000</v>
      </c>
      <c r="G1260">
        <v>40000</v>
      </c>
      <c r="H1260" t="s">
        <v>58</v>
      </c>
      <c r="I1260" t="s">
        <v>42</v>
      </c>
      <c r="J1260" t="s">
        <v>96</v>
      </c>
      <c r="K1260" t="s">
        <v>48</v>
      </c>
      <c r="L1260" t="s">
        <v>126</v>
      </c>
      <c r="M1260">
        <v>3</v>
      </c>
    </row>
    <row r="1261" spans="1:13" x14ac:dyDescent="0.25">
      <c r="A1261">
        <v>1398</v>
      </c>
      <c r="B1261" t="s">
        <v>1128</v>
      </c>
      <c r="C1261" t="s">
        <v>57</v>
      </c>
      <c r="E1261">
        <v>17956</v>
      </c>
      <c r="F1261">
        <v>22000</v>
      </c>
      <c r="G1261">
        <v>25000</v>
      </c>
      <c r="I1261" t="s">
        <v>42</v>
      </c>
      <c r="J1261" t="s">
        <v>36</v>
      </c>
      <c r="K1261" t="s">
        <v>37</v>
      </c>
      <c r="M1261">
        <v>0</v>
      </c>
    </row>
    <row r="1262" spans="1:13" x14ac:dyDescent="0.25">
      <c r="A1262">
        <v>1006</v>
      </c>
      <c r="B1262" t="s">
        <v>1129</v>
      </c>
      <c r="C1262" t="s">
        <v>65</v>
      </c>
      <c r="D1262">
        <v>2020</v>
      </c>
      <c r="E1262">
        <v>29144</v>
      </c>
      <c r="F1262">
        <v>31000</v>
      </c>
      <c r="G1262">
        <v>40000</v>
      </c>
      <c r="H1262" t="s">
        <v>69</v>
      </c>
      <c r="I1262" t="s">
        <v>35</v>
      </c>
      <c r="K1262" t="s">
        <v>44</v>
      </c>
      <c r="L1262" t="s">
        <v>90</v>
      </c>
      <c r="M1262">
        <v>0</v>
      </c>
    </row>
    <row r="1263" spans="1:13" x14ac:dyDescent="0.25">
      <c r="A1263">
        <v>1520</v>
      </c>
      <c r="B1263" t="s">
        <v>212</v>
      </c>
      <c r="C1263" t="s">
        <v>75</v>
      </c>
      <c r="D1263">
        <v>2017</v>
      </c>
      <c r="E1263">
        <v>21713</v>
      </c>
      <c r="F1263">
        <v>26000</v>
      </c>
      <c r="G1263" t="s">
        <v>33</v>
      </c>
      <c r="I1263" t="s">
        <v>72</v>
      </c>
      <c r="J1263" t="s">
        <v>43</v>
      </c>
      <c r="K1263" t="s">
        <v>37</v>
      </c>
      <c r="L1263" t="s">
        <v>109</v>
      </c>
      <c r="M1263">
        <v>2</v>
      </c>
    </row>
    <row r="1264" spans="1:13" x14ac:dyDescent="0.25">
      <c r="A1264">
        <v>1074</v>
      </c>
      <c r="B1264" t="s">
        <v>1130</v>
      </c>
      <c r="C1264" t="s">
        <v>133</v>
      </c>
      <c r="D1264">
        <v>2014</v>
      </c>
      <c r="E1264">
        <v>18941</v>
      </c>
      <c r="F1264">
        <v>22000</v>
      </c>
      <c r="G1264">
        <v>40000</v>
      </c>
      <c r="H1264" t="s">
        <v>63</v>
      </c>
      <c r="I1264" t="s">
        <v>35</v>
      </c>
      <c r="J1264" t="s">
        <v>43</v>
      </c>
      <c r="K1264" t="s">
        <v>54</v>
      </c>
      <c r="L1264" t="s">
        <v>49</v>
      </c>
      <c r="M1264">
        <v>0</v>
      </c>
    </row>
    <row r="1265" spans="1:13" x14ac:dyDescent="0.25">
      <c r="A1265">
        <v>1093</v>
      </c>
      <c r="B1265" t="s">
        <v>91</v>
      </c>
      <c r="C1265" t="s">
        <v>61</v>
      </c>
      <c r="D1265">
        <v>2019</v>
      </c>
      <c r="E1265">
        <v>24862</v>
      </c>
      <c r="F1265">
        <v>26000</v>
      </c>
      <c r="G1265">
        <v>40000</v>
      </c>
      <c r="H1265" t="s">
        <v>63</v>
      </c>
      <c r="I1265" t="s">
        <v>59</v>
      </c>
      <c r="K1265" t="s">
        <v>116</v>
      </c>
      <c r="L1265" t="s">
        <v>109</v>
      </c>
      <c r="M1265">
        <v>1</v>
      </c>
    </row>
    <row r="1266" spans="1:13" x14ac:dyDescent="0.25">
      <c r="A1266">
        <v>1172</v>
      </c>
      <c r="B1266" t="s">
        <v>1046</v>
      </c>
      <c r="C1266" t="s">
        <v>68</v>
      </c>
      <c r="D1266">
        <v>2021</v>
      </c>
      <c r="E1266">
        <v>5852</v>
      </c>
      <c r="F1266">
        <v>7000</v>
      </c>
      <c r="G1266" t="s">
        <v>33</v>
      </c>
      <c r="I1266" t="s">
        <v>35</v>
      </c>
      <c r="J1266" t="s">
        <v>66</v>
      </c>
      <c r="K1266" t="s">
        <v>37</v>
      </c>
      <c r="L1266" t="s">
        <v>90</v>
      </c>
      <c r="M1266">
        <v>2</v>
      </c>
    </row>
    <row r="1267" spans="1:13" x14ac:dyDescent="0.25">
      <c r="A1267">
        <v>1473</v>
      </c>
      <c r="B1267" t="s">
        <v>945</v>
      </c>
      <c r="C1267" t="s">
        <v>75</v>
      </c>
      <c r="D1267">
        <v>2017</v>
      </c>
      <c r="E1267">
        <v>10478</v>
      </c>
      <c r="F1267">
        <v>15000</v>
      </c>
      <c r="G1267">
        <v>120000</v>
      </c>
      <c r="I1267" t="s">
        <v>42</v>
      </c>
      <c r="J1267" t="s">
        <v>36</v>
      </c>
      <c r="K1267" t="s">
        <v>100</v>
      </c>
      <c r="L1267" t="s">
        <v>98</v>
      </c>
      <c r="M1267">
        <v>3</v>
      </c>
    </row>
    <row r="1268" spans="1:13" x14ac:dyDescent="0.25">
      <c r="A1268">
        <v>1448</v>
      </c>
      <c r="B1268" t="s">
        <v>300</v>
      </c>
      <c r="C1268" t="s">
        <v>133</v>
      </c>
      <c r="D1268">
        <v>2017</v>
      </c>
      <c r="E1268">
        <v>6482</v>
      </c>
      <c r="F1268">
        <v>9000</v>
      </c>
      <c r="G1268" t="s">
        <v>121</v>
      </c>
      <c r="H1268" t="s">
        <v>63</v>
      </c>
      <c r="L1268" t="s">
        <v>55</v>
      </c>
    </row>
    <row r="1269" spans="1:13" x14ac:dyDescent="0.25">
      <c r="A1269">
        <v>1316</v>
      </c>
      <c r="B1269" t="s">
        <v>1052</v>
      </c>
      <c r="C1269" t="s">
        <v>103</v>
      </c>
      <c r="D1269">
        <v>2019</v>
      </c>
      <c r="E1269">
        <v>12297</v>
      </c>
      <c r="F1269">
        <v>15000</v>
      </c>
      <c r="G1269">
        <v>120000</v>
      </c>
      <c r="H1269" t="s">
        <v>34</v>
      </c>
      <c r="I1269" t="s">
        <v>72</v>
      </c>
      <c r="J1269" t="s">
        <v>96</v>
      </c>
      <c r="K1269" t="s">
        <v>77</v>
      </c>
      <c r="L1269" t="s">
        <v>126</v>
      </c>
    </row>
    <row r="1270" spans="1:13" x14ac:dyDescent="0.25">
      <c r="A1270">
        <v>1162</v>
      </c>
      <c r="B1270" t="s">
        <v>220</v>
      </c>
      <c r="C1270" t="s">
        <v>61</v>
      </c>
      <c r="D1270">
        <v>2016</v>
      </c>
      <c r="E1270" t="s">
        <v>1131</v>
      </c>
      <c r="F1270" t="s">
        <v>89</v>
      </c>
      <c r="G1270">
        <v>15000</v>
      </c>
      <c r="H1270" t="s">
        <v>63</v>
      </c>
      <c r="I1270" t="s">
        <v>59</v>
      </c>
      <c r="J1270" t="s">
        <v>43</v>
      </c>
      <c r="K1270" t="s">
        <v>54</v>
      </c>
      <c r="L1270" t="s">
        <v>45</v>
      </c>
    </row>
    <row r="1271" spans="1:13" x14ac:dyDescent="0.25">
      <c r="A1271">
        <v>1001</v>
      </c>
      <c r="B1271" t="s">
        <v>1087</v>
      </c>
      <c r="C1271" t="s">
        <v>138</v>
      </c>
      <c r="D1271">
        <v>2018</v>
      </c>
      <c r="E1271" t="s">
        <v>1132</v>
      </c>
      <c r="F1271">
        <v>31000</v>
      </c>
      <c r="G1271">
        <v>15000</v>
      </c>
      <c r="H1271" t="s">
        <v>69</v>
      </c>
      <c r="I1271" t="s">
        <v>72</v>
      </c>
      <c r="K1271" t="s">
        <v>48</v>
      </c>
      <c r="L1271" t="s">
        <v>55</v>
      </c>
      <c r="M1271">
        <v>3</v>
      </c>
    </row>
    <row r="1272" spans="1:13" x14ac:dyDescent="0.25">
      <c r="A1272">
        <v>1091</v>
      </c>
      <c r="B1272" t="s">
        <v>1133</v>
      </c>
      <c r="C1272" t="s">
        <v>51</v>
      </c>
      <c r="E1272">
        <v>26313</v>
      </c>
      <c r="F1272">
        <v>31000</v>
      </c>
      <c r="G1272">
        <v>80000</v>
      </c>
      <c r="H1272" t="s">
        <v>34</v>
      </c>
      <c r="I1272" t="s">
        <v>35</v>
      </c>
      <c r="J1272" t="s">
        <v>96</v>
      </c>
      <c r="K1272" t="s">
        <v>44</v>
      </c>
      <c r="L1272" t="s">
        <v>126</v>
      </c>
      <c r="M1272">
        <v>0</v>
      </c>
    </row>
    <row r="1273" spans="1:13" x14ac:dyDescent="0.25">
      <c r="A1273">
        <v>1481</v>
      </c>
      <c r="B1273" t="s">
        <v>506</v>
      </c>
      <c r="C1273" t="s">
        <v>103</v>
      </c>
      <c r="D1273">
        <v>2017</v>
      </c>
      <c r="E1273" t="s">
        <v>1134</v>
      </c>
      <c r="F1273">
        <v>22000</v>
      </c>
      <c r="G1273">
        <v>40000</v>
      </c>
      <c r="H1273" t="s">
        <v>69</v>
      </c>
      <c r="J1273" t="s">
        <v>43</v>
      </c>
      <c r="K1273" t="s">
        <v>100</v>
      </c>
      <c r="L1273" t="s">
        <v>55</v>
      </c>
      <c r="M1273">
        <v>3</v>
      </c>
    </row>
    <row r="1274" spans="1:13" x14ac:dyDescent="0.25">
      <c r="A1274">
        <v>1228</v>
      </c>
      <c r="B1274" t="s">
        <v>1135</v>
      </c>
      <c r="C1274" t="s">
        <v>75</v>
      </c>
      <c r="D1274">
        <v>2015</v>
      </c>
      <c r="E1274">
        <v>16337</v>
      </c>
      <c r="F1274" t="s">
        <v>115</v>
      </c>
      <c r="G1274">
        <v>25000</v>
      </c>
      <c r="I1274" t="s">
        <v>35</v>
      </c>
      <c r="J1274" t="s">
        <v>66</v>
      </c>
      <c r="K1274" t="s">
        <v>44</v>
      </c>
      <c r="L1274" t="s">
        <v>109</v>
      </c>
      <c r="M1274">
        <v>0</v>
      </c>
    </row>
    <row r="1275" spans="1:13" x14ac:dyDescent="0.25">
      <c r="A1275">
        <v>1436</v>
      </c>
      <c r="B1275" t="s">
        <v>1136</v>
      </c>
      <c r="C1275" t="s">
        <v>57</v>
      </c>
      <c r="D1275">
        <v>2022</v>
      </c>
      <c r="E1275">
        <v>7613</v>
      </c>
      <c r="F1275">
        <v>12000</v>
      </c>
      <c r="G1275">
        <v>60000</v>
      </c>
      <c r="H1275" t="s">
        <v>69</v>
      </c>
      <c r="L1275" t="s">
        <v>109</v>
      </c>
    </row>
    <row r="1276" spans="1:13" x14ac:dyDescent="0.25">
      <c r="A1276">
        <v>1253</v>
      </c>
      <c r="B1276" t="s">
        <v>1137</v>
      </c>
      <c r="C1276" t="s">
        <v>94</v>
      </c>
      <c r="D1276">
        <v>2019</v>
      </c>
      <c r="E1276">
        <v>11615</v>
      </c>
      <c r="F1276">
        <v>18000</v>
      </c>
      <c r="G1276">
        <v>60000</v>
      </c>
      <c r="H1276" t="s">
        <v>69</v>
      </c>
      <c r="I1276" t="s">
        <v>42</v>
      </c>
      <c r="J1276" t="s">
        <v>96</v>
      </c>
      <c r="K1276" t="s">
        <v>54</v>
      </c>
      <c r="L1276" t="s">
        <v>49</v>
      </c>
      <c r="M1276">
        <v>2</v>
      </c>
    </row>
    <row r="1277" spans="1:13" x14ac:dyDescent="0.25">
      <c r="A1277">
        <v>1282</v>
      </c>
      <c r="B1277" t="s">
        <v>346</v>
      </c>
      <c r="C1277" t="s">
        <v>32</v>
      </c>
      <c r="D1277">
        <v>2020</v>
      </c>
      <c r="E1277">
        <v>12014</v>
      </c>
      <c r="F1277">
        <v>15000</v>
      </c>
      <c r="G1277">
        <v>80000</v>
      </c>
      <c r="H1277" t="s">
        <v>69</v>
      </c>
      <c r="I1277" t="s">
        <v>59</v>
      </c>
      <c r="J1277" t="s">
        <v>96</v>
      </c>
      <c r="K1277" t="s">
        <v>73</v>
      </c>
    </row>
    <row r="1278" spans="1:13" x14ac:dyDescent="0.25">
      <c r="A1278">
        <v>1512</v>
      </c>
      <c r="B1278" t="s">
        <v>1138</v>
      </c>
      <c r="C1278" t="s">
        <v>57</v>
      </c>
      <c r="D1278">
        <v>2016</v>
      </c>
      <c r="E1278">
        <v>9140</v>
      </c>
      <c r="F1278">
        <v>15000</v>
      </c>
      <c r="G1278">
        <v>15000</v>
      </c>
      <c r="H1278" t="s">
        <v>53</v>
      </c>
      <c r="L1278" t="s">
        <v>45</v>
      </c>
      <c r="M1278">
        <v>0</v>
      </c>
    </row>
    <row r="1279" spans="1:13" x14ac:dyDescent="0.25">
      <c r="A1279">
        <v>1132</v>
      </c>
      <c r="B1279" t="s">
        <v>644</v>
      </c>
      <c r="C1279" t="s">
        <v>119</v>
      </c>
      <c r="D1279">
        <v>2016</v>
      </c>
      <c r="E1279" t="s">
        <v>1139</v>
      </c>
      <c r="F1279">
        <v>9000</v>
      </c>
      <c r="G1279">
        <v>15000</v>
      </c>
      <c r="H1279" t="s">
        <v>41</v>
      </c>
      <c r="I1279" t="s">
        <v>59</v>
      </c>
      <c r="J1279" t="s">
        <v>96</v>
      </c>
      <c r="K1279" t="s">
        <v>54</v>
      </c>
      <c r="M1279">
        <v>2</v>
      </c>
    </row>
    <row r="1280" spans="1:13" x14ac:dyDescent="0.25">
      <c r="A1280">
        <v>1599</v>
      </c>
      <c r="B1280" t="s">
        <v>1140</v>
      </c>
      <c r="C1280" t="s">
        <v>47</v>
      </c>
      <c r="D1280">
        <v>2018</v>
      </c>
      <c r="E1280" t="s">
        <v>1141</v>
      </c>
      <c r="F1280">
        <v>26000</v>
      </c>
      <c r="G1280" t="s">
        <v>130</v>
      </c>
      <c r="H1280" t="s">
        <v>41</v>
      </c>
      <c r="I1280" t="s">
        <v>35</v>
      </c>
      <c r="J1280" t="s">
        <v>96</v>
      </c>
      <c r="K1280" t="s">
        <v>54</v>
      </c>
      <c r="L1280" t="s">
        <v>98</v>
      </c>
      <c r="M1280">
        <v>2</v>
      </c>
    </row>
    <row r="1281" spans="1:13" x14ac:dyDescent="0.25">
      <c r="A1281">
        <v>1580</v>
      </c>
      <c r="B1281" t="s">
        <v>904</v>
      </c>
      <c r="C1281" t="s">
        <v>94</v>
      </c>
      <c r="D1281">
        <v>2015</v>
      </c>
      <c r="E1281" t="s">
        <v>1142</v>
      </c>
      <c r="F1281" t="s">
        <v>204</v>
      </c>
      <c r="G1281">
        <v>120000</v>
      </c>
      <c r="H1281" t="s">
        <v>63</v>
      </c>
      <c r="I1281" t="s">
        <v>35</v>
      </c>
      <c r="J1281" t="s">
        <v>66</v>
      </c>
      <c r="K1281" t="s">
        <v>37</v>
      </c>
      <c r="L1281" t="s">
        <v>38</v>
      </c>
      <c r="M1281">
        <v>3</v>
      </c>
    </row>
    <row r="1282" spans="1:13" x14ac:dyDescent="0.25">
      <c r="A1282">
        <v>1194</v>
      </c>
      <c r="B1282" t="s">
        <v>1143</v>
      </c>
      <c r="C1282" t="s">
        <v>61</v>
      </c>
      <c r="D1282">
        <v>2020</v>
      </c>
      <c r="E1282">
        <v>15209</v>
      </c>
      <c r="F1282">
        <v>22000</v>
      </c>
      <c r="G1282">
        <v>80000</v>
      </c>
      <c r="I1282" t="s">
        <v>35</v>
      </c>
      <c r="K1282" t="s">
        <v>48</v>
      </c>
      <c r="L1282" t="s">
        <v>49</v>
      </c>
    </row>
    <row r="1283" spans="1:13" x14ac:dyDescent="0.25">
      <c r="A1283">
        <v>1305</v>
      </c>
      <c r="B1283" t="s">
        <v>894</v>
      </c>
      <c r="C1283" t="s">
        <v>47</v>
      </c>
      <c r="D1283">
        <v>2015</v>
      </c>
      <c r="E1283" t="s">
        <v>1144</v>
      </c>
      <c r="F1283">
        <v>18000</v>
      </c>
      <c r="G1283">
        <v>120000</v>
      </c>
      <c r="H1283" t="s">
        <v>53</v>
      </c>
      <c r="I1283" t="s">
        <v>35</v>
      </c>
      <c r="J1283" t="s">
        <v>36</v>
      </c>
      <c r="K1283" t="s">
        <v>77</v>
      </c>
    </row>
    <row r="1284" spans="1:13" x14ac:dyDescent="0.25">
      <c r="A1284">
        <v>1417</v>
      </c>
      <c r="B1284" t="s">
        <v>1145</v>
      </c>
      <c r="C1284" t="s">
        <v>79</v>
      </c>
      <c r="D1284">
        <v>2014</v>
      </c>
      <c r="E1284" t="s">
        <v>1146</v>
      </c>
      <c r="F1284">
        <v>15000</v>
      </c>
      <c r="G1284" t="s">
        <v>130</v>
      </c>
      <c r="H1284" t="s">
        <v>53</v>
      </c>
      <c r="I1284" t="s">
        <v>42</v>
      </c>
      <c r="J1284" t="s">
        <v>96</v>
      </c>
      <c r="K1284" t="s">
        <v>116</v>
      </c>
      <c r="L1284" t="s">
        <v>45</v>
      </c>
      <c r="M1284">
        <v>1</v>
      </c>
    </row>
    <row r="1285" spans="1:13" x14ac:dyDescent="0.25">
      <c r="A1285">
        <v>1308</v>
      </c>
      <c r="B1285" t="s">
        <v>391</v>
      </c>
      <c r="C1285" t="s">
        <v>65</v>
      </c>
      <c r="D1285">
        <v>2020</v>
      </c>
      <c r="E1285">
        <v>13118</v>
      </c>
      <c r="F1285">
        <v>15000</v>
      </c>
      <c r="G1285">
        <v>120000</v>
      </c>
      <c r="H1285" t="s">
        <v>34</v>
      </c>
      <c r="J1285" t="s">
        <v>36</v>
      </c>
      <c r="K1285" t="s">
        <v>73</v>
      </c>
      <c r="M1285">
        <v>2</v>
      </c>
    </row>
    <row r="1286" spans="1:13" x14ac:dyDescent="0.25">
      <c r="A1286">
        <v>1156</v>
      </c>
      <c r="B1286" t="s">
        <v>1087</v>
      </c>
      <c r="C1286" t="s">
        <v>164</v>
      </c>
      <c r="E1286">
        <v>12228</v>
      </c>
      <c r="F1286">
        <v>18000</v>
      </c>
      <c r="G1286">
        <v>60000</v>
      </c>
      <c r="I1286" t="s">
        <v>59</v>
      </c>
      <c r="J1286" t="s">
        <v>96</v>
      </c>
      <c r="K1286" t="s">
        <v>37</v>
      </c>
      <c r="L1286" t="s">
        <v>55</v>
      </c>
      <c r="M1286">
        <v>2</v>
      </c>
    </row>
    <row r="1287" spans="1:13" x14ac:dyDescent="0.25">
      <c r="A1287">
        <v>1158</v>
      </c>
      <c r="B1287" t="s">
        <v>1147</v>
      </c>
      <c r="C1287" t="s">
        <v>47</v>
      </c>
      <c r="D1287">
        <v>2014</v>
      </c>
      <c r="E1287">
        <v>14391</v>
      </c>
      <c r="F1287">
        <v>18000</v>
      </c>
      <c r="G1287">
        <v>25000</v>
      </c>
      <c r="H1287" t="s">
        <v>41</v>
      </c>
      <c r="I1287" t="s">
        <v>42</v>
      </c>
      <c r="J1287" t="s">
        <v>66</v>
      </c>
      <c r="L1287" t="s">
        <v>45</v>
      </c>
      <c r="M1287">
        <v>3</v>
      </c>
    </row>
    <row r="1288" spans="1:13" x14ac:dyDescent="0.25">
      <c r="A1288">
        <v>1203</v>
      </c>
      <c r="B1288" t="s">
        <v>1148</v>
      </c>
      <c r="C1288" t="s">
        <v>94</v>
      </c>
      <c r="D1288">
        <v>2019</v>
      </c>
      <c r="E1288">
        <v>8242</v>
      </c>
      <c r="F1288">
        <v>12000</v>
      </c>
      <c r="G1288" t="s">
        <v>92</v>
      </c>
      <c r="H1288" t="s">
        <v>53</v>
      </c>
      <c r="I1288" t="s">
        <v>35</v>
      </c>
      <c r="J1288" t="s">
        <v>66</v>
      </c>
      <c r="K1288" t="s">
        <v>73</v>
      </c>
      <c r="L1288" t="s">
        <v>90</v>
      </c>
      <c r="M1288">
        <v>2</v>
      </c>
    </row>
    <row r="1289" spans="1:13" x14ac:dyDescent="0.25">
      <c r="A1289">
        <v>1235</v>
      </c>
      <c r="B1289" t="s">
        <v>1149</v>
      </c>
      <c r="C1289" t="s">
        <v>94</v>
      </c>
      <c r="E1289" t="s">
        <v>1150</v>
      </c>
      <c r="F1289">
        <v>9000</v>
      </c>
      <c r="G1289">
        <v>25000</v>
      </c>
      <c r="I1289" t="s">
        <v>35</v>
      </c>
      <c r="J1289" t="s">
        <v>36</v>
      </c>
      <c r="K1289" t="s">
        <v>48</v>
      </c>
      <c r="L1289" t="s">
        <v>55</v>
      </c>
      <c r="M1289">
        <v>2</v>
      </c>
    </row>
    <row r="1290" spans="1:13" x14ac:dyDescent="0.25">
      <c r="A1290">
        <v>1322</v>
      </c>
      <c r="B1290" t="s">
        <v>550</v>
      </c>
      <c r="C1290" t="s">
        <v>40</v>
      </c>
      <c r="D1290">
        <v>2021</v>
      </c>
      <c r="E1290">
        <v>21082</v>
      </c>
      <c r="F1290">
        <v>26000</v>
      </c>
      <c r="G1290" t="s">
        <v>33</v>
      </c>
      <c r="H1290" t="s">
        <v>63</v>
      </c>
      <c r="I1290" t="s">
        <v>42</v>
      </c>
      <c r="J1290" t="s">
        <v>36</v>
      </c>
      <c r="K1290" t="s">
        <v>37</v>
      </c>
      <c r="L1290" t="s">
        <v>90</v>
      </c>
      <c r="M1290">
        <v>1</v>
      </c>
    </row>
    <row r="1291" spans="1:13" x14ac:dyDescent="0.25">
      <c r="A1291">
        <v>1277</v>
      </c>
      <c r="B1291" t="s">
        <v>649</v>
      </c>
      <c r="C1291" t="s">
        <v>65</v>
      </c>
      <c r="D1291">
        <v>2021</v>
      </c>
      <c r="E1291">
        <v>10763</v>
      </c>
      <c r="F1291">
        <v>12000</v>
      </c>
      <c r="G1291" t="s">
        <v>33</v>
      </c>
      <c r="H1291" t="s">
        <v>58</v>
      </c>
      <c r="J1291" t="s">
        <v>96</v>
      </c>
      <c r="K1291" t="s">
        <v>116</v>
      </c>
      <c r="L1291" t="s">
        <v>49</v>
      </c>
    </row>
    <row r="1292" spans="1:13" x14ac:dyDescent="0.25">
      <c r="A1292">
        <v>1135</v>
      </c>
      <c r="B1292" t="s">
        <v>849</v>
      </c>
      <c r="C1292" t="s">
        <v>40</v>
      </c>
      <c r="D1292">
        <v>2015</v>
      </c>
      <c r="E1292">
        <v>28665</v>
      </c>
      <c r="F1292">
        <v>31000</v>
      </c>
      <c r="G1292" t="s">
        <v>108</v>
      </c>
      <c r="H1292" t="s">
        <v>34</v>
      </c>
      <c r="I1292" t="s">
        <v>72</v>
      </c>
      <c r="K1292" t="s">
        <v>116</v>
      </c>
      <c r="L1292" t="s">
        <v>49</v>
      </c>
      <c r="M1292">
        <v>3</v>
      </c>
    </row>
    <row r="1293" spans="1:13" x14ac:dyDescent="0.25">
      <c r="A1293">
        <v>1270</v>
      </c>
      <c r="B1293" t="s">
        <v>1090</v>
      </c>
      <c r="C1293" t="s">
        <v>133</v>
      </c>
      <c r="D1293">
        <v>2019</v>
      </c>
      <c r="E1293" t="s">
        <v>1151</v>
      </c>
      <c r="F1293">
        <v>18000</v>
      </c>
      <c r="G1293">
        <v>60000</v>
      </c>
      <c r="I1293" t="s">
        <v>42</v>
      </c>
      <c r="J1293" t="s">
        <v>43</v>
      </c>
      <c r="K1293" t="s">
        <v>100</v>
      </c>
      <c r="L1293" t="s">
        <v>109</v>
      </c>
    </row>
    <row r="1294" spans="1:13" x14ac:dyDescent="0.25">
      <c r="A1294">
        <v>1598</v>
      </c>
      <c r="B1294" t="s">
        <v>127</v>
      </c>
      <c r="C1294" t="s">
        <v>75</v>
      </c>
      <c r="D1294">
        <v>2016</v>
      </c>
      <c r="E1294">
        <v>6095</v>
      </c>
      <c r="F1294">
        <v>12000</v>
      </c>
      <c r="G1294">
        <v>40000</v>
      </c>
      <c r="H1294" t="s">
        <v>69</v>
      </c>
      <c r="I1294" t="s">
        <v>72</v>
      </c>
      <c r="K1294" t="s">
        <v>100</v>
      </c>
      <c r="L1294" t="s">
        <v>38</v>
      </c>
      <c r="M1294">
        <v>3</v>
      </c>
    </row>
    <row r="1295" spans="1:13" x14ac:dyDescent="0.25">
      <c r="A1295">
        <v>1190</v>
      </c>
      <c r="B1295" t="s">
        <v>710</v>
      </c>
      <c r="C1295" t="s">
        <v>119</v>
      </c>
      <c r="D1295" t="s">
        <v>52</v>
      </c>
      <c r="E1295" t="s">
        <v>1152</v>
      </c>
      <c r="F1295" t="s">
        <v>89</v>
      </c>
      <c r="G1295">
        <v>60000</v>
      </c>
      <c r="H1295" t="s">
        <v>84</v>
      </c>
      <c r="J1295" t="s">
        <v>43</v>
      </c>
      <c r="L1295" t="s">
        <v>126</v>
      </c>
      <c r="M1295">
        <v>1</v>
      </c>
    </row>
    <row r="1296" spans="1:13" x14ac:dyDescent="0.25">
      <c r="A1296">
        <v>1075</v>
      </c>
      <c r="B1296" t="s">
        <v>1087</v>
      </c>
      <c r="C1296" t="s">
        <v>79</v>
      </c>
      <c r="D1296">
        <v>2022</v>
      </c>
      <c r="E1296">
        <v>19969</v>
      </c>
      <c r="F1296" t="s">
        <v>83</v>
      </c>
      <c r="G1296">
        <v>120000</v>
      </c>
      <c r="H1296" t="s">
        <v>69</v>
      </c>
      <c r="I1296" t="s">
        <v>35</v>
      </c>
      <c r="J1296" t="s">
        <v>66</v>
      </c>
      <c r="K1296" t="s">
        <v>100</v>
      </c>
      <c r="L1296" t="s">
        <v>109</v>
      </c>
      <c r="M1296">
        <v>0</v>
      </c>
    </row>
    <row r="1297" spans="1:13" x14ac:dyDescent="0.25">
      <c r="A1297">
        <v>1505</v>
      </c>
      <c r="B1297" t="s">
        <v>1153</v>
      </c>
      <c r="C1297" t="s">
        <v>65</v>
      </c>
      <c r="D1297">
        <v>2019</v>
      </c>
      <c r="E1297" t="s">
        <v>1154</v>
      </c>
      <c r="F1297">
        <v>12000</v>
      </c>
      <c r="G1297">
        <v>80000</v>
      </c>
      <c r="H1297" t="s">
        <v>34</v>
      </c>
      <c r="I1297" t="s">
        <v>72</v>
      </c>
      <c r="J1297" t="s">
        <v>66</v>
      </c>
      <c r="K1297" t="s">
        <v>77</v>
      </c>
      <c r="M1297">
        <v>3</v>
      </c>
    </row>
    <row r="1298" spans="1:13" x14ac:dyDescent="0.25">
      <c r="A1298">
        <v>1147</v>
      </c>
      <c r="B1298" t="s">
        <v>1096</v>
      </c>
      <c r="C1298" t="s">
        <v>57</v>
      </c>
      <c r="D1298">
        <v>2016</v>
      </c>
      <c r="E1298" t="s">
        <v>1155</v>
      </c>
      <c r="F1298">
        <v>7000</v>
      </c>
      <c r="G1298">
        <v>40000</v>
      </c>
      <c r="H1298" t="s">
        <v>69</v>
      </c>
      <c r="J1298" t="s">
        <v>43</v>
      </c>
      <c r="K1298" t="s">
        <v>77</v>
      </c>
      <c r="L1298" t="s">
        <v>38</v>
      </c>
      <c r="M1298">
        <v>0</v>
      </c>
    </row>
    <row r="1299" spans="1:13" x14ac:dyDescent="0.25">
      <c r="A1299">
        <v>1018</v>
      </c>
      <c r="B1299" t="s">
        <v>1126</v>
      </c>
      <c r="C1299" t="s">
        <v>47</v>
      </c>
      <c r="D1299">
        <v>2017</v>
      </c>
      <c r="E1299">
        <v>14526</v>
      </c>
      <c r="F1299">
        <v>18000</v>
      </c>
      <c r="G1299">
        <v>40000</v>
      </c>
      <c r="H1299" t="s">
        <v>63</v>
      </c>
      <c r="I1299" t="s">
        <v>35</v>
      </c>
      <c r="J1299" t="s">
        <v>96</v>
      </c>
      <c r="K1299" t="s">
        <v>116</v>
      </c>
      <c r="L1299" t="s">
        <v>126</v>
      </c>
      <c r="M1299">
        <v>1</v>
      </c>
    </row>
    <row r="1300" spans="1:13" x14ac:dyDescent="0.25">
      <c r="A1300">
        <v>1073</v>
      </c>
      <c r="B1300" t="s">
        <v>1156</v>
      </c>
      <c r="C1300" t="s">
        <v>40</v>
      </c>
      <c r="D1300">
        <v>2019</v>
      </c>
      <c r="E1300">
        <v>19394</v>
      </c>
      <c r="F1300">
        <v>26000</v>
      </c>
      <c r="G1300" t="s">
        <v>121</v>
      </c>
      <c r="I1300" t="s">
        <v>59</v>
      </c>
      <c r="J1300" t="s">
        <v>96</v>
      </c>
      <c r="K1300" t="s">
        <v>100</v>
      </c>
      <c r="L1300" t="s">
        <v>98</v>
      </c>
      <c r="M1300">
        <v>3</v>
      </c>
    </row>
    <row r="1301" spans="1:13" x14ac:dyDescent="0.25">
      <c r="A1301">
        <v>1189</v>
      </c>
      <c r="B1301" t="s">
        <v>1157</v>
      </c>
      <c r="C1301" t="s">
        <v>47</v>
      </c>
      <c r="D1301">
        <v>2016</v>
      </c>
      <c r="E1301">
        <v>19090</v>
      </c>
      <c r="F1301">
        <v>22000</v>
      </c>
      <c r="G1301">
        <v>60000</v>
      </c>
      <c r="H1301" t="s">
        <v>58</v>
      </c>
      <c r="I1301" t="s">
        <v>42</v>
      </c>
      <c r="J1301" t="s">
        <v>96</v>
      </c>
      <c r="K1301" t="s">
        <v>100</v>
      </c>
      <c r="L1301" t="s">
        <v>126</v>
      </c>
      <c r="M1301">
        <v>3</v>
      </c>
    </row>
    <row r="1302" spans="1:13" x14ac:dyDescent="0.25">
      <c r="A1302">
        <v>1137</v>
      </c>
      <c r="B1302" t="s">
        <v>320</v>
      </c>
      <c r="C1302" t="s">
        <v>75</v>
      </c>
      <c r="D1302">
        <v>2020</v>
      </c>
      <c r="E1302" t="s">
        <v>1158</v>
      </c>
      <c r="F1302">
        <v>22000</v>
      </c>
      <c r="G1302">
        <v>80000</v>
      </c>
      <c r="H1302" t="s">
        <v>58</v>
      </c>
      <c r="I1302" t="s">
        <v>42</v>
      </c>
      <c r="K1302" t="s">
        <v>54</v>
      </c>
      <c r="L1302" t="s">
        <v>49</v>
      </c>
      <c r="M1302">
        <v>0</v>
      </c>
    </row>
    <row r="1303" spans="1:13" x14ac:dyDescent="0.25">
      <c r="A1303">
        <v>1323</v>
      </c>
      <c r="B1303" t="s">
        <v>883</v>
      </c>
      <c r="C1303" t="s">
        <v>61</v>
      </c>
      <c r="D1303">
        <v>2020</v>
      </c>
      <c r="E1303">
        <v>12758</v>
      </c>
      <c r="F1303">
        <v>15000</v>
      </c>
      <c r="G1303">
        <v>15000</v>
      </c>
      <c r="H1303" t="s">
        <v>34</v>
      </c>
      <c r="I1303" t="s">
        <v>42</v>
      </c>
      <c r="J1303" t="s">
        <v>43</v>
      </c>
      <c r="K1303" t="s">
        <v>100</v>
      </c>
      <c r="L1303" t="s">
        <v>98</v>
      </c>
      <c r="M1303">
        <v>1</v>
      </c>
    </row>
    <row r="1304" spans="1:13" x14ac:dyDescent="0.25">
      <c r="A1304">
        <v>1077</v>
      </c>
      <c r="B1304" t="s">
        <v>404</v>
      </c>
      <c r="C1304" t="s">
        <v>51</v>
      </c>
      <c r="D1304" t="s">
        <v>52</v>
      </c>
      <c r="E1304">
        <v>7466</v>
      </c>
      <c r="F1304">
        <v>12000</v>
      </c>
      <c r="G1304">
        <v>15000</v>
      </c>
      <c r="H1304" t="s">
        <v>63</v>
      </c>
      <c r="I1304" t="s">
        <v>35</v>
      </c>
      <c r="J1304" t="s">
        <v>66</v>
      </c>
      <c r="K1304" t="s">
        <v>77</v>
      </c>
      <c r="L1304" t="s">
        <v>49</v>
      </c>
      <c r="M1304">
        <v>1</v>
      </c>
    </row>
    <row r="1305" spans="1:13" x14ac:dyDescent="0.25">
      <c r="A1305">
        <v>1160</v>
      </c>
      <c r="B1305" t="s">
        <v>216</v>
      </c>
      <c r="C1305" t="s">
        <v>68</v>
      </c>
      <c r="D1305">
        <v>2014</v>
      </c>
      <c r="E1305" t="s">
        <v>1159</v>
      </c>
      <c r="F1305">
        <v>18000</v>
      </c>
      <c r="G1305" t="s">
        <v>121</v>
      </c>
      <c r="H1305" t="s">
        <v>58</v>
      </c>
      <c r="I1305" t="s">
        <v>35</v>
      </c>
      <c r="J1305" t="s">
        <v>66</v>
      </c>
      <c r="K1305" t="s">
        <v>37</v>
      </c>
      <c r="L1305" t="s">
        <v>109</v>
      </c>
      <c r="M1305">
        <v>2</v>
      </c>
    </row>
    <row r="1306" spans="1:13" x14ac:dyDescent="0.25">
      <c r="A1306">
        <v>1548</v>
      </c>
      <c r="B1306" t="s">
        <v>1160</v>
      </c>
      <c r="C1306" t="s">
        <v>32</v>
      </c>
      <c r="D1306">
        <v>2019</v>
      </c>
      <c r="E1306">
        <v>6549</v>
      </c>
      <c r="F1306">
        <v>12000</v>
      </c>
      <c r="G1306">
        <v>60000</v>
      </c>
      <c r="H1306" t="s">
        <v>84</v>
      </c>
      <c r="J1306" t="s">
        <v>36</v>
      </c>
      <c r="L1306" t="s">
        <v>109</v>
      </c>
      <c r="M1306">
        <v>2</v>
      </c>
    </row>
    <row r="1307" spans="1:13" x14ac:dyDescent="0.25">
      <c r="A1307">
        <v>1043</v>
      </c>
      <c r="B1307" t="s">
        <v>501</v>
      </c>
      <c r="C1307" t="s">
        <v>68</v>
      </c>
      <c r="D1307">
        <v>2020</v>
      </c>
      <c r="E1307">
        <v>15906</v>
      </c>
      <c r="F1307">
        <v>18000</v>
      </c>
      <c r="G1307">
        <v>40000</v>
      </c>
      <c r="I1307" t="s">
        <v>59</v>
      </c>
      <c r="K1307" t="s">
        <v>116</v>
      </c>
      <c r="L1307" t="s">
        <v>38</v>
      </c>
      <c r="M1307">
        <v>2</v>
      </c>
    </row>
    <row r="1308" spans="1:13" x14ac:dyDescent="0.25">
      <c r="A1308">
        <v>1121</v>
      </c>
      <c r="B1308" t="s">
        <v>337</v>
      </c>
      <c r="C1308" t="s">
        <v>61</v>
      </c>
      <c r="D1308">
        <v>2020</v>
      </c>
      <c r="E1308">
        <v>21729</v>
      </c>
      <c r="F1308">
        <v>26000</v>
      </c>
      <c r="G1308" t="s">
        <v>130</v>
      </c>
      <c r="H1308" t="s">
        <v>58</v>
      </c>
      <c r="I1308" t="s">
        <v>35</v>
      </c>
      <c r="K1308" t="s">
        <v>100</v>
      </c>
      <c r="L1308" t="s">
        <v>98</v>
      </c>
      <c r="M1308">
        <v>1</v>
      </c>
    </row>
    <row r="1309" spans="1:13" x14ac:dyDescent="0.25">
      <c r="A1309">
        <v>1065</v>
      </c>
      <c r="B1309" t="s">
        <v>295</v>
      </c>
      <c r="C1309" t="s">
        <v>57</v>
      </c>
      <c r="D1309">
        <v>2015</v>
      </c>
      <c r="E1309" t="s">
        <v>1161</v>
      </c>
      <c r="F1309">
        <v>15000</v>
      </c>
      <c r="G1309">
        <v>25000</v>
      </c>
      <c r="H1309" t="s">
        <v>53</v>
      </c>
      <c r="I1309" t="s">
        <v>35</v>
      </c>
      <c r="J1309" t="s">
        <v>96</v>
      </c>
      <c r="K1309" t="s">
        <v>116</v>
      </c>
    </row>
    <row r="1310" spans="1:13" x14ac:dyDescent="0.25">
      <c r="A1310">
        <v>1416</v>
      </c>
      <c r="B1310" t="s">
        <v>981</v>
      </c>
      <c r="C1310" t="s">
        <v>32</v>
      </c>
      <c r="D1310">
        <v>2015</v>
      </c>
      <c r="E1310">
        <v>26343</v>
      </c>
      <c r="F1310">
        <v>31000</v>
      </c>
      <c r="G1310">
        <v>80000</v>
      </c>
      <c r="H1310" t="s">
        <v>84</v>
      </c>
      <c r="I1310" t="s">
        <v>42</v>
      </c>
      <c r="K1310" t="s">
        <v>77</v>
      </c>
      <c r="L1310" t="s">
        <v>49</v>
      </c>
    </row>
    <row r="1311" spans="1:13" x14ac:dyDescent="0.25">
      <c r="A1311">
        <v>1021</v>
      </c>
      <c r="B1311" t="s">
        <v>1162</v>
      </c>
      <c r="C1311" t="s">
        <v>40</v>
      </c>
      <c r="D1311">
        <v>2014</v>
      </c>
      <c r="E1311">
        <v>10541</v>
      </c>
      <c r="F1311">
        <v>15000</v>
      </c>
      <c r="G1311">
        <v>60000</v>
      </c>
      <c r="H1311" t="s">
        <v>41</v>
      </c>
      <c r="I1311" t="s">
        <v>35</v>
      </c>
      <c r="J1311" t="s">
        <v>96</v>
      </c>
      <c r="K1311" t="s">
        <v>77</v>
      </c>
      <c r="L1311" t="s">
        <v>90</v>
      </c>
    </row>
    <row r="1312" spans="1:13" x14ac:dyDescent="0.25">
      <c r="A1312">
        <v>1329</v>
      </c>
      <c r="B1312" t="s">
        <v>885</v>
      </c>
      <c r="C1312" t="s">
        <v>61</v>
      </c>
      <c r="D1312">
        <v>2017</v>
      </c>
      <c r="E1312">
        <v>24211</v>
      </c>
      <c r="F1312">
        <v>26000</v>
      </c>
      <c r="G1312" t="s">
        <v>33</v>
      </c>
      <c r="H1312" t="s">
        <v>53</v>
      </c>
      <c r="J1312" t="s">
        <v>66</v>
      </c>
      <c r="L1312" t="s">
        <v>126</v>
      </c>
      <c r="M1312">
        <v>2</v>
      </c>
    </row>
    <row r="1313" spans="1:13" x14ac:dyDescent="0.25">
      <c r="A1313">
        <v>1061</v>
      </c>
      <c r="B1313" t="s">
        <v>1163</v>
      </c>
      <c r="C1313" t="s">
        <v>57</v>
      </c>
      <c r="D1313">
        <v>2020</v>
      </c>
      <c r="E1313">
        <v>6376</v>
      </c>
      <c r="F1313">
        <v>12000</v>
      </c>
      <c r="G1313">
        <v>120000</v>
      </c>
      <c r="I1313" t="s">
        <v>59</v>
      </c>
      <c r="J1313" t="s">
        <v>66</v>
      </c>
      <c r="K1313" t="s">
        <v>77</v>
      </c>
      <c r="L1313" t="s">
        <v>90</v>
      </c>
    </row>
    <row r="1314" spans="1:13" x14ac:dyDescent="0.25">
      <c r="A1314">
        <v>1495</v>
      </c>
      <c r="B1314" t="s">
        <v>1164</v>
      </c>
      <c r="C1314" t="s">
        <v>47</v>
      </c>
      <c r="D1314">
        <v>2022</v>
      </c>
      <c r="E1314">
        <v>23331</v>
      </c>
      <c r="F1314">
        <v>26000</v>
      </c>
      <c r="G1314">
        <v>120000</v>
      </c>
      <c r="H1314" t="s">
        <v>84</v>
      </c>
      <c r="J1314" t="s">
        <v>43</v>
      </c>
      <c r="K1314" t="s">
        <v>100</v>
      </c>
      <c r="L1314" t="s">
        <v>98</v>
      </c>
      <c r="M1314">
        <v>3</v>
      </c>
    </row>
    <row r="1315" spans="1:13" x14ac:dyDescent="0.25">
      <c r="A1315">
        <v>1000</v>
      </c>
      <c r="B1315" t="s">
        <v>977</v>
      </c>
      <c r="C1315" t="s">
        <v>32</v>
      </c>
      <c r="D1315">
        <v>2017</v>
      </c>
      <c r="E1315">
        <v>22504</v>
      </c>
      <c r="F1315">
        <v>26000</v>
      </c>
      <c r="G1315">
        <v>80000</v>
      </c>
      <c r="H1315" t="s">
        <v>58</v>
      </c>
      <c r="I1315" t="s">
        <v>42</v>
      </c>
      <c r="J1315" t="s">
        <v>66</v>
      </c>
      <c r="K1315" t="s">
        <v>100</v>
      </c>
      <c r="L1315" t="s">
        <v>49</v>
      </c>
    </row>
    <row r="1316" spans="1:13" x14ac:dyDescent="0.25">
      <c r="A1316">
        <v>1541</v>
      </c>
      <c r="B1316" t="s">
        <v>376</v>
      </c>
      <c r="C1316" t="s">
        <v>119</v>
      </c>
      <c r="D1316">
        <v>2019</v>
      </c>
      <c r="E1316">
        <v>6085</v>
      </c>
      <c r="F1316">
        <v>12000</v>
      </c>
      <c r="G1316">
        <v>60000</v>
      </c>
      <c r="H1316" t="s">
        <v>41</v>
      </c>
      <c r="I1316" t="s">
        <v>59</v>
      </c>
      <c r="J1316" t="s">
        <v>43</v>
      </c>
      <c r="K1316" t="s">
        <v>116</v>
      </c>
      <c r="L1316" t="s">
        <v>98</v>
      </c>
      <c r="M1316">
        <v>0</v>
      </c>
    </row>
    <row r="1317" spans="1:13" x14ac:dyDescent="0.25">
      <c r="A1317">
        <v>1551</v>
      </c>
      <c r="B1317" t="s">
        <v>1165</v>
      </c>
      <c r="C1317" t="s">
        <v>68</v>
      </c>
      <c r="D1317">
        <v>2020</v>
      </c>
      <c r="E1317">
        <v>19632</v>
      </c>
      <c r="F1317">
        <v>22000</v>
      </c>
      <c r="G1317">
        <v>80000</v>
      </c>
      <c r="H1317" t="s">
        <v>53</v>
      </c>
      <c r="I1317" t="s">
        <v>35</v>
      </c>
      <c r="K1317" t="s">
        <v>100</v>
      </c>
      <c r="L1317" t="s">
        <v>55</v>
      </c>
    </row>
    <row r="1318" spans="1:13" x14ac:dyDescent="0.25">
      <c r="A1318">
        <v>1360</v>
      </c>
      <c r="B1318" t="s">
        <v>431</v>
      </c>
      <c r="C1318" t="s">
        <v>138</v>
      </c>
      <c r="D1318">
        <v>2020</v>
      </c>
      <c r="E1318">
        <v>3879</v>
      </c>
      <c r="F1318">
        <v>9000</v>
      </c>
      <c r="G1318">
        <v>60000</v>
      </c>
      <c r="H1318" t="s">
        <v>53</v>
      </c>
      <c r="J1318" t="s">
        <v>96</v>
      </c>
      <c r="K1318" t="s">
        <v>44</v>
      </c>
      <c r="L1318" t="s">
        <v>55</v>
      </c>
      <c r="M1318">
        <v>1</v>
      </c>
    </row>
    <row r="1319" spans="1:13" x14ac:dyDescent="0.25">
      <c r="A1319">
        <v>1546</v>
      </c>
      <c r="B1319" t="s">
        <v>1053</v>
      </c>
      <c r="C1319" t="s">
        <v>40</v>
      </c>
      <c r="D1319">
        <v>2016</v>
      </c>
      <c r="E1319">
        <v>21981</v>
      </c>
      <c r="F1319">
        <v>26000</v>
      </c>
      <c r="G1319">
        <v>60000</v>
      </c>
      <c r="H1319" t="s">
        <v>84</v>
      </c>
      <c r="I1319" t="s">
        <v>42</v>
      </c>
      <c r="J1319" t="s">
        <v>96</v>
      </c>
      <c r="K1319" t="s">
        <v>116</v>
      </c>
      <c r="L1319" t="s">
        <v>38</v>
      </c>
      <c r="M1319">
        <v>2</v>
      </c>
    </row>
    <row r="1320" spans="1:13" x14ac:dyDescent="0.25">
      <c r="A1320">
        <v>1445</v>
      </c>
      <c r="B1320" t="s">
        <v>555</v>
      </c>
      <c r="C1320" t="s">
        <v>57</v>
      </c>
      <c r="D1320">
        <v>2019</v>
      </c>
      <c r="E1320">
        <v>16066</v>
      </c>
      <c r="F1320" t="s">
        <v>115</v>
      </c>
      <c r="G1320">
        <v>25000</v>
      </c>
      <c r="H1320" t="s">
        <v>69</v>
      </c>
      <c r="I1320" t="s">
        <v>42</v>
      </c>
      <c r="K1320" t="s">
        <v>73</v>
      </c>
      <c r="L1320" t="s">
        <v>55</v>
      </c>
      <c r="M1320">
        <v>2</v>
      </c>
    </row>
    <row r="1321" spans="1:13" x14ac:dyDescent="0.25">
      <c r="A1321">
        <v>1064</v>
      </c>
      <c r="B1321" t="s">
        <v>1166</v>
      </c>
      <c r="C1321" t="s">
        <v>133</v>
      </c>
      <c r="D1321">
        <v>2016</v>
      </c>
      <c r="E1321">
        <v>20165</v>
      </c>
      <c r="F1321">
        <v>26000</v>
      </c>
      <c r="G1321">
        <v>60000</v>
      </c>
      <c r="H1321" t="s">
        <v>41</v>
      </c>
      <c r="J1321" t="s">
        <v>36</v>
      </c>
      <c r="L1321" t="s">
        <v>55</v>
      </c>
      <c r="M1321">
        <v>2</v>
      </c>
    </row>
    <row r="1322" spans="1:13" x14ac:dyDescent="0.25">
      <c r="A1322">
        <v>1291</v>
      </c>
      <c r="B1322" t="s">
        <v>1031</v>
      </c>
      <c r="C1322" t="s">
        <v>133</v>
      </c>
      <c r="D1322">
        <v>2018</v>
      </c>
      <c r="E1322">
        <v>15939</v>
      </c>
      <c r="F1322" t="s">
        <v>115</v>
      </c>
      <c r="G1322">
        <v>120000</v>
      </c>
      <c r="H1322" t="s">
        <v>69</v>
      </c>
      <c r="I1322" t="s">
        <v>35</v>
      </c>
      <c r="J1322" t="s">
        <v>43</v>
      </c>
      <c r="K1322" t="s">
        <v>116</v>
      </c>
      <c r="L1322" t="s">
        <v>38</v>
      </c>
      <c r="M1322">
        <v>2</v>
      </c>
    </row>
    <row r="1323" spans="1:13" x14ac:dyDescent="0.25">
      <c r="A1323">
        <v>1549</v>
      </c>
      <c r="B1323" t="s">
        <v>1167</v>
      </c>
      <c r="C1323" t="s">
        <v>138</v>
      </c>
      <c r="D1323">
        <v>2022</v>
      </c>
      <c r="E1323">
        <v>17735</v>
      </c>
      <c r="F1323" t="s">
        <v>115</v>
      </c>
      <c r="G1323">
        <v>25000</v>
      </c>
      <c r="H1323" t="s">
        <v>41</v>
      </c>
      <c r="I1323" t="s">
        <v>72</v>
      </c>
      <c r="J1323" t="s">
        <v>96</v>
      </c>
      <c r="K1323" t="s">
        <v>44</v>
      </c>
      <c r="L1323" t="s">
        <v>126</v>
      </c>
    </row>
    <row r="1324" spans="1:13" x14ac:dyDescent="0.25">
      <c r="A1324">
        <v>1121</v>
      </c>
      <c r="B1324" t="s">
        <v>1101</v>
      </c>
      <c r="C1324" t="s">
        <v>57</v>
      </c>
      <c r="D1324" t="s">
        <v>52</v>
      </c>
      <c r="E1324">
        <v>22324</v>
      </c>
      <c r="F1324">
        <v>26000</v>
      </c>
      <c r="G1324" t="s">
        <v>76</v>
      </c>
      <c r="H1324" t="s">
        <v>58</v>
      </c>
      <c r="I1324" t="s">
        <v>59</v>
      </c>
      <c r="J1324" t="s">
        <v>36</v>
      </c>
      <c r="K1324" t="s">
        <v>48</v>
      </c>
      <c r="L1324" t="s">
        <v>98</v>
      </c>
      <c r="M1324">
        <v>2</v>
      </c>
    </row>
    <row r="1325" spans="1:13" x14ac:dyDescent="0.25">
      <c r="A1325">
        <v>1367</v>
      </c>
      <c r="B1325" t="s">
        <v>933</v>
      </c>
      <c r="C1325" t="s">
        <v>68</v>
      </c>
      <c r="D1325">
        <v>2014</v>
      </c>
      <c r="E1325">
        <v>6621</v>
      </c>
      <c r="F1325">
        <v>12000</v>
      </c>
      <c r="G1325" t="s">
        <v>130</v>
      </c>
      <c r="H1325" t="s">
        <v>53</v>
      </c>
      <c r="I1325" t="s">
        <v>35</v>
      </c>
      <c r="J1325" t="s">
        <v>96</v>
      </c>
      <c r="K1325" t="s">
        <v>116</v>
      </c>
      <c r="L1325" t="s">
        <v>45</v>
      </c>
    </row>
    <row r="1326" spans="1:13" x14ac:dyDescent="0.25">
      <c r="A1326">
        <v>1355</v>
      </c>
      <c r="B1326" t="s">
        <v>331</v>
      </c>
      <c r="C1326" t="s">
        <v>119</v>
      </c>
      <c r="E1326">
        <v>29132</v>
      </c>
      <c r="F1326">
        <v>31000</v>
      </c>
      <c r="G1326" t="s">
        <v>130</v>
      </c>
      <c r="I1326" t="s">
        <v>72</v>
      </c>
      <c r="J1326" t="s">
        <v>36</v>
      </c>
      <c r="K1326" t="s">
        <v>73</v>
      </c>
      <c r="L1326" t="s">
        <v>126</v>
      </c>
      <c r="M1326">
        <v>1</v>
      </c>
    </row>
    <row r="1327" spans="1:13" x14ac:dyDescent="0.25">
      <c r="A1327">
        <v>1104</v>
      </c>
      <c r="B1327" t="s">
        <v>1009</v>
      </c>
      <c r="C1327" t="s">
        <v>68</v>
      </c>
      <c r="D1327" t="s">
        <v>52</v>
      </c>
      <c r="E1327">
        <v>17803</v>
      </c>
      <c r="F1327">
        <v>22000</v>
      </c>
      <c r="G1327">
        <v>120000</v>
      </c>
      <c r="H1327" t="s">
        <v>53</v>
      </c>
      <c r="I1327" t="s">
        <v>35</v>
      </c>
      <c r="J1327" t="s">
        <v>96</v>
      </c>
      <c r="K1327" t="s">
        <v>48</v>
      </c>
      <c r="L1327" t="s">
        <v>45</v>
      </c>
      <c r="M1327">
        <v>0</v>
      </c>
    </row>
    <row r="1328" spans="1:13" x14ac:dyDescent="0.25">
      <c r="A1328">
        <v>1442</v>
      </c>
      <c r="B1328" t="s">
        <v>347</v>
      </c>
      <c r="C1328" t="s">
        <v>65</v>
      </c>
      <c r="E1328">
        <v>9566</v>
      </c>
      <c r="F1328" t="s">
        <v>89</v>
      </c>
      <c r="G1328">
        <v>60000</v>
      </c>
      <c r="H1328" t="s">
        <v>41</v>
      </c>
      <c r="I1328" t="s">
        <v>35</v>
      </c>
      <c r="K1328" t="s">
        <v>116</v>
      </c>
      <c r="L1328" t="s">
        <v>90</v>
      </c>
      <c r="M1328">
        <v>3</v>
      </c>
    </row>
    <row r="1329" spans="1:13" x14ac:dyDescent="0.25">
      <c r="A1329">
        <v>1381</v>
      </c>
      <c r="B1329" t="s">
        <v>464</v>
      </c>
      <c r="C1329" t="s">
        <v>68</v>
      </c>
      <c r="D1329">
        <v>2014</v>
      </c>
      <c r="E1329">
        <v>6329</v>
      </c>
      <c r="F1329" t="s">
        <v>81</v>
      </c>
      <c r="G1329" t="s">
        <v>108</v>
      </c>
      <c r="H1329" t="s">
        <v>69</v>
      </c>
      <c r="I1329" t="s">
        <v>72</v>
      </c>
      <c r="J1329" t="s">
        <v>96</v>
      </c>
      <c r="K1329" t="s">
        <v>100</v>
      </c>
      <c r="L1329" t="s">
        <v>126</v>
      </c>
      <c r="M1329">
        <v>3</v>
      </c>
    </row>
    <row r="1330" spans="1:13" x14ac:dyDescent="0.25">
      <c r="A1330">
        <v>1383</v>
      </c>
      <c r="B1330" t="s">
        <v>909</v>
      </c>
      <c r="C1330" t="s">
        <v>133</v>
      </c>
      <c r="D1330">
        <v>2018</v>
      </c>
      <c r="E1330" t="s">
        <v>1168</v>
      </c>
      <c r="F1330">
        <v>22000</v>
      </c>
      <c r="G1330">
        <v>60000</v>
      </c>
      <c r="H1330" t="s">
        <v>58</v>
      </c>
      <c r="I1330" t="s">
        <v>35</v>
      </c>
      <c r="J1330" t="s">
        <v>96</v>
      </c>
      <c r="K1330" t="s">
        <v>44</v>
      </c>
      <c r="L1330" t="s">
        <v>98</v>
      </c>
      <c r="M1330">
        <v>3</v>
      </c>
    </row>
    <row r="1331" spans="1:13" x14ac:dyDescent="0.25">
      <c r="A1331">
        <v>1127</v>
      </c>
      <c r="B1331" t="s">
        <v>1169</v>
      </c>
      <c r="C1331" t="s">
        <v>164</v>
      </c>
      <c r="D1331">
        <v>2019</v>
      </c>
      <c r="E1331">
        <v>23491</v>
      </c>
      <c r="F1331">
        <v>26000</v>
      </c>
      <c r="G1331" t="s">
        <v>33</v>
      </c>
      <c r="H1331" t="s">
        <v>69</v>
      </c>
      <c r="I1331" t="s">
        <v>59</v>
      </c>
      <c r="J1331" t="s">
        <v>36</v>
      </c>
      <c r="K1331" t="s">
        <v>54</v>
      </c>
      <c r="L1331" t="s">
        <v>55</v>
      </c>
      <c r="M1331">
        <v>2</v>
      </c>
    </row>
    <row r="1332" spans="1:13" x14ac:dyDescent="0.25">
      <c r="A1332">
        <v>1381</v>
      </c>
      <c r="B1332" t="s">
        <v>1121</v>
      </c>
      <c r="C1332" t="s">
        <v>133</v>
      </c>
      <c r="D1332">
        <v>2020</v>
      </c>
      <c r="E1332">
        <v>14637</v>
      </c>
      <c r="F1332">
        <v>18000</v>
      </c>
      <c r="G1332">
        <v>80000</v>
      </c>
      <c r="H1332" t="s">
        <v>84</v>
      </c>
      <c r="I1332" t="s">
        <v>42</v>
      </c>
      <c r="K1332" t="s">
        <v>77</v>
      </c>
      <c r="L1332" t="s">
        <v>109</v>
      </c>
      <c r="M1332">
        <v>0</v>
      </c>
    </row>
    <row r="1333" spans="1:13" x14ac:dyDescent="0.25">
      <c r="A1333">
        <v>1223</v>
      </c>
      <c r="B1333" t="s">
        <v>1170</v>
      </c>
      <c r="C1333" t="s">
        <v>133</v>
      </c>
      <c r="D1333">
        <v>2015</v>
      </c>
      <c r="E1333" t="s">
        <v>1171</v>
      </c>
      <c r="F1333">
        <v>12000</v>
      </c>
      <c r="G1333">
        <v>40000</v>
      </c>
      <c r="H1333" t="s">
        <v>41</v>
      </c>
      <c r="I1333" t="s">
        <v>35</v>
      </c>
      <c r="J1333" t="s">
        <v>66</v>
      </c>
      <c r="K1333" t="s">
        <v>48</v>
      </c>
      <c r="L1333" t="s">
        <v>90</v>
      </c>
      <c r="M1333">
        <v>1</v>
      </c>
    </row>
    <row r="1334" spans="1:13" x14ac:dyDescent="0.25">
      <c r="A1334">
        <v>1474</v>
      </c>
      <c r="B1334" t="s">
        <v>185</v>
      </c>
      <c r="C1334" t="s">
        <v>75</v>
      </c>
      <c r="D1334">
        <v>2015</v>
      </c>
      <c r="E1334">
        <v>24757</v>
      </c>
      <c r="F1334">
        <v>31000</v>
      </c>
      <c r="G1334">
        <v>25000</v>
      </c>
      <c r="H1334" t="s">
        <v>53</v>
      </c>
      <c r="J1334" t="s">
        <v>96</v>
      </c>
      <c r="L1334" t="s">
        <v>109</v>
      </c>
      <c r="M1334">
        <v>2</v>
      </c>
    </row>
    <row r="1335" spans="1:13" x14ac:dyDescent="0.25">
      <c r="A1335">
        <v>1174</v>
      </c>
      <c r="B1335" t="s">
        <v>295</v>
      </c>
      <c r="C1335" t="s">
        <v>61</v>
      </c>
      <c r="D1335">
        <v>2016</v>
      </c>
      <c r="E1335">
        <v>5523</v>
      </c>
      <c r="F1335">
        <v>12000</v>
      </c>
      <c r="G1335">
        <v>80000</v>
      </c>
      <c r="H1335" t="s">
        <v>63</v>
      </c>
      <c r="I1335" t="s">
        <v>35</v>
      </c>
      <c r="J1335" t="s">
        <v>43</v>
      </c>
      <c r="K1335" t="s">
        <v>37</v>
      </c>
      <c r="M1335">
        <v>2</v>
      </c>
    </row>
    <row r="1336" spans="1:13" x14ac:dyDescent="0.25">
      <c r="A1336">
        <v>1344</v>
      </c>
      <c r="B1336" t="s">
        <v>303</v>
      </c>
      <c r="C1336" t="s">
        <v>133</v>
      </c>
      <c r="D1336">
        <v>2019</v>
      </c>
      <c r="E1336">
        <v>7455</v>
      </c>
      <c r="F1336">
        <v>9000</v>
      </c>
      <c r="G1336">
        <v>60000</v>
      </c>
      <c r="H1336" t="s">
        <v>63</v>
      </c>
      <c r="I1336" t="s">
        <v>72</v>
      </c>
      <c r="K1336" t="s">
        <v>37</v>
      </c>
      <c r="L1336" t="s">
        <v>45</v>
      </c>
      <c r="M1336">
        <v>3</v>
      </c>
    </row>
    <row r="1337" spans="1:13" x14ac:dyDescent="0.25">
      <c r="A1337">
        <v>1219</v>
      </c>
      <c r="B1337" t="s">
        <v>283</v>
      </c>
      <c r="C1337" t="s">
        <v>138</v>
      </c>
      <c r="D1337">
        <v>2018</v>
      </c>
      <c r="E1337">
        <v>15114</v>
      </c>
      <c r="F1337" t="s">
        <v>129</v>
      </c>
      <c r="G1337">
        <v>60000</v>
      </c>
      <c r="H1337" t="s">
        <v>69</v>
      </c>
      <c r="I1337" t="s">
        <v>35</v>
      </c>
      <c r="J1337" t="s">
        <v>43</v>
      </c>
      <c r="K1337" t="s">
        <v>37</v>
      </c>
      <c r="L1337" t="s">
        <v>109</v>
      </c>
    </row>
    <row r="1338" spans="1:13" x14ac:dyDescent="0.25">
      <c r="A1338">
        <v>1208</v>
      </c>
      <c r="B1338" t="s">
        <v>1172</v>
      </c>
      <c r="C1338" t="s">
        <v>51</v>
      </c>
      <c r="E1338" t="s">
        <v>1173</v>
      </c>
      <c r="F1338">
        <v>31000</v>
      </c>
      <c r="G1338">
        <v>25000</v>
      </c>
      <c r="H1338" t="s">
        <v>41</v>
      </c>
      <c r="I1338" t="s">
        <v>42</v>
      </c>
      <c r="J1338" t="s">
        <v>66</v>
      </c>
      <c r="K1338" t="s">
        <v>37</v>
      </c>
      <c r="M1338">
        <v>1</v>
      </c>
    </row>
    <row r="1339" spans="1:13" x14ac:dyDescent="0.25">
      <c r="A1339">
        <v>1533</v>
      </c>
      <c r="B1339" t="s">
        <v>826</v>
      </c>
      <c r="C1339" t="s">
        <v>103</v>
      </c>
      <c r="D1339">
        <v>2015</v>
      </c>
      <c r="E1339">
        <v>6354</v>
      </c>
      <c r="F1339">
        <v>9000</v>
      </c>
      <c r="G1339">
        <v>120000</v>
      </c>
      <c r="H1339" t="s">
        <v>41</v>
      </c>
      <c r="J1339" t="s">
        <v>43</v>
      </c>
      <c r="M1339">
        <v>1</v>
      </c>
    </row>
    <row r="1340" spans="1:13" x14ac:dyDescent="0.25">
      <c r="A1340">
        <v>1201</v>
      </c>
      <c r="B1340" t="s">
        <v>1174</v>
      </c>
      <c r="C1340" t="s">
        <v>75</v>
      </c>
      <c r="D1340">
        <v>2019</v>
      </c>
      <c r="E1340" t="s">
        <v>1175</v>
      </c>
      <c r="F1340">
        <v>12000</v>
      </c>
      <c r="G1340">
        <v>60000</v>
      </c>
      <c r="H1340" t="s">
        <v>63</v>
      </c>
      <c r="I1340" t="s">
        <v>35</v>
      </c>
      <c r="J1340" t="s">
        <v>96</v>
      </c>
      <c r="K1340" t="s">
        <v>100</v>
      </c>
      <c r="L1340" t="s">
        <v>49</v>
      </c>
      <c r="M1340">
        <v>3</v>
      </c>
    </row>
    <row r="1341" spans="1:13" x14ac:dyDescent="0.25">
      <c r="A1341">
        <v>1231</v>
      </c>
      <c r="B1341" t="s">
        <v>1176</v>
      </c>
      <c r="C1341" t="s">
        <v>51</v>
      </c>
      <c r="D1341">
        <v>2020</v>
      </c>
      <c r="E1341">
        <v>19258</v>
      </c>
      <c r="F1341">
        <v>22000</v>
      </c>
      <c r="G1341">
        <v>120000</v>
      </c>
      <c r="H1341" t="s">
        <v>84</v>
      </c>
      <c r="K1341" t="s">
        <v>37</v>
      </c>
      <c r="L1341" t="s">
        <v>109</v>
      </c>
      <c r="M1341">
        <v>3</v>
      </c>
    </row>
    <row r="1342" spans="1:13" x14ac:dyDescent="0.25">
      <c r="A1342">
        <v>1089</v>
      </c>
      <c r="B1342" t="s">
        <v>1177</v>
      </c>
      <c r="C1342" t="s">
        <v>133</v>
      </c>
      <c r="D1342">
        <v>2017</v>
      </c>
      <c r="E1342">
        <v>13875</v>
      </c>
      <c r="F1342">
        <v>18000</v>
      </c>
      <c r="G1342">
        <v>40000</v>
      </c>
      <c r="H1342" t="s">
        <v>58</v>
      </c>
      <c r="J1342" t="s">
        <v>43</v>
      </c>
      <c r="K1342" t="s">
        <v>37</v>
      </c>
      <c r="L1342" t="s">
        <v>45</v>
      </c>
      <c r="M1342">
        <v>1</v>
      </c>
    </row>
    <row r="1343" spans="1:13" x14ac:dyDescent="0.25">
      <c r="A1343">
        <v>1263</v>
      </c>
      <c r="B1343" t="s">
        <v>750</v>
      </c>
      <c r="C1343" t="s">
        <v>47</v>
      </c>
      <c r="D1343">
        <v>2020</v>
      </c>
      <c r="E1343">
        <v>6048</v>
      </c>
      <c r="F1343">
        <v>12000</v>
      </c>
      <c r="G1343">
        <v>80000</v>
      </c>
      <c r="H1343" t="s">
        <v>63</v>
      </c>
      <c r="I1343" t="s">
        <v>35</v>
      </c>
      <c r="K1343" t="s">
        <v>73</v>
      </c>
      <c r="L1343" t="s">
        <v>126</v>
      </c>
      <c r="M1343">
        <v>0</v>
      </c>
    </row>
    <row r="1344" spans="1:13" x14ac:dyDescent="0.25">
      <c r="A1344">
        <v>1017</v>
      </c>
      <c r="B1344" t="s">
        <v>1033</v>
      </c>
      <c r="C1344" t="s">
        <v>68</v>
      </c>
      <c r="D1344">
        <v>2022</v>
      </c>
      <c r="E1344">
        <v>19134</v>
      </c>
      <c r="F1344">
        <v>22000</v>
      </c>
      <c r="G1344">
        <v>60000</v>
      </c>
      <c r="H1344" t="s">
        <v>63</v>
      </c>
      <c r="I1344" t="s">
        <v>42</v>
      </c>
      <c r="J1344" t="s">
        <v>36</v>
      </c>
      <c r="K1344" t="s">
        <v>37</v>
      </c>
    </row>
    <row r="1345" spans="1:13" x14ac:dyDescent="0.25">
      <c r="A1345">
        <v>1399</v>
      </c>
      <c r="B1345" t="s">
        <v>492</v>
      </c>
      <c r="C1345" t="s">
        <v>103</v>
      </c>
      <c r="D1345" t="s">
        <v>52</v>
      </c>
      <c r="E1345">
        <v>15606</v>
      </c>
      <c r="F1345">
        <v>18000</v>
      </c>
      <c r="G1345">
        <v>40000</v>
      </c>
      <c r="H1345" t="s">
        <v>69</v>
      </c>
      <c r="K1345" t="s">
        <v>116</v>
      </c>
      <c r="L1345" t="s">
        <v>109</v>
      </c>
      <c r="M1345">
        <v>3</v>
      </c>
    </row>
    <row r="1346" spans="1:13" x14ac:dyDescent="0.25">
      <c r="A1346">
        <v>1356</v>
      </c>
      <c r="B1346" t="s">
        <v>1031</v>
      </c>
      <c r="C1346" t="s">
        <v>57</v>
      </c>
      <c r="D1346">
        <v>2022</v>
      </c>
      <c r="E1346">
        <v>18309</v>
      </c>
      <c r="F1346" t="s">
        <v>115</v>
      </c>
      <c r="G1346">
        <v>60000</v>
      </c>
      <c r="H1346" t="s">
        <v>84</v>
      </c>
      <c r="J1346" t="s">
        <v>36</v>
      </c>
      <c r="K1346" t="s">
        <v>100</v>
      </c>
      <c r="L1346" t="s">
        <v>90</v>
      </c>
      <c r="M1346">
        <v>0</v>
      </c>
    </row>
    <row r="1347" spans="1:13" x14ac:dyDescent="0.25">
      <c r="A1347">
        <v>1140</v>
      </c>
      <c r="B1347" t="s">
        <v>1178</v>
      </c>
      <c r="C1347" t="s">
        <v>138</v>
      </c>
      <c r="E1347">
        <v>25587</v>
      </c>
      <c r="F1347">
        <v>31000</v>
      </c>
      <c r="G1347">
        <v>120000</v>
      </c>
      <c r="I1347" t="s">
        <v>35</v>
      </c>
      <c r="J1347" t="s">
        <v>43</v>
      </c>
      <c r="K1347" t="s">
        <v>73</v>
      </c>
      <c r="L1347" t="s">
        <v>109</v>
      </c>
    </row>
    <row r="1348" spans="1:13" x14ac:dyDescent="0.25">
      <c r="A1348">
        <v>1435</v>
      </c>
      <c r="B1348" t="s">
        <v>1136</v>
      </c>
      <c r="C1348" t="s">
        <v>51</v>
      </c>
      <c r="D1348">
        <v>2018</v>
      </c>
      <c r="E1348">
        <v>18822</v>
      </c>
      <c r="F1348">
        <v>22000</v>
      </c>
      <c r="G1348">
        <v>15000</v>
      </c>
      <c r="H1348" t="s">
        <v>34</v>
      </c>
      <c r="J1348" t="s">
        <v>36</v>
      </c>
      <c r="K1348" t="s">
        <v>37</v>
      </c>
      <c r="L1348" t="s">
        <v>90</v>
      </c>
      <c r="M1348">
        <v>1</v>
      </c>
    </row>
    <row r="1349" spans="1:13" x14ac:dyDescent="0.25">
      <c r="A1349">
        <v>1083</v>
      </c>
      <c r="B1349" t="s">
        <v>187</v>
      </c>
      <c r="C1349" t="s">
        <v>40</v>
      </c>
      <c r="D1349">
        <v>2017</v>
      </c>
      <c r="E1349">
        <v>16607</v>
      </c>
      <c r="F1349">
        <v>22000</v>
      </c>
      <c r="G1349">
        <v>60000</v>
      </c>
      <c r="H1349" t="s">
        <v>84</v>
      </c>
      <c r="I1349" t="s">
        <v>72</v>
      </c>
      <c r="J1349" t="s">
        <v>96</v>
      </c>
      <c r="K1349" t="s">
        <v>73</v>
      </c>
      <c r="L1349" t="s">
        <v>126</v>
      </c>
    </row>
    <row r="1350" spans="1:13" x14ac:dyDescent="0.25">
      <c r="A1350">
        <v>1379</v>
      </c>
      <c r="B1350" t="s">
        <v>1179</v>
      </c>
      <c r="C1350" t="s">
        <v>57</v>
      </c>
      <c r="D1350">
        <v>2015</v>
      </c>
      <c r="E1350">
        <v>25273</v>
      </c>
      <c r="F1350">
        <v>31000</v>
      </c>
      <c r="G1350">
        <v>60000</v>
      </c>
      <c r="H1350" t="s">
        <v>34</v>
      </c>
      <c r="J1350" t="s">
        <v>66</v>
      </c>
      <c r="K1350" t="s">
        <v>77</v>
      </c>
      <c r="L1350" t="s">
        <v>109</v>
      </c>
      <c r="M1350">
        <v>0</v>
      </c>
    </row>
    <row r="1351" spans="1:13" x14ac:dyDescent="0.25">
      <c r="A1351">
        <v>1326</v>
      </c>
      <c r="B1351" t="s">
        <v>1092</v>
      </c>
      <c r="C1351" t="s">
        <v>61</v>
      </c>
      <c r="D1351">
        <v>2022</v>
      </c>
      <c r="E1351" t="s">
        <v>1180</v>
      </c>
      <c r="F1351">
        <v>7000</v>
      </c>
      <c r="G1351" t="s">
        <v>108</v>
      </c>
      <c r="H1351" t="s">
        <v>84</v>
      </c>
      <c r="I1351" t="s">
        <v>35</v>
      </c>
      <c r="K1351" t="s">
        <v>77</v>
      </c>
      <c r="L1351" t="s">
        <v>49</v>
      </c>
      <c r="M1351">
        <v>0</v>
      </c>
    </row>
    <row r="1352" spans="1:13" x14ac:dyDescent="0.25">
      <c r="A1352">
        <v>1137</v>
      </c>
      <c r="B1352" t="s">
        <v>150</v>
      </c>
      <c r="C1352" t="s">
        <v>119</v>
      </c>
      <c r="D1352">
        <v>2022</v>
      </c>
      <c r="E1352">
        <v>7115</v>
      </c>
      <c r="F1352">
        <v>12000</v>
      </c>
      <c r="G1352" t="s">
        <v>121</v>
      </c>
      <c r="H1352" t="s">
        <v>34</v>
      </c>
      <c r="I1352" t="s">
        <v>35</v>
      </c>
      <c r="K1352" t="s">
        <v>73</v>
      </c>
      <c r="M1352">
        <v>2</v>
      </c>
    </row>
    <row r="1353" spans="1:13" x14ac:dyDescent="0.25">
      <c r="A1353">
        <v>1062</v>
      </c>
      <c r="B1353" t="s">
        <v>1181</v>
      </c>
      <c r="C1353" t="s">
        <v>32</v>
      </c>
      <c r="D1353">
        <v>2022</v>
      </c>
      <c r="E1353">
        <v>5679</v>
      </c>
      <c r="F1353">
        <v>9000</v>
      </c>
      <c r="G1353">
        <v>15000</v>
      </c>
      <c r="H1353" t="s">
        <v>53</v>
      </c>
      <c r="I1353" t="s">
        <v>59</v>
      </c>
      <c r="J1353" t="s">
        <v>36</v>
      </c>
      <c r="K1353" t="s">
        <v>44</v>
      </c>
      <c r="M1353">
        <v>3</v>
      </c>
    </row>
    <row r="1354" spans="1:13" x14ac:dyDescent="0.25">
      <c r="A1354">
        <v>1222</v>
      </c>
      <c r="B1354" t="s">
        <v>235</v>
      </c>
      <c r="C1354" t="s">
        <v>47</v>
      </c>
      <c r="D1354">
        <v>2020</v>
      </c>
      <c r="E1354">
        <v>21397</v>
      </c>
      <c r="F1354">
        <v>26000</v>
      </c>
      <c r="G1354">
        <v>25000</v>
      </c>
      <c r="H1354" t="s">
        <v>53</v>
      </c>
      <c r="I1354" t="s">
        <v>42</v>
      </c>
      <c r="J1354" t="s">
        <v>96</v>
      </c>
      <c r="K1354" t="s">
        <v>77</v>
      </c>
      <c r="L1354" t="s">
        <v>126</v>
      </c>
      <c r="M1354">
        <v>0</v>
      </c>
    </row>
    <row r="1355" spans="1:13" x14ac:dyDescent="0.25">
      <c r="A1355">
        <v>1298</v>
      </c>
      <c r="B1355" t="s">
        <v>1182</v>
      </c>
      <c r="C1355" t="s">
        <v>61</v>
      </c>
      <c r="D1355">
        <v>2022</v>
      </c>
      <c r="E1355">
        <v>20260</v>
      </c>
      <c r="F1355">
        <v>22000</v>
      </c>
      <c r="G1355">
        <v>60000</v>
      </c>
      <c r="H1355" t="s">
        <v>34</v>
      </c>
      <c r="I1355" t="s">
        <v>59</v>
      </c>
      <c r="J1355" t="s">
        <v>66</v>
      </c>
      <c r="K1355" t="s">
        <v>116</v>
      </c>
      <c r="L1355" t="s">
        <v>90</v>
      </c>
      <c r="M1355">
        <v>2</v>
      </c>
    </row>
    <row r="1356" spans="1:13" x14ac:dyDescent="0.25">
      <c r="A1356">
        <v>1402</v>
      </c>
      <c r="B1356" t="s">
        <v>1183</v>
      </c>
      <c r="C1356" t="s">
        <v>79</v>
      </c>
      <c r="D1356">
        <v>2015</v>
      </c>
      <c r="E1356">
        <v>5623</v>
      </c>
      <c r="F1356">
        <v>9000</v>
      </c>
      <c r="G1356">
        <v>60000</v>
      </c>
      <c r="H1356" t="s">
        <v>53</v>
      </c>
      <c r="I1356" t="s">
        <v>59</v>
      </c>
      <c r="J1356" t="s">
        <v>43</v>
      </c>
      <c r="K1356" t="s">
        <v>100</v>
      </c>
      <c r="L1356" t="s">
        <v>55</v>
      </c>
      <c r="M1356">
        <v>0</v>
      </c>
    </row>
    <row r="1357" spans="1:13" x14ac:dyDescent="0.25">
      <c r="A1357">
        <v>1004</v>
      </c>
      <c r="B1357" t="s">
        <v>1162</v>
      </c>
      <c r="C1357" t="s">
        <v>57</v>
      </c>
      <c r="D1357">
        <v>2022</v>
      </c>
      <c r="E1357">
        <v>21902</v>
      </c>
      <c r="F1357">
        <v>26000</v>
      </c>
      <c r="G1357" t="s">
        <v>108</v>
      </c>
      <c r="H1357" t="s">
        <v>84</v>
      </c>
      <c r="I1357" t="s">
        <v>59</v>
      </c>
      <c r="J1357" t="s">
        <v>96</v>
      </c>
      <c r="K1357" t="s">
        <v>54</v>
      </c>
      <c r="L1357" t="s">
        <v>49</v>
      </c>
      <c r="M1357">
        <v>3</v>
      </c>
    </row>
    <row r="1358" spans="1:13" x14ac:dyDescent="0.25">
      <c r="A1358">
        <v>1331</v>
      </c>
      <c r="B1358" t="s">
        <v>899</v>
      </c>
      <c r="C1358" t="s">
        <v>75</v>
      </c>
      <c r="D1358">
        <v>2014</v>
      </c>
      <c r="E1358">
        <v>2294</v>
      </c>
      <c r="F1358">
        <v>9000</v>
      </c>
      <c r="G1358">
        <v>80000</v>
      </c>
      <c r="H1358" t="s">
        <v>69</v>
      </c>
      <c r="I1358" t="s">
        <v>59</v>
      </c>
      <c r="J1358" t="s">
        <v>96</v>
      </c>
      <c r="K1358" t="s">
        <v>73</v>
      </c>
      <c r="L1358" t="s">
        <v>109</v>
      </c>
      <c r="M1358">
        <v>0</v>
      </c>
    </row>
    <row r="1359" spans="1:13" x14ac:dyDescent="0.25">
      <c r="A1359">
        <v>1008</v>
      </c>
      <c r="B1359" t="s">
        <v>342</v>
      </c>
      <c r="C1359" t="s">
        <v>68</v>
      </c>
      <c r="D1359">
        <v>2017</v>
      </c>
      <c r="E1359">
        <v>1983</v>
      </c>
      <c r="F1359">
        <v>7000</v>
      </c>
      <c r="G1359" t="s">
        <v>33</v>
      </c>
      <c r="H1359" t="s">
        <v>58</v>
      </c>
      <c r="J1359" t="s">
        <v>36</v>
      </c>
      <c r="K1359" t="s">
        <v>54</v>
      </c>
      <c r="L1359" t="s">
        <v>45</v>
      </c>
      <c r="M1359">
        <v>2</v>
      </c>
    </row>
    <row r="1360" spans="1:13" x14ac:dyDescent="0.25">
      <c r="A1360">
        <v>1022</v>
      </c>
      <c r="B1360" t="s">
        <v>338</v>
      </c>
      <c r="C1360" t="s">
        <v>138</v>
      </c>
      <c r="D1360">
        <v>2015</v>
      </c>
      <c r="E1360">
        <v>11404</v>
      </c>
      <c r="F1360">
        <v>15000</v>
      </c>
      <c r="G1360" t="s">
        <v>121</v>
      </c>
      <c r="I1360" t="s">
        <v>59</v>
      </c>
      <c r="J1360" t="s">
        <v>96</v>
      </c>
      <c r="K1360" t="s">
        <v>73</v>
      </c>
      <c r="L1360" t="s">
        <v>90</v>
      </c>
      <c r="M1360">
        <v>1</v>
      </c>
    </row>
    <row r="1361" spans="1:13" x14ac:dyDescent="0.25">
      <c r="A1361">
        <v>1114</v>
      </c>
      <c r="B1361" t="s">
        <v>288</v>
      </c>
      <c r="C1361" t="s">
        <v>65</v>
      </c>
      <c r="E1361">
        <v>27380</v>
      </c>
      <c r="F1361">
        <v>31000</v>
      </c>
      <c r="G1361">
        <v>40000</v>
      </c>
      <c r="H1361" t="s">
        <v>63</v>
      </c>
      <c r="J1361" t="s">
        <v>43</v>
      </c>
      <c r="K1361" t="s">
        <v>100</v>
      </c>
      <c r="L1361" t="s">
        <v>55</v>
      </c>
      <c r="M1361">
        <v>0</v>
      </c>
    </row>
    <row r="1362" spans="1:13" x14ac:dyDescent="0.25">
      <c r="A1362">
        <v>1566</v>
      </c>
      <c r="B1362" t="s">
        <v>689</v>
      </c>
      <c r="C1362" t="s">
        <v>138</v>
      </c>
      <c r="D1362">
        <v>2018</v>
      </c>
      <c r="E1362">
        <v>8743</v>
      </c>
      <c r="F1362">
        <v>15000</v>
      </c>
      <c r="G1362">
        <v>15000</v>
      </c>
      <c r="H1362" t="s">
        <v>34</v>
      </c>
      <c r="I1362" t="s">
        <v>72</v>
      </c>
      <c r="J1362" t="s">
        <v>36</v>
      </c>
      <c r="K1362" t="s">
        <v>77</v>
      </c>
      <c r="L1362" t="s">
        <v>45</v>
      </c>
      <c r="M1362">
        <v>1</v>
      </c>
    </row>
    <row r="1363" spans="1:13" x14ac:dyDescent="0.25">
      <c r="A1363">
        <v>1453</v>
      </c>
      <c r="B1363" t="s">
        <v>1184</v>
      </c>
      <c r="C1363" t="s">
        <v>75</v>
      </c>
      <c r="D1363">
        <v>2022</v>
      </c>
      <c r="E1363">
        <v>25508</v>
      </c>
      <c r="F1363">
        <v>31000</v>
      </c>
      <c r="G1363">
        <v>25000</v>
      </c>
      <c r="H1363" t="s">
        <v>53</v>
      </c>
      <c r="I1363" t="s">
        <v>42</v>
      </c>
      <c r="J1363" t="s">
        <v>43</v>
      </c>
      <c r="K1363" t="s">
        <v>54</v>
      </c>
      <c r="L1363" t="s">
        <v>55</v>
      </c>
      <c r="M1363">
        <v>3</v>
      </c>
    </row>
    <row r="1364" spans="1:13" x14ac:dyDescent="0.25">
      <c r="A1364">
        <v>1012</v>
      </c>
      <c r="B1364" t="s">
        <v>1185</v>
      </c>
      <c r="C1364" t="s">
        <v>40</v>
      </c>
      <c r="D1364">
        <v>2018</v>
      </c>
      <c r="E1364">
        <v>2123</v>
      </c>
      <c r="F1364" t="s">
        <v>81</v>
      </c>
      <c r="G1364">
        <v>25000</v>
      </c>
      <c r="H1364" t="s">
        <v>53</v>
      </c>
      <c r="J1364" t="s">
        <v>43</v>
      </c>
      <c r="K1364" t="s">
        <v>73</v>
      </c>
      <c r="L1364" t="s">
        <v>90</v>
      </c>
    </row>
    <row r="1365" spans="1:13" x14ac:dyDescent="0.25">
      <c r="A1365">
        <v>1040</v>
      </c>
      <c r="B1365" t="s">
        <v>1186</v>
      </c>
      <c r="C1365" t="s">
        <v>164</v>
      </c>
      <c r="D1365">
        <v>2020</v>
      </c>
      <c r="E1365">
        <v>8834</v>
      </c>
      <c r="F1365" t="s">
        <v>204</v>
      </c>
      <c r="G1365">
        <v>40000</v>
      </c>
      <c r="H1365" t="s">
        <v>53</v>
      </c>
      <c r="I1365" t="s">
        <v>35</v>
      </c>
      <c r="K1365" t="s">
        <v>73</v>
      </c>
      <c r="L1365" t="s">
        <v>109</v>
      </c>
      <c r="M1365">
        <v>3</v>
      </c>
    </row>
    <row r="1366" spans="1:13" x14ac:dyDescent="0.25">
      <c r="A1366">
        <v>1020</v>
      </c>
      <c r="B1366" t="s">
        <v>1187</v>
      </c>
      <c r="C1366" t="s">
        <v>138</v>
      </c>
      <c r="D1366">
        <v>2016</v>
      </c>
      <c r="E1366" t="s">
        <v>1188</v>
      </c>
      <c r="F1366">
        <v>7000</v>
      </c>
      <c r="G1366">
        <v>40000</v>
      </c>
      <c r="H1366" t="s">
        <v>69</v>
      </c>
      <c r="I1366" t="s">
        <v>35</v>
      </c>
      <c r="K1366" t="s">
        <v>77</v>
      </c>
      <c r="L1366" t="s">
        <v>90</v>
      </c>
      <c r="M1366">
        <v>2</v>
      </c>
    </row>
    <row r="1367" spans="1:13" x14ac:dyDescent="0.25">
      <c r="A1367">
        <v>1316</v>
      </c>
      <c r="B1367" t="s">
        <v>703</v>
      </c>
      <c r="C1367" t="s">
        <v>79</v>
      </c>
      <c r="D1367">
        <v>2017</v>
      </c>
      <c r="E1367" t="s">
        <v>1189</v>
      </c>
      <c r="F1367">
        <v>9000</v>
      </c>
      <c r="G1367" t="s">
        <v>76</v>
      </c>
      <c r="H1367" t="s">
        <v>69</v>
      </c>
      <c r="J1367" t="s">
        <v>43</v>
      </c>
      <c r="K1367" t="s">
        <v>73</v>
      </c>
      <c r="M1367">
        <v>3</v>
      </c>
    </row>
    <row r="1368" spans="1:13" x14ac:dyDescent="0.25">
      <c r="A1368">
        <v>1187</v>
      </c>
      <c r="B1368" t="s">
        <v>1190</v>
      </c>
      <c r="C1368" t="s">
        <v>164</v>
      </c>
      <c r="D1368">
        <v>2020</v>
      </c>
      <c r="E1368" t="s">
        <v>1191</v>
      </c>
      <c r="F1368" t="s">
        <v>129</v>
      </c>
      <c r="G1368">
        <v>80000</v>
      </c>
      <c r="H1368" t="s">
        <v>69</v>
      </c>
      <c r="I1368" t="s">
        <v>42</v>
      </c>
      <c r="J1368" t="s">
        <v>66</v>
      </c>
      <c r="K1368" t="s">
        <v>54</v>
      </c>
      <c r="L1368" t="s">
        <v>126</v>
      </c>
      <c r="M1368">
        <v>2</v>
      </c>
    </row>
    <row r="1369" spans="1:13" x14ac:dyDescent="0.25">
      <c r="A1369">
        <v>1052</v>
      </c>
      <c r="B1369" t="s">
        <v>160</v>
      </c>
      <c r="C1369" t="s">
        <v>47</v>
      </c>
      <c r="D1369">
        <v>2016</v>
      </c>
      <c r="E1369" t="s">
        <v>1192</v>
      </c>
      <c r="F1369">
        <v>26000</v>
      </c>
      <c r="G1369">
        <v>15000</v>
      </c>
      <c r="H1369" t="s">
        <v>84</v>
      </c>
      <c r="I1369" t="s">
        <v>59</v>
      </c>
      <c r="J1369" t="s">
        <v>66</v>
      </c>
      <c r="K1369" t="s">
        <v>73</v>
      </c>
      <c r="L1369" t="s">
        <v>55</v>
      </c>
      <c r="M1369">
        <v>0</v>
      </c>
    </row>
    <row r="1370" spans="1:13" x14ac:dyDescent="0.25">
      <c r="A1370">
        <v>1057</v>
      </c>
      <c r="B1370" t="s">
        <v>1193</v>
      </c>
      <c r="C1370" t="s">
        <v>164</v>
      </c>
      <c r="D1370">
        <v>2022</v>
      </c>
      <c r="E1370">
        <v>19311</v>
      </c>
      <c r="F1370">
        <v>26000</v>
      </c>
      <c r="G1370" t="s">
        <v>92</v>
      </c>
      <c r="H1370" t="s">
        <v>63</v>
      </c>
      <c r="I1370" t="s">
        <v>42</v>
      </c>
      <c r="J1370" t="s">
        <v>43</v>
      </c>
      <c r="K1370" t="s">
        <v>48</v>
      </c>
      <c r="L1370" t="s">
        <v>90</v>
      </c>
      <c r="M1370">
        <v>0</v>
      </c>
    </row>
    <row r="1371" spans="1:13" x14ac:dyDescent="0.25">
      <c r="A1371">
        <v>1010</v>
      </c>
      <c r="B1371" t="s">
        <v>315</v>
      </c>
      <c r="C1371" t="s">
        <v>79</v>
      </c>
      <c r="D1371">
        <v>2017</v>
      </c>
      <c r="E1371">
        <v>20221</v>
      </c>
      <c r="F1371">
        <v>26000</v>
      </c>
      <c r="G1371">
        <v>80000</v>
      </c>
      <c r="H1371" t="s">
        <v>41</v>
      </c>
      <c r="I1371" t="s">
        <v>35</v>
      </c>
      <c r="J1371" t="s">
        <v>43</v>
      </c>
      <c r="K1371" t="s">
        <v>77</v>
      </c>
      <c r="L1371" t="s">
        <v>90</v>
      </c>
      <c r="M1371">
        <v>2</v>
      </c>
    </row>
    <row r="1372" spans="1:13" x14ac:dyDescent="0.25">
      <c r="A1372">
        <v>1091</v>
      </c>
      <c r="B1372" t="s">
        <v>899</v>
      </c>
      <c r="C1372" t="s">
        <v>40</v>
      </c>
      <c r="D1372">
        <v>2014</v>
      </c>
      <c r="E1372" t="s">
        <v>1194</v>
      </c>
      <c r="F1372">
        <v>31000</v>
      </c>
      <c r="G1372">
        <v>25000</v>
      </c>
      <c r="H1372" t="s">
        <v>58</v>
      </c>
      <c r="I1372" t="s">
        <v>42</v>
      </c>
      <c r="J1372" t="s">
        <v>36</v>
      </c>
      <c r="K1372" t="s">
        <v>37</v>
      </c>
      <c r="L1372" t="s">
        <v>38</v>
      </c>
    </row>
    <row r="1373" spans="1:13" x14ac:dyDescent="0.25">
      <c r="A1373">
        <v>1077</v>
      </c>
      <c r="B1373" t="s">
        <v>1140</v>
      </c>
      <c r="C1373" t="s">
        <v>94</v>
      </c>
      <c r="E1373">
        <v>1828</v>
      </c>
      <c r="F1373">
        <v>7000</v>
      </c>
      <c r="G1373" t="s">
        <v>108</v>
      </c>
      <c r="H1373" t="s">
        <v>41</v>
      </c>
      <c r="I1373" t="s">
        <v>72</v>
      </c>
      <c r="J1373" t="s">
        <v>96</v>
      </c>
      <c r="K1373" t="s">
        <v>54</v>
      </c>
      <c r="L1373" t="s">
        <v>98</v>
      </c>
      <c r="M1373">
        <v>0</v>
      </c>
    </row>
    <row r="1374" spans="1:13" x14ac:dyDescent="0.25">
      <c r="A1374">
        <v>1006</v>
      </c>
      <c r="B1374" t="s">
        <v>1060</v>
      </c>
      <c r="C1374" t="s">
        <v>133</v>
      </c>
      <c r="D1374">
        <v>2015</v>
      </c>
      <c r="E1374">
        <v>10440</v>
      </c>
      <c r="F1374">
        <v>12000</v>
      </c>
      <c r="G1374">
        <v>80000</v>
      </c>
      <c r="H1374" t="s">
        <v>58</v>
      </c>
      <c r="I1374" t="s">
        <v>42</v>
      </c>
      <c r="J1374" t="s">
        <v>96</v>
      </c>
      <c r="K1374" t="s">
        <v>54</v>
      </c>
      <c r="L1374" t="s">
        <v>90</v>
      </c>
      <c r="M1374">
        <v>1</v>
      </c>
    </row>
    <row r="1375" spans="1:13" x14ac:dyDescent="0.25">
      <c r="A1375">
        <v>1147</v>
      </c>
      <c r="B1375" t="s">
        <v>754</v>
      </c>
      <c r="C1375" t="s">
        <v>79</v>
      </c>
      <c r="D1375">
        <v>2016</v>
      </c>
      <c r="E1375">
        <v>4746</v>
      </c>
      <c r="F1375">
        <v>9000</v>
      </c>
      <c r="G1375">
        <v>120000</v>
      </c>
      <c r="H1375" t="s">
        <v>84</v>
      </c>
      <c r="I1375" t="s">
        <v>42</v>
      </c>
      <c r="J1375" t="s">
        <v>36</v>
      </c>
      <c r="K1375" t="s">
        <v>54</v>
      </c>
      <c r="L1375" t="s">
        <v>45</v>
      </c>
      <c r="M1375">
        <v>3</v>
      </c>
    </row>
    <row r="1376" spans="1:13" x14ac:dyDescent="0.25">
      <c r="A1376">
        <v>1187</v>
      </c>
      <c r="B1376" t="s">
        <v>1195</v>
      </c>
      <c r="C1376" t="s">
        <v>133</v>
      </c>
      <c r="D1376">
        <v>2016</v>
      </c>
      <c r="E1376">
        <v>24815</v>
      </c>
      <c r="F1376">
        <v>26000</v>
      </c>
      <c r="G1376">
        <v>80000</v>
      </c>
      <c r="H1376" t="s">
        <v>53</v>
      </c>
      <c r="I1376" t="s">
        <v>42</v>
      </c>
      <c r="J1376" t="s">
        <v>43</v>
      </c>
      <c r="K1376" t="s">
        <v>48</v>
      </c>
      <c r="L1376" t="s">
        <v>49</v>
      </c>
      <c r="M1376">
        <v>3</v>
      </c>
    </row>
    <row r="1377" spans="1:13" x14ac:dyDescent="0.25">
      <c r="A1377">
        <v>1353</v>
      </c>
      <c r="B1377" t="s">
        <v>1196</v>
      </c>
      <c r="C1377" t="s">
        <v>51</v>
      </c>
      <c r="D1377">
        <v>2022</v>
      </c>
      <c r="E1377">
        <v>4903</v>
      </c>
      <c r="F1377">
        <v>7000</v>
      </c>
      <c r="G1377">
        <v>120000</v>
      </c>
      <c r="H1377" t="s">
        <v>84</v>
      </c>
      <c r="I1377" t="s">
        <v>59</v>
      </c>
      <c r="J1377" t="s">
        <v>36</v>
      </c>
      <c r="K1377" t="s">
        <v>100</v>
      </c>
      <c r="L1377" t="s">
        <v>49</v>
      </c>
      <c r="M1377">
        <v>0</v>
      </c>
    </row>
    <row r="1378" spans="1:13" x14ac:dyDescent="0.25">
      <c r="A1378">
        <v>1414</v>
      </c>
      <c r="B1378" t="s">
        <v>173</v>
      </c>
      <c r="C1378" t="s">
        <v>32</v>
      </c>
      <c r="D1378">
        <v>2019</v>
      </c>
      <c r="E1378">
        <v>4479</v>
      </c>
      <c r="F1378">
        <v>9000</v>
      </c>
      <c r="G1378">
        <v>25000</v>
      </c>
      <c r="H1378" t="s">
        <v>34</v>
      </c>
      <c r="I1378" t="s">
        <v>72</v>
      </c>
      <c r="J1378" t="s">
        <v>43</v>
      </c>
      <c r="L1378" t="s">
        <v>98</v>
      </c>
    </row>
    <row r="1379" spans="1:13" x14ac:dyDescent="0.25">
      <c r="A1379">
        <v>1009</v>
      </c>
      <c r="B1379" t="s">
        <v>878</v>
      </c>
      <c r="C1379" t="s">
        <v>103</v>
      </c>
      <c r="D1379">
        <v>2016</v>
      </c>
      <c r="E1379">
        <v>10893</v>
      </c>
      <c r="F1379">
        <v>15000</v>
      </c>
      <c r="G1379">
        <v>60000</v>
      </c>
      <c r="H1379" t="s">
        <v>41</v>
      </c>
      <c r="J1379" t="s">
        <v>66</v>
      </c>
      <c r="K1379" t="s">
        <v>116</v>
      </c>
      <c r="M1379">
        <v>0</v>
      </c>
    </row>
    <row r="1380" spans="1:13" x14ac:dyDescent="0.25">
      <c r="A1380">
        <v>1133</v>
      </c>
      <c r="B1380" t="s">
        <v>213</v>
      </c>
      <c r="C1380" t="s">
        <v>32</v>
      </c>
      <c r="E1380" t="s">
        <v>1197</v>
      </c>
      <c r="F1380">
        <v>7000</v>
      </c>
      <c r="G1380" t="s">
        <v>92</v>
      </c>
      <c r="H1380" t="s">
        <v>53</v>
      </c>
      <c r="I1380" t="s">
        <v>59</v>
      </c>
      <c r="K1380" t="s">
        <v>100</v>
      </c>
      <c r="L1380" t="s">
        <v>38</v>
      </c>
      <c r="M1380">
        <v>2</v>
      </c>
    </row>
    <row r="1381" spans="1:13" x14ac:dyDescent="0.25">
      <c r="A1381">
        <v>1459</v>
      </c>
      <c r="B1381" t="s">
        <v>1196</v>
      </c>
      <c r="C1381" t="s">
        <v>119</v>
      </c>
      <c r="D1381">
        <v>2018</v>
      </c>
      <c r="E1381">
        <v>13420</v>
      </c>
      <c r="F1381" t="s">
        <v>129</v>
      </c>
      <c r="G1381" t="s">
        <v>121</v>
      </c>
      <c r="H1381" t="s">
        <v>53</v>
      </c>
      <c r="K1381" t="s">
        <v>48</v>
      </c>
      <c r="L1381" t="s">
        <v>109</v>
      </c>
      <c r="M1381">
        <v>2</v>
      </c>
    </row>
    <row r="1382" spans="1:13" x14ac:dyDescent="0.25">
      <c r="A1382">
        <v>1067</v>
      </c>
      <c r="B1382" t="s">
        <v>317</v>
      </c>
      <c r="C1382" t="s">
        <v>103</v>
      </c>
      <c r="D1382">
        <v>2016</v>
      </c>
      <c r="E1382">
        <v>10921</v>
      </c>
      <c r="F1382">
        <v>12000</v>
      </c>
      <c r="G1382">
        <v>120000</v>
      </c>
      <c r="H1382" t="s">
        <v>58</v>
      </c>
      <c r="I1382" t="s">
        <v>35</v>
      </c>
      <c r="J1382" t="s">
        <v>96</v>
      </c>
      <c r="K1382" t="s">
        <v>44</v>
      </c>
      <c r="L1382" t="s">
        <v>126</v>
      </c>
      <c r="M1382">
        <v>1</v>
      </c>
    </row>
    <row r="1383" spans="1:13" x14ac:dyDescent="0.25">
      <c r="A1383">
        <v>1531</v>
      </c>
      <c r="B1383" t="s">
        <v>672</v>
      </c>
      <c r="C1383" t="s">
        <v>47</v>
      </c>
      <c r="D1383">
        <v>2014</v>
      </c>
      <c r="E1383">
        <v>5852</v>
      </c>
      <c r="F1383">
        <v>7000</v>
      </c>
      <c r="G1383">
        <v>15000</v>
      </c>
      <c r="H1383" t="s">
        <v>34</v>
      </c>
      <c r="I1383" t="s">
        <v>59</v>
      </c>
      <c r="J1383" t="s">
        <v>66</v>
      </c>
      <c r="K1383" t="s">
        <v>37</v>
      </c>
      <c r="L1383" t="s">
        <v>126</v>
      </c>
      <c r="M1383">
        <v>0</v>
      </c>
    </row>
    <row r="1384" spans="1:13" x14ac:dyDescent="0.25">
      <c r="A1384">
        <v>1023</v>
      </c>
      <c r="B1384" t="s">
        <v>292</v>
      </c>
      <c r="C1384" t="s">
        <v>75</v>
      </c>
      <c r="D1384">
        <v>2015</v>
      </c>
      <c r="E1384">
        <v>13673</v>
      </c>
      <c r="F1384">
        <v>18000</v>
      </c>
      <c r="G1384" t="s">
        <v>76</v>
      </c>
      <c r="H1384" t="s">
        <v>58</v>
      </c>
      <c r="I1384" t="s">
        <v>42</v>
      </c>
      <c r="J1384" t="s">
        <v>66</v>
      </c>
      <c r="K1384" t="s">
        <v>116</v>
      </c>
      <c r="L1384" t="s">
        <v>38</v>
      </c>
      <c r="M1384">
        <v>3</v>
      </c>
    </row>
    <row r="1385" spans="1:13" x14ac:dyDescent="0.25">
      <c r="A1385">
        <v>1344</v>
      </c>
      <c r="B1385" t="s">
        <v>794</v>
      </c>
      <c r="C1385" t="s">
        <v>138</v>
      </c>
      <c r="E1385">
        <v>5928</v>
      </c>
      <c r="F1385">
        <v>7000</v>
      </c>
      <c r="G1385">
        <v>60000</v>
      </c>
      <c r="H1385" t="s">
        <v>34</v>
      </c>
      <c r="I1385" t="s">
        <v>59</v>
      </c>
      <c r="J1385" t="s">
        <v>96</v>
      </c>
      <c r="K1385" t="s">
        <v>48</v>
      </c>
      <c r="L1385" t="s">
        <v>38</v>
      </c>
      <c r="M1385">
        <v>0</v>
      </c>
    </row>
    <row r="1386" spans="1:13" x14ac:dyDescent="0.25">
      <c r="A1386">
        <v>1444</v>
      </c>
      <c r="B1386" t="s">
        <v>1198</v>
      </c>
      <c r="C1386" t="s">
        <v>68</v>
      </c>
      <c r="D1386">
        <v>2014</v>
      </c>
      <c r="E1386" t="s">
        <v>1199</v>
      </c>
      <c r="F1386" t="s">
        <v>129</v>
      </c>
      <c r="G1386">
        <v>120000</v>
      </c>
      <c r="I1386" t="s">
        <v>35</v>
      </c>
      <c r="J1386" t="s">
        <v>36</v>
      </c>
      <c r="L1386" t="s">
        <v>49</v>
      </c>
      <c r="M1386">
        <v>2</v>
      </c>
    </row>
    <row r="1387" spans="1:13" x14ac:dyDescent="0.25">
      <c r="A1387">
        <v>1513</v>
      </c>
      <c r="B1387" t="s">
        <v>769</v>
      </c>
      <c r="C1387" t="s">
        <v>75</v>
      </c>
      <c r="D1387" t="s">
        <v>52</v>
      </c>
      <c r="E1387" t="s">
        <v>1200</v>
      </c>
      <c r="F1387">
        <v>22000</v>
      </c>
      <c r="G1387">
        <v>120000</v>
      </c>
      <c r="H1387" t="s">
        <v>58</v>
      </c>
      <c r="I1387" t="s">
        <v>35</v>
      </c>
      <c r="J1387" t="s">
        <v>66</v>
      </c>
      <c r="K1387" t="s">
        <v>54</v>
      </c>
      <c r="L1387" t="s">
        <v>126</v>
      </c>
      <c r="M1387">
        <v>0</v>
      </c>
    </row>
    <row r="1388" spans="1:13" x14ac:dyDescent="0.25">
      <c r="A1388">
        <v>1420</v>
      </c>
      <c r="B1388" t="s">
        <v>233</v>
      </c>
      <c r="C1388" t="s">
        <v>79</v>
      </c>
      <c r="D1388">
        <v>2017</v>
      </c>
      <c r="E1388" t="s">
        <v>1201</v>
      </c>
      <c r="F1388">
        <v>22000</v>
      </c>
      <c r="G1388">
        <v>25000</v>
      </c>
      <c r="H1388" t="s">
        <v>69</v>
      </c>
      <c r="I1388" t="s">
        <v>72</v>
      </c>
      <c r="K1388" t="s">
        <v>54</v>
      </c>
      <c r="L1388" t="s">
        <v>98</v>
      </c>
      <c r="M1388">
        <v>3</v>
      </c>
    </row>
    <row r="1389" spans="1:13" x14ac:dyDescent="0.25">
      <c r="A1389">
        <v>1141</v>
      </c>
      <c r="B1389" t="s">
        <v>1202</v>
      </c>
      <c r="C1389" t="s">
        <v>138</v>
      </c>
      <c r="D1389">
        <v>2016</v>
      </c>
      <c r="E1389">
        <v>5521</v>
      </c>
      <c r="F1389">
        <v>7000</v>
      </c>
      <c r="G1389" t="s">
        <v>76</v>
      </c>
      <c r="H1389" t="s">
        <v>58</v>
      </c>
      <c r="J1389" t="s">
        <v>36</v>
      </c>
      <c r="L1389" t="s">
        <v>90</v>
      </c>
      <c r="M1389">
        <v>1</v>
      </c>
    </row>
    <row r="1390" spans="1:13" x14ac:dyDescent="0.25">
      <c r="A1390">
        <v>1152</v>
      </c>
      <c r="B1390" t="s">
        <v>325</v>
      </c>
      <c r="C1390" t="s">
        <v>119</v>
      </c>
      <c r="D1390">
        <v>2022</v>
      </c>
      <c r="E1390">
        <v>27633</v>
      </c>
      <c r="F1390">
        <v>31000</v>
      </c>
      <c r="G1390" t="s">
        <v>121</v>
      </c>
      <c r="H1390" t="s">
        <v>63</v>
      </c>
      <c r="J1390" t="s">
        <v>36</v>
      </c>
      <c r="K1390" t="s">
        <v>116</v>
      </c>
      <c r="L1390" t="s">
        <v>45</v>
      </c>
      <c r="M1390">
        <v>2</v>
      </c>
    </row>
    <row r="1391" spans="1:13" x14ac:dyDescent="0.25">
      <c r="A1391">
        <v>1421</v>
      </c>
      <c r="B1391" t="s">
        <v>139</v>
      </c>
      <c r="C1391" t="s">
        <v>164</v>
      </c>
      <c r="D1391">
        <v>2021</v>
      </c>
      <c r="E1391">
        <v>8781</v>
      </c>
      <c r="F1391">
        <v>15000</v>
      </c>
      <c r="G1391" t="s">
        <v>130</v>
      </c>
      <c r="I1391" t="s">
        <v>35</v>
      </c>
      <c r="J1391" t="s">
        <v>36</v>
      </c>
      <c r="K1391" t="s">
        <v>54</v>
      </c>
      <c r="L1391" t="s">
        <v>49</v>
      </c>
      <c r="M1391">
        <v>1</v>
      </c>
    </row>
    <row r="1392" spans="1:13" x14ac:dyDescent="0.25">
      <c r="A1392">
        <v>1109</v>
      </c>
      <c r="B1392" t="s">
        <v>1203</v>
      </c>
      <c r="C1392" t="s">
        <v>32</v>
      </c>
      <c r="D1392">
        <v>2022</v>
      </c>
      <c r="E1392">
        <v>5256</v>
      </c>
      <c r="F1392">
        <v>12000</v>
      </c>
      <c r="G1392">
        <v>80000</v>
      </c>
      <c r="H1392" t="s">
        <v>58</v>
      </c>
      <c r="I1392" t="s">
        <v>72</v>
      </c>
      <c r="J1392" t="s">
        <v>96</v>
      </c>
      <c r="K1392" t="s">
        <v>73</v>
      </c>
      <c r="L1392" t="s">
        <v>45</v>
      </c>
      <c r="M1392">
        <v>3</v>
      </c>
    </row>
    <row r="1393" spans="1:13" x14ac:dyDescent="0.25">
      <c r="A1393">
        <v>1224</v>
      </c>
      <c r="B1393" t="s">
        <v>332</v>
      </c>
      <c r="C1393" t="s">
        <v>32</v>
      </c>
      <c r="D1393">
        <v>2014</v>
      </c>
      <c r="E1393" t="s">
        <v>1204</v>
      </c>
      <c r="F1393">
        <v>7000</v>
      </c>
      <c r="G1393" t="s">
        <v>92</v>
      </c>
      <c r="H1393" t="s">
        <v>84</v>
      </c>
      <c r="I1393" t="s">
        <v>42</v>
      </c>
      <c r="K1393" t="s">
        <v>77</v>
      </c>
      <c r="M1393">
        <v>1</v>
      </c>
    </row>
    <row r="1394" spans="1:13" x14ac:dyDescent="0.25">
      <c r="A1394">
        <v>1205</v>
      </c>
      <c r="B1394" t="s">
        <v>1205</v>
      </c>
      <c r="C1394" t="s">
        <v>138</v>
      </c>
      <c r="D1394">
        <v>2015</v>
      </c>
      <c r="E1394">
        <v>74</v>
      </c>
      <c r="F1394" t="s">
        <v>147</v>
      </c>
      <c r="G1394">
        <v>15000</v>
      </c>
      <c r="H1394" t="s">
        <v>34</v>
      </c>
      <c r="I1394" t="s">
        <v>35</v>
      </c>
      <c r="J1394" t="s">
        <v>96</v>
      </c>
      <c r="K1394" t="s">
        <v>37</v>
      </c>
      <c r="L1394" t="s">
        <v>90</v>
      </c>
      <c r="M1394">
        <v>0</v>
      </c>
    </row>
    <row r="1395" spans="1:13" x14ac:dyDescent="0.25">
      <c r="A1395">
        <v>1445</v>
      </c>
      <c r="B1395" t="s">
        <v>962</v>
      </c>
      <c r="C1395" t="s">
        <v>65</v>
      </c>
      <c r="D1395">
        <v>2022</v>
      </c>
      <c r="E1395">
        <v>16923</v>
      </c>
      <c r="F1395">
        <v>22000</v>
      </c>
      <c r="G1395">
        <v>15000</v>
      </c>
      <c r="H1395" t="s">
        <v>69</v>
      </c>
      <c r="I1395" t="s">
        <v>72</v>
      </c>
      <c r="J1395" t="s">
        <v>43</v>
      </c>
      <c r="K1395" t="s">
        <v>73</v>
      </c>
      <c r="L1395" t="s">
        <v>45</v>
      </c>
      <c r="M1395">
        <v>1</v>
      </c>
    </row>
    <row r="1396" spans="1:13" x14ac:dyDescent="0.25">
      <c r="A1396">
        <v>1392</v>
      </c>
      <c r="B1396" t="s">
        <v>1206</v>
      </c>
      <c r="C1396" t="s">
        <v>164</v>
      </c>
      <c r="D1396">
        <v>2021</v>
      </c>
      <c r="E1396">
        <v>19807</v>
      </c>
      <c r="F1396" t="s">
        <v>83</v>
      </c>
      <c r="G1396">
        <v>25000</v>
      </c>
      <c r="H1396" t="s">
        <v>63</v>
      </c>
      <c r="I1396" t="s">
        <v>42</v>
      </c>
      <c r="J1396" t="s">
        <v>36</v>
      </c>
      <c r="K1396" t="s">
        <v>44</v>
      </c>
      <c r="L1396" t="s">
        <v>55</v>
      </c>
      <c r="M1396">
        <v>1</v>
      </c>
    </row>
    <row r="1397" spans="1:13" x14ac:dyDescent="0.25">
      <c r="A1397">
        <v>1571</v>
      </c>
      <c r="B1397" t="s">
        <v>105</v>
      </c>
      <c r="C1397" t="s">
        <v>51</v>
      </c>
      <c r="D1397">
        <v>2021</v>
      </c>
      <c r="E1397">
        <v>9076</v>
      </c>
      <c r="F1397" t="s">
        <v>204</v>
      </c>
      <c r="G1397">
        <v>40000</v>
      </c>
      <c r="H1397" t="s">
        <v>58</v>
      </c>
      <c r="I1397" t="s">
        <v>42</v>
      </c>
      <c r="J1397" t="s">
        <v>96</v>
      </c>
      <c r="K1397" t="s">
        <v>37</v>
      </c>
      <c r="L1397" t="s">
        <v>90</v>
      </c>
      <c r="M1397">
        <v>3</v>
      </c>
    </row>
    <row r="1398" spans="1:13" x14ac:dyDescent="0.25">
      <c r="A1398">
        <v>1428</v>
      </c>
      <c r="B1398" t="s">
        <v>1143</v>
      </c>
      <c r="C1398" t="s">
        <v>57</v>
      </c>
      <c r="D1398">
        <v>2020</v>
      </c>
      <c r="E1398">
        <v>25828</v>
      </c>
      <c r="F1398">
        <v>31000</v>
      </c>
      <c r="G1398">
        <v>15000</v>
      </c>
      <c r="H1398" t="s">
        <v>34</v>
      </c>
      <c r="I1398" t="s">
        <v>42</v>
      </c>
      <c r="J1398" t="s">
        <v>66</v>
      </c>
      <c r="K1398" t="s">
        <v>54</v>
      </c>
      <c r="L1398" t="s">
        <v>49</v>
      </c>
    </row>
    <row r="1399" spans="1:13" x14ac:dyDescent="0.25">
      <c r="A1399">
        <v>1484</v>
      </c>
      <c r="B1399" t="s">
        <v>1207</v>
      </c>
      <c r="C1399" t="s">
        <v>138</v>
      </c>
      <c r="D1399">
        <v>2020</v>
      </c>
      <c r="E1399">
        <v>27792</v>
      </c>
      <c r="F1399" t="s">
        <v>87</v>
      </c>
      <c r="G1399" t="s">
        <v>121</v>
      </c>
      <c r="H1399" t="s">
        <v>41</v>
      </c>
      <c r="I1399" t="s">
        <v>42</v>
      </c>
      <c r="J1399" t="s">
        <v>96</v>
      </c>
      <c r="K1399" t="s">
        <v>73</v>
      </c>
      <c r="L1399" t="s">
        <v>126</v>
      </c>
      <c r="M1399">
        <v>3</v>
      </c>
    </row>
    <row r="1400" spans="1:13" x14ac:dyDescent="0.25">
      <c r="A1400">
        <v>1308</v>
      </c>
      <c r="B1400" t="s">
        <v>798</v>
      </c>
      <c r="C1400" t="s">
        <v>32</v>
      </c>
      <c r="D1400">
        <v>2022</v>
      </c>
      <c r="E1400">
        <v>12367</v>
      </c>
      <c r="F1400" t="s">
        <v>129</v>
      </c>
      <c r="G1400">
        <v>80000</v>
      </c>
      <c r="H1400" t="s">
        <v>69</v>
      </c>
      <c r="I1400" t="s">
        <v>42</v>
      </c>
      <c r="J1400" t="s">
        <v>96</v>
      </c>
      <c r="K1400" t="s">
        <v>73</v>
      </c>
      <c r="L1400" t="s">
        <v>45</v>
      </c>
      <c r="M1400">
        <v>3</v>
      </c>
    </row>
    <row r="1401" spans="1:13" x14ac:dyDescent="0.25">
      <c r="A1401">
        <v>1344</v>
      </c>
      <c r="B1401" t="s">
        <v>1208</v>
      </c>
      <c r="C1401" t="s">
        <v>94</v>
      </c>
      <c r="D1401">
        <v>2022</v>
      </c>
      <c r="E1401">
        <v>9765</v>
      </c>
      <c r="F1401">
        <v>12000</v>
      </c>
      <c r="G1401">
        <v>15000</v>
      </c>
      <c r="H1401" t="s">
        <v>63</v>
      </c>
      <c r="I1401" t="s">
        <v>42</v>
      </c>
      <c r="J1401" t="s">
        <v>96</v>
      </c>
      <c r="K1401" t="s">
        <v>54</v>
      </c>
      <c r="L1401" t="s">
        <v>90</v>
      </c>
      <c r="M1401">
        <v>0</v>
      </c>
    </row>
    <row r="1402" spans="1:13" x14ac:dyDescent="0.25">
      <c r="A1402">
        <v>1126</v>
      </c>
      <c r="B1402" t="s">
        <v>1209</v>
      </c>
      <c r="C1402" t="s">
        <v>94</v>
      </c>
      <c r="D1402" t="s">
        <v>52</v>
      </c>
      <c r="E1402" t="s">
        <v>1210</v>
      </c>
      <c r="F1402">
        <v>18000</v>
      </c>
      <c r="G1402">
        <v>40000</v>
      </c>
      <c r="H1402" t="s">
        <v>53</v>
      </c>
      <c r="K1402" t="s">
        <v>37</v>
      </c>
      <c r="M1402">
        <v>1</v>
      </c>
    </row>
    <row r="1403" spans="1:13" x14ac:dyDescent="0.25">
      <c r="A1403">
        <v>1314</v>
      </c>
      <c r="B1403" t="s">
        <v>1211</v>
      </c>
      <c r="C1403" t="s">
        <v>138</v>
      </c>
      <c r="D1403">
        <v>2017</v>
      </c>
      <c r="E1403">
        <v>2486</v>
      </c>
      <c r="F1403">
        <v>7000</v>
      </c>
      <c r="G1403">
        <v>120000</v>
      </c>
      <c r="H1403" t="s">
        <v>58</v>
      </c>
      <c r="I1403" t="s">
        <v>35</v>
      </c>
      <c r="L1403" t="s">
        <v>45</v>
      </c>
    </row>
    <row r="1404" spans="1:13" x14ac:dyDescent="0.25">
      <c r="A1404">
        <v>1018</v>
      </c>
      <c r="B1404" t="s">
        <v>1212</v>
      </c>
      <c r="C1404" t="s">
        <v>103</v>
      </c>
      <c r="D1404">
        <v>2022</v>
      </c>
      <c r="E1404">
        <v>2681</v>
      </c>
      <c r="F1404" t="s">
        <v>147</v>
      </c>
      <c r="G1404" t="s">
        <v>92</v>
      </c>
      <c r="H1404" t="s">
        <v>41</v>
      </c>
      <c r="I1404" t="s">
        <v>42</v>
      </c>
      <c r="J1404" t="s">
        <v>36</v>
      </c>
      <c r="K1404" t="s">
        <v>100</v>
      </c>
      <c r="L1404" t="s">
        <v>109</v>
      </c>
      <c r="M1404">
        <v>2</v>
      </c>
    </row>
    <row r="1405" spans="1:13" x14ac:dyDescent="0.25">
      <c r="A1405">
        <v>1253</v>
      </c>
      <c r="B1405" t="s">
        <v>237</v>
      </c>
      <c r="C1405" t="s">
        <v>47</v>
      </c>
      <c r="D1405" t="s">
        <v>52</v>
      </c>
      <c r="E1405">
        <v>11051</v>
      </c>
      <c r="F1405" t="s">
        <v>129</v>
      </c>
      <c r="G1405">
        <v>15000</v>
      </c>
      <c r="H1405" t="s">
        <v>69</v>
      </c>
      <c r="K1405" t="s">
        <v>48</v>
      </c>
      <c r="L1405" t="s">
        <v>126</v>
      </c>
      <c r="M1405">
        <v>1</v>
      </c>
    </row>
    <row r="1406" spans="1:13" x14ac:dyDescent="0.25">
      <c r="A1406">
        <v>1394</v>
      </c>
      <c r="B1406" t="s">
        <v>600</v>
      </c>
      <c r="C1406" t="s">
        <v>133</v>
      </c>
      <c r="D1406">
        <v>2016</v>
      </c>
      <c r="E1406" t="s">
        <v>1213</v>
      </c>
      <c r="F1406" t="s">
        <v>81</v>
      </c>
      <c r="G1406" t="s">
        <v>108</v>
      </c>
      <c r="H1406" t="s">
        <v>53</v>
      </c>
      <c r="I1406" t="s">
        <v>35</v>
      </c>
      <c r="K1406" t="s">
        <v>116</v>
      </c>
    </row>
    <row r="1407" spans="1:13" x14ac:dyDescent="0.25">
      <c r="A1407">
        <v>1214</v>
      </c>
      <c r="B1407" t="s">
        <v>716</v>
      </c>
      <c r="C1407" t="s">
        <v>68</v>
      </c>
      <c r="D1407">
        <v>2015</v>
      </c>
      <c r="E1407">
        <v>7735</v>
      </c>
      <c r="F1407">
        <v>9000</v>
      </c>
      <c r="G1407">
        <v>40000</v>
      </c>
      <c r="H1407" t="s">
        <v>53</v>
      </c>
      <c r="I1407" t="s">
        <v>35</v>
      </c>
      <c r="J1407" t="s">
        <v>43</v>
      </c>
      <c r="K1407" t="s">
        <v>37</v>
      </c>
      <c r="L1407" t="s">
        <v>55</v>
      </c>
    </row>
    <row r="1408" spans="1:13" x14ac:dyDescent="0.25">
      <c r="A1408">
        <v>1363</v>
      </c>
      <c r="B1408" t="s">
        <v>302</v>
      </c>
      <c r="C1408" t="s">
        <v>103</v>
      </c>
      <c r="D1408">
        <v>2014</v>
      </c>
      <c r="E1408">
        <v>4822</v>
      </c>
      <c r="F1408">
        <v>9000</v>
      </c>
      <c r="G1408">
        <v>120000</v>
      </c>
      <c r="H1408" t="s">
        <v>41</v>
      </c>
      <c r="J1408" t="s">
        <v>96</v>
      </c>
      <c r="K1408" t="s">
        <v>37</v>
      </c>
      <c r="L1408" t="s">
        <v>45</v>
      </c>
      <c r="M1408">
        <v>3</v>
      </c>
    </row>
    <row r="1409" spans="1:13" x14ac:dyDescent="0.25">
      <c r="A1409">
        <v>1210</v>
      </c>
      <c r="B1409" t="s">
        <v>1214</v>
      </c>
      <c r="C1409" t="s">
        <v>61</v>
      </c>
      <c r="D1409">
        <v>2019</v>
      </c>
      <c r="E1409">
        <v>5014</v>
      </c>
      <c r="F1409">
        <v>7000</v>
      </c>
      <c r="G1409">
        <v>120000</v>
      </c>
      <c r="H1409" t="s">
        <v>58</v>
      </c>
      <c r="I1409" t="s">
        <v>35</v>
      </c>
      <c r="J1409" t="s">
        <v>36</v>
      </c>
      <c r="K1409" t="s">
        <v>116</v>
      </c>
      <c r="L1409" t="s">
        <v>90</v>
      </c>
    </row>
    <row r="1410" spans="1:13" x14ac:dyDescent="0.25">
      <c r="A1410">
        <v>1057</v>
      </c>
      <c r="B1410" t="s">
        <v>1215</v>
      </c>
      <c r="C1410" t="s">
        <v>138</v>
      </c>
      <c r="D1410">
        <v>2022</v>
      </c>
      <c r="E1410">
        <v>4873</v>
      </c>
      <c r="F1410">
        <v>7000</v>
      </c>
      <c r="G1410">
        <v>60000</v>
      </c>
      <c r="H1410" t="s">
        <v>84</v>
      </c>
      <c r="I1410" t="s">
        <v>59</v>
      </c>
      <c r="J1410" t="s">
        <v>36</v>
      </c>
      <c r="M1410">
        <v>0</v>
      </c>
    </row>
    <row r="1411" spans="1:13" x14ac:dyDescent="0.25">
      <c r="A1411">
        <v>1257</v>
      </c>
      <c r="B1411" t="s">
        <v>702</v>
      </c>
      <c r="C1411" t="s">
        <v>133</v>
      </c>
      <c r="D1411">
        <v>2016</v>
      </c>
      <c r="E1411">
        <v>5456</v>
      </c>
      <c r="F1411">
        <v>12000</v>
      </c>
      <c r="G1411">
        <v>25000</v>
      </c>
      <c r="I1411" t="s">
        <v>72</v>
      </c>
      <c r="J1411" t="s">
        <v>66</v>
      </c>
      <c r="K1411" t="s">
        <v>73</v>
      </c>
      <c r="L1411" t="s">
        <v>55</v>
      </c>
      <c r="M1411">
        <v>3</v>
      </c>
    </row>
    <row r="1412" spans="1:13" x14ac:dyDescent="0.25">
      <c r="A1412">
        <v>1562</v>
      </c>
      <c r="B1412" t="s">
        <v>1216</v>
      </c>
      <c r="C1412" t="s">
        <v>32</v>
      </c>
      <c r="D1412">
        <v>2014</v>
      </c>
      <c r="E1412">
        <v>6519</v>
      </c>
      <c r="F1412">
        <v>12000</v>
      </c>
      <c r="G1412">
        <v>40000</v>
      </c>
      <c r="H1412" t="s">
        <v>41</v>
      </c>
      <c r="I1412" t="s">
        <v>35</v>
      </c>
      <c r="J1412" t="s">
        <v>66</v>
      </c>
      <c r="K1412" t="s">
        <v>54</v>
      </c>
      <c r="L1412" t="s">
        <v>45</v>
      </c>
      <c r="M1412">
        <v>1</v>
      </c>
    </row>
    <row r="1413" spans="1:13" x14ac:dyDescent="0.25">
      <c r="A1413">
        <v>1400</v>
      </c>
      <c r="B1413" t="s">
        <v>1217</v>
      </c>
      <c r="C1413" t="s">
        <v>164</v>
      </c>
      <c r="D1413">
        <v>2017</v>
      </c>
      <c r="E1413">
        <v>23671</v>
      </c>
      <c r="F1413">
        <v>26000</v>
      </c>
      <c r="G1413">
        <v>25000</v>
      </c>
      <c r="H1413" t="s">
        <v>34</v>
      </c>
      <c r="J1413" t="s">
        <v>96</v>
      </c>
      <c r="K1413" t="s">
        <v>116</v>
      </c>
      <c r="L1413" t="s">
        <v>45</v>
      </c>
      <c r="M1413">
        <v>3</v>
      </c>
    </row>
    <row r="1414" spans="1:13" x14ac:dyDescent="0.25">
      <c r="A1414">
        <v>1067</v>
      </c>
      <c r="B1414" t="s">
        <v>834</v>
      </c>
      <c r="C1414" t="s">
        <v>133</v>
      </c>
      <c r="D1414">
        <v>2014</v>
      </c>
      <c r="E1414">
        <v>19412</v>
      </c>
      <c r="F1414">
        <v>26000</v>
      </c>
      <c r="G1414" t="s">
        <v>92</v>
      </c>
      <c r="H1414" t="s">
        <v>63</v>
      </c>
      <c r="I1414" t="s">
        <v>42</v>
      </c>
      <c r="J1414" t="s">
        <v>36</v>
      </c>
      <c r="K1414" t="s">
        <v>44</v>
      </c>
      <c r="L1414" t="s">
        <v>126</v>
      </c>
      <c r="M1414">
        <v>0</v>
      </c>
    </row>
    <row r="1415" spans="1:13" x14ac:dyDescent="0.25">
      <c r="A1415">
        <v>1491</v>
      </c>
      <c r="B1415" t="s">
        <v>1218</v>
      </c>
      <c r="C1415" t="s">
        <v>103</v>
      </c>
      <c r="D1415">
        <v>2018</v>
      </c>
      <c r="E1415">
        <v>10405</v>
      </c>
      <c r="F1415">
        <v>12000</v>
      </c>
      <c r="G1415">
        <v>60000</v>
      </c>
      <c r="H1415" t="s">
        <v>69</v>
      </c>
      <c r="I1415" t="s">
        <v>42</v>
      </c>
      <c r="J1415" t="s">
        <v>96</v>
      </c>
      <c r="K1415" t="s">
        <v>77</v>
      </c>
      <c r="L1415" t="s">
        <v>49</v>
      </c>
    </row>
    <row r="1416" spans="1:13" x14ac:dyDescent="0.25">
      <c r="A1416">
        <v>1515</v>
      </c>
      <c r="B1416" t="s">
        <v>1219</v>
      </c>
      <c r="C1416" t="s">
        <v>119</v>
      </c>
      <c r="E1416" t="s">
        <v>1220</v>
      </c>
      <c r="F1416" t="s">
        <v>204</v>
      </c>
      <c r="G1416">
        <v>40000</v>
      </c>
      <c r="H1416" t="s">
        <v>84</v>
      </c>
      <c r="I1416" t="s">
        <v>59</v>
      </c>
      <c r="K1416" t="s">
        <v>37</v>
      </c>
      <c r="L1416" t="s">
        <v>126</v>
      </c>
      <c r="M1416">
        <v>2</v>
      </c>
    </row>
    <row r="1417" spans="1:13" x14ac:dyDescent="0.25">
      <c r="A1417">
        <v>1386</v>
      </c>
      <c r="B1417" t="s">
        <v>1221</v>
      </c>
      <c r="C1417" t="s">
        <v>119</v>
      </c>
      <c r="D1417">
        <v>2014</v>
      </c>
      <c r="E1417">
        <v>7983</v>
      </c>
      <c r="F1417">
        <v>12000</v>
      </c>
      <c r="G1417">
        <v>15000</v>
      </c>
      <c r="H1417" t="s">
        <v>34</v>
      </c>
      <c r="I1417" t="s">
        <v>72</v>
      </c>
      <c r="J1417" t="s">
        <v>43</v>
      </c>
      <c r="K1417" t="s">
        <v>77</v>
      </c>
      <c r="L1417" t="s">
        <v>38</v>
      </c>
    </row>
    <row r="1418" spans="1:13" x14ac:dyDescent="0.25">
      <c r="A1418">
        <v>1003</v>
      </c>
      <c r="B1418" t="s">
        <v>1222</v>
      </c>
      <c r="C1418" t="s">
        <v>61</v>
      </c>
      <c r="D1418">
        <v>2017</v>
      </c>
      <c r="E1418">
        <v>16257</v>
      </c>
      <c r="F1418">
        <v>18000</v>
      </c>
      <c r="G1418">
        <v>80000</v>
      </c>
      <c r="H1418" t="s">
        <v>69</v>
      </c>
      <c r="I1418" t="s">
        <v>59</v>
      </c>
      <c r="J1418" t="s">
        <v>43</v>
      </c>
      <c r="K1418" t="s">
        <v>54</v>
      </c>
      <c r="L1418" t="s">
        <v>90</v>
      </c>
      <c r="M1418">
        <v>3</v>
      </c>
    </row>
    <row r="1419" spans="1:13" x14ac:dyDescent="0.25">
      <c r="A1419">
        <v>1345</v>
      </c>
      <c r="B1419" t="s">
        <v>836</v>
      </c>
      <c r="C1419" t="s">
        <v>103</v>
      </c>
      <c r="D1419">
        <v>2015</v>
      </c>
      <c r="E1419">
        <v>18979</v>
      </c>
      <c r="F1419">
        <v>22000</v>
      </c>
      <c r="G1419">
        <v>60000</v>
      </c>
      <c r="H1419" t="s">
        <v>58</v>
      </c>
      <c r="J1419" t="s">
        <v>36</v>
      </c>
      <c r="K1419" t="s">
        <v>116</v>
      </c>
      <c r="L1419" t="s">
        <v>55</v>
      </c>
      <c r="M1419">
        <v>2</v>
      </c>
    </row>
    <row r="1420" spans="1:13" x14ac:dyDescent="0.25">
      <c r="A1420">
        <v>1509</v>
      </c>
      <c r="B1420" t="s">
        <v>1223</v>
      </c>
      <c r="C1420" t="s">
        <v>32</v>
      </c>
      <c r="D1420">
        <v>2016</v>
      </c>
      <c r="E1420">
        <v>10952</v>
      </c>
      <c r="F1420">
        <v>15000</v>
      </c>
      <c r="G1420">
        <v>80000</v>
      </c>
      <c r="H1420" t="s">
        <v>34</v>
      </c>
      <c r="I1420" t="s">
        <v>35</v>
      </c>
      <c r="K1420" t="s">
        <v>116</v>
      </c>
      <c r="L1420" t="s">
        <v>90</v>
      </c>
      <c r="M1420">
        <v>1</v>
      </c>
    </row>
    <row r="1421" spans="1:13" x14ac:dyDescent="0.25">
      <c r="A1421">
        <v>1378</v>
      </c>
      <c r="B1421" t="s">
        <v>1224</v>
      </c>
      <c r="C1421" t="s">
        <v>94</v>
      </c>
      <c r="D1421">
        <v>2014</v>
      </c>
      <c r="E1421">
        <v>8603</v>
      </c>
      <c r="F1421">
        <v>12000</v>
      </c>
      <c r="G1421">
        <v>40000</v>
      </c>
      <c r="H1421" t="s">
        <v>58</v>
      </c>
      <c r="I1421" t="s">
        <v>35</v>
      </c>
      <c r="J1421" t="s">
        <v>96</v>
      </c>
      <c r="K1421" t="s">
        <v>37</v>
      </c>
      <c r="L1421" t="s">
        <v>55</v>
      </c>
      <c r="M1421">
        <v>0</v>
      </c>
    </row>
    <row r="1422" spans="1:13" x14ac:dyDescent="0.25">
      <c r="A1422">
        <v>1125</v>
      </c>
      <c r="B1422" t="s">
        <v>960</v>
      </c>
      <c r="C1422" t="s">
        <v>40</v>
      </c>
      <c r="D1422">
        <v>2021</v>
      </c>
      <c r="E1422">
        <v>9904</v>
      </c>
      <c r="F1422">
        <v>15000</v>
      </c>
      <c r="G1422">
        <v>15000</v>
      </c>
      <c r="J1422" t="s">
        <v>66</v>
      </c>
      <c r="K1422" t="s">
        <v>116</v>
      </c>
      <c r="L1422" t="s">
        <v>126</v>
      </c>
      <c r="M1422">
        <v>1</v>
      </c>
    </row>
    <row r="1423" spans="1:13" x14ac:dyDescent="0.25">
      <c r="A1423">
        <v>1016</v>
      </c>
      <c r="B1423" t="s">
        <v>395</v>
      </c>
      <c r="C1423" t="s">
        <v>32</v>
      </c>
      <c r="D1423">
        <v>2021</v>
      </c>
      <c r="E1423">
        <v>19131</v>
      </c>
      <c r="F1423">
        <v>22000</v>
      </c>
      <c r="G1423">
        <v>40000</v>
      </c>
      <c r="H1423" t="s">
        <v>84</v>
      </c>
      <c r="I1423" t="s">
        <v>72</v>
      </c>
      <c r="K1423" t="s">
        <v>44</v>
      </c>
      <c r="L1423" t="s">
        <v>55</v>
      </c>
      <c r="M1423">
        <v>1</v>
      </c>
    </row>
    <row r="1424" spans="1:13" x14ac:dyDescent="0.25">
      <c r="A1424">
        <v>1265</v>
      </c>
      <c r="B1424" t="s">
        <v>1225</v>
      </c>
      <c r="C1424" t="s">
        <v>94</v>
      </c>
      <c r="D1424">
        <v>2014</v>
      </c>
      <c r="E1424">
        <v>9585</v>
      </c>
      <c r="F1424">
        <v>12000</v>
      </c>
      <c r="G1424">
        <v>80000</v>
      </c>
      <c r="H1424" t="s">
        <v>58</v>
      </c>
      <c r="I1424" t="s">
        <v>59</v>
      </c>
      <c r="J1424" t="s">
        <v>66</v>
      </c>
      <c r="M1424">
        <v>2</v>
      </c>
    </row>
    <row r="1425" spans="1:13" x14ac:dyDescent="0.25">
      <c r="A1425">
        <v>1010</v>
      </c>
      <c r="B1425" t="s">
        <v>1083</v>
      </c>
      <c r="C1425" t="s">
        <v>68</v>
      </c>
      <c r="D1425">
        <v>2021</v>
      </c>
      <c r="E1425">
        <v>22947</v>
      </c>
      <c r="F1425">
        <v>26000</v>
      </c>
      <c r="G1425">
        <v>60000</v>
      </c>
      <c r="H1425" t="s">
        <v>58</v>
      </c>
      <c r="I1425" t="s">
        <v>59</v>
      </c>
      <c r="J1425" t="s">
        <v>36</v>
      </c>
      <c r="K1425" t="s">
        <v>77</v>
      </c>
      <c r="L1425" t="s">
        <v>109</v>
      </c>
      <c r="M1425">
        <v>1</v>
      </c>
    </row>
    <row r="1426" spans="1:13" x14ac:dyDescent="0.25">
      <c r="A1426">
        <v>1128</v>
      </c>
      <c r="B1426" t="s">
        <v>428</v>
      </c>
      <c r="C1426" t="s">
        <v>94</v>
      </c>
      <c r="D1426">
        <v>2021</v>
      </c>
      <c r="E1426">
        <v>23867</v>
      </c>
      <c r="F1426">
        <v>26000</v>
      </c>
      <c r="G1426">
        <v>120000</v>
      </c>
      <c r="J1426" t="s">
        <v>36</v>
      </c>
      <c r="K1426" t="s">
        <v>48</v>
      </c>
      <c r="L1426" t="s">
        <v>126</v>
      </c>
      <c r="M1426">
        <v>2</v>
      </c>
    </row>
    <row r="1427" spans="1:13" x14ac:dyDescent="0.25">
      <c r="A1427">
        <v>1379</v>
      </c>
      <c r="B1427" t="s">
        <v>1098</v>
      </c>
      <c r="C1427" t="s">
        <v>94</v>
      </c>
      <c r="E1427">
        <v>13529</v>
      </c>
      <c r="F1427">
        <v>15000</v>
      </c>
      <c r="G1427">
        <v>25000</v>
      </c>
      <c r="H1427" t="s">
        <v>41</v>
      </c>
      <c r="K1427" t="s">
        <v>100</v>
      </c>
      <c r="L1427" t="s">
        <v>55</v>
      </c>
      <c r="M1427">
        <v>1</v>
      </c>
    </row>
    <row r="1428" spans="1:13" x14ac:dyDescent="0.25">
      <c r="A1428">
        <v>1263</v>
      </c>
      <c r="B1428" t="s">
        <v>184</v>
      </c>
      <c r="C1428" t="s">
        <v>103</v>
      </c>
      <c r="D1428">
        <v>2015</v>
      </c>
      <c r="E1428">
        <v>17319</v>
      </c>
      <c r="F1428">
        <v>22000</v>
      </c>
      <c r="G1428">
        <v>80000</v>
      </c>
      <c r="H1428" t="s">
        <v>63</v>
      </c>
      <c r="I1428" t="s">
        <v>59</v>
      </c>
      <c r="J1428" t="s">
        <v>43</v>
      </c>
      <c r="K1428" t="s">
        <v>73</v>
      </c>
      <c r="L1428" t="s">
        <v>55</v>
      </c>
    </row>
    <row r="1429" spans="1:13" x14ac:dyDescent="0.25">
      <c r="A1429">
        <v>1446</v>
      </c>
      <c r="B1429" t="s">
        <v>1226</v>
      </c>
      <c r="C1429" t="s">
        <v>138</v>
      </c>
      <c r="D1429">
        <v>2021</v>
      </c>
      <c r="E1429">
        <v>18914</v>
      </c>
      <c r="F1429">
        <v>22000</v>
      </c>
      <c r="G1429">
        <v>40000</v>
      </c>
      <c r="H1429" t="s">
        <v>53</v>
      </c>
      <c r="J1429" t="s">
        <v>96</v>
      </c>
      <c r="K1429" t="s">
        <v>100</v>
      </c>
      <c r="L1429" t="s">
        <v>90</v>
      </c>
      <c r="M1429">
        <v>3</v>
      </c>
    </row>
    <row r="1430" spans="1:13" x14ac:dyDescent="0.25">
      <c r="A1430">
        <v>1184</v>
      </c>
      <c r="B1430" t="s">
        <v>1136</v>
      </c>
      <c r="C1430" t="s">
        <v>47</v>
      </c>
      <c r="D1430">
        <v>2020</v>
      </c>
      <c r="E1430" t="s">
        <v>1227</v>
      </c>
      <c r="F1430">
        <v>12000</v>
      </c>
      <c r="G1430">
        <v>60000</v>
      </c>
      <c r="H1430" t="s">
        <v>58</v>
      </c>
      <c r="I1430" t="s">
        <v>59</v>
      </c>
      <c r="J1430" t="s">
        <v>36</v>
      </c>
      <c r="K1430" t="s">
        <v>37</v>
      </c>
      <c r="L1430" t="s">
        <v>49</v>
      </c>
      <c r="M1430">
        <v>3</v>
      </c>
    </row>
    <row r="1431" spans="1:13" x14ac:dyDescent="0.25">
      <c r="A1431">
        <v>1503</v>
      </c>
      <c r="B1431" t="s">
        <v>131</v>
      </c>
      <c r="C1431" t="s">
        <v>79</v>
      </c>
      <c r="D1431" t="s">
        <v>52</v>
      </c>
      <c r="E1431" t="s">
        <v>1228</v>
      </c>
      <c r="F1431">
        <v>31000</v>
      </c>
      <c r="G1431">
        <v>60000</v>
      </c>
      <c r="H1431" t="s">
        <v>58</v>
      </c>
      <c r="K1431" t="s">
        <v>44</v>
      </c>
      <c r="L1431" t="s">
        <v>49</v>
      </c>
      <c r="M1431">
        <v>2</v>
      </c>
    </row>
    <row r="1432" spans="1:13" x14ac:dyDescent="0.25">
      <c r="A1432">
        <v>1033</v>
      </c>
      <c r="B1432" t="s">
        <v>1229</v>
      </c>
      <c r="C1432" t="s">
        <v>65</v>
      </c>
      <c r="D1432">
        <v>2022</v>
      </c>
      <c r="E1432">
        <v>20467</v>
      </c>
      <c r="F1432">
        <v>26000</v>
      </c>
      <c r="G1432">
        <v>80000</v>
      </c>
      <c r="H1432" t="s">
        <v>41</v>
      </c>
      <c r="I1432" t="s">
        <v>42</v>
      </c>
      <c r="K1432" t="s">
        <v>100</v>
      </c>
      <c r="L1432" t="s">
        <v>90</v>
      </c>
      <c r="M1432">
        <v>0</v>
      </c>
    </row>
    <row r="1433" spans="1:13" x14ac:dyDescent="0.25">
      <c r="A1433">
        <v>1407</v>
      </c>
      <c r="B1433" t="s">
        <v>844</v>
      </c>
      <c r="C1433" t="s">
        <v>57</v>
      </c>
      <c r="D1433">
        <v>2020</v>
      </c>
      <c r="E1433">
        <v>3820</v>
      </c>
      <c r="F1433">
        <v>7000</v>
      </c>
      <c r="G1433" t="s">
        <v>76</v>
      </c>
      <c r="H1433" t="s">
        <v>41</v>
      </c>
      <c r="I1433" t="s">
        <v>35</v>
      </c>
      <c r="J1433" t="s">
        <v>43</v>
      </c>
      <c r="K1433" t="s">
        <v>116</v>
      </c>
      <c r="L1433" t="s">
        <v>126</v>
      </c>
      <c r="M1433">
        <v>1</v>
      </c>
    </row>
    <row r="1434" spans="1:13" x14ac:dyDescent="0.25">
      <c r="A1434">
        <v>1011</v>
      </c>
      <c r="B1434" t="s">
        <v>842</v>
      </c>
      <c r="C1434" t="s">
        <v>75</v>
      </c>
      <c r="D1434">
        <v>2020</v>
      </c>
      <c r="E1434">
        <v>13678</v>
      </c>
      <c r="F1434">
        <v>15000</v>
      </c>
      <c r="G1434" t="s">
        <v>92</v>
      </c>
      <c r="H1434" t="s">
        <v>58</v>
      </c>
      <c r="I1434" t="s">
        <v>59</v>
      </c>
      <c r="J1434" t="s">
        <v>43</v>
      </c>
      <c r="K1434" t="s">
        <v>100</v>
      </c>
      <c r="L1434" t="s">
        <v>45</v>
      </c>
      <c r="M1434">
        <v>2</v>
      </c>
    </row>
    <row r="1435" spans="1:13" x14ac:dyDescent="0.25">
      <c r="A1435">
        <v>1576</v>
      </c>
      <c r="B1435" t="s">
        <v>915</v>
      </c>
      <c r="C1435" t="s">
        <v>94</v>
      </c>
      <c r="E1435">
        <v>10391</v>
      </c>
      <c r="F1435">
        <v>15000</v>
      </c>
      <c r="G1435">
        <v>15000</v>
      </c>
      <c r="H1435" t="s">
        <v>41</v>
      </c>
      <c r="J1435" t="s">
        <v>66</v>
      </c>
      <c r="K1435" t="s">
        <v>73</v>
      </c>
      <c r="L1435" t="s">
        <v>98</v>
      </c>
      <c r="M1435">
        <v>2</v>
      </c>
    </row>
    <row r="1436" spans="1:13" x14ac:dyDescent="0.25">
      <c r="A1436">
        <v>1332</v>
      </c>
      <c r="B1436" t="s">
        <v>1230</v>
      </c>
      <c r="C1436" t="s">
        <v>65</v>
      </c>
      <c r="D1436">
        <v>2014</v>
      </c>
      <c r="E1436" t="s">
        <v>1231</v>
      </c>
      <c r="F1436">
        <v>12000</v>
      </c>
      <c r="G1436">
        <v>40000</v>
      </c>
      <c r="H1436" t="s">
        <v>53</v>
      </c>
      <c r="I1436" t="s">
        <v>42</v>
      </c>
      <c r="J1436" t="s">
        <v>43</v>
      </c>
      <c r="K1436" t="s">
        <v>100</v>
      </c>
      <c r="L1436" t="s">
        <v>55</v>
      </c>
      <c r="M1436">
        <v>1</v>
      </c>
    </row>
    <row r="1437" spans="1:13" x14ac:dyDescent="0.25">
      <c r="A1437">
        <v>1048</v>
      </c>
      <c r="B1437" t="s">
        <v>1170</v>
      </c>
      <c r="C1437" t="s">
        <v>75</v>
      </c>
      <c r="D1437">
        <v>2016</v>
      </c>
      <c r="E1437">
        <v>6180</v>
      </c>
      <c r="F1437">
        <v>9000</v>
      </c>
      <c r="G1437">
        <v>60000</v>
      </c>
      <c r="H1437" t="s">
        <v>41</v>
      </c>
      <c r="I1437" t="s">
        <v>42</v>
      </c>
      <c r="J1437" t="s">
        <v>43</v>
      </c>
      <c r="K1437" t="s">
        <v>48</v>
      </c>
      <c r="L1437" t="s">
        <v>55</v>
      </c>
      <c r="M1437">
        <v>3</v>
      </c>
    </row>
    <row r="1438" spans="1:13" x14ac:dyDescent="0.25">
      <c r="A1438">
        <v>1364</v>
      </c>
      <c r="B1438" t="s">
        <v>999</v>
      </c>
      <c r="C1438" t="s">
        <v>61</v>
      </c>
      <c r="D1438">
        <v>2016</v>
      </c>
      <c r="E1438">
        <v>25471</v>
      </c>
      <c r="F1438">
        <v>31000</v>
      </c>
      <c r="G1438">
        <v>25000</v>
      </c>
      <c r="H1438" t="s">
        <v>63</v>
      </c>
      <c r="I1438" t="s">
        <v>35</v>
      </c>
      <c r="J1438" t="s">
        <v>43</v>
      </c>
      <c r="K1438" t="s">
        <v>73</v>
      </c>
    </row>
    <row r="1439" spans="1:13" x14ac:dyDescent="0.25">
      <c r="A1439">
        <v>1422</v>
      </c>
      <c r="B1439" t="s">
        <v>557</v>
      </c>
      <c r="C1439" t="s">
        <v>103</v>
      </c>
      <c r="D1439">
        <v>2018</v>
      </c>
      <c r="E1439">
        <v>1944</v>
      </c>
      <c r="F1439" t="s">
        <v>147</v>
      </c>
      <c r="G1439" t="s">
        <v>92</v>
      </c>
      <c r="H1439" t="s">
        <v>41</v>
      </c>
      <c r="I1439" t="s">
        <v>35</v>
      </c>
      <c r="K1439" t="s">
        <v>100</v>
      </c>
      <c r="L1439" t="s">
        <v>126</v>
      </c>
      <c r="M1439">
        <v>1</v>
      </c>
    </row>
    <row r="1440" spans="1:13" x14ac:dyDescent="0.25">
      <c r="A1440">
        <v>1286</v>
      </c>
      <c r="B1440" t="s">
        <v>286</v>
      </c>
      <c r="C1440" t="s">
        <v>57</v>
      </c>
      <c r="D1440">
        <v>2015</v>
      </c>
      <c r="E1440">
        <v>19049</v>
      </c>
      <c r="F1440">
        <v>22000</v>
      </c>
      <c r="G1440" t="s">
        <v>130</v>
      </c>
      <c r="H1440" t="s">
        <v>53</v>
      </c>
      <c r="I1440" t="s">
        <v>42</v>
      </c>
      <c r="J1440" t="s">
        <v>66</v>
      </c>
      <c r="K1440" t="s">
        <v>44</v>
      </c>
      <c r="L1440" t="s">
        <v>38</v>
      </c>
      <c r="M1440">
        <v>1</v>
      </c>
    </row>
    <row r="1441" spans="1:13" x14ac:dyDescent="0.25">
      <c r="A1441">
        <v>1068</v>
      </c>
      <c r="B1441" t="s">
        <v>627</v>
      </c>
      <c r="C1441" t="s">
        <v>47</v>
      </c>
      <c r="D1441">
        <v>2016</v>
      </c>
      <c r="E1441" t="s">
        <v>1232</v>
      </c>
      <c r="F1441">
        <v>7000</v>
      </c>
      <c r="G1441">
        <v>25000</v>
      </c>
      <c r="H1441" t="s">
        <v>63</v>
      </c>
      <c r="I1441" t="s">
        <v>72</v>
      </c>
      <c r="J1441" t="s">
        <v>36</v>
      </c>
      <c r="K1441" t="s">
        <v>37</v>
      </c>
      <c r="L1441" t="s">
        <v>38</v>
      </c>
      <c r="M1441">
        <v>2</v>
      </c>
    </row>
    <row r="1442" spans="1:13" x14ac:dyDescent="0.25">
      <c r="A1442">
        <v>1516</v>
      </c>
      <c r="B1442" t="s">
        <v>1233</v>
      </c>
      <c r="C1442" t="s">
        <v>51</v>
      </c>
      <c r="D1442">
        <v>2019</v>
      </c>
      <c r="E1442">
        <v>2684</v>
      </c>
      <c r="F1442">
        <v>7000</v>
      </c>
      <c r="G1442">
        <v>25000</v>
      </c>
      <c r="H1442" t="s">
        <v>53</v>
      </c>
      <c r="J1442" t="s">
        <v>66</v>
      </c>
      <c r="K1442" t="s">
        <v>77</v>
      </c>
      <c r="L1442" t="s">
        <v>38</v>
      </c>
      <c r="M1442">
        <v>1</v>
      </c>
    </row>
    <row r="1443" spans="1:13" x14ac:dyDescent="0.25">
      <c r="A1443">
        <v>1135</v>
      </c>
      <c r="B1443" t="s">
        <v>1234</v>
      </c>
      <c r="C1443" t="s">
        <v>51</v>
      </c>
      <c r="D1443">
        <v>2017</v>
      </c>
      <c r="E1443" t="s">
        <v>1235</v>
      </c>
      <c r="F1443">
        <v>26000</v>
      </c>
      <c r="G1443">
        <v>25000</v>
      </c>
      <c r="H1443" t="s">
        <v>53</v>
      </c>
      <c r="I1443" t="s">
        <v>35</v>
      </c>
      <c r="J1443" t="s">
        <v>66</v>
      </c>
      <c r="K1443" t="s">
        <v>54</v>
      </c>
      <c r="L1443" t="s">
        <v>45</v>
      </c>
      <c r="M1443">
        <v>0</v>
      </c>
    </row>
    <row r="1444" spans="1:13" x14ac:dyDescent="0.25">
      <c r="A1444">
        <v>1320</v>
      </c>
      <c r="B1444" t="s">
        <v>1236</v>
      </c>
      <c r="C1444" t="s">
        <v>57</v>
      </c>
      <c r="E1444">
        <v>3270</v>
      </c>
      <c r="F1444">
        <v>7000</v>
      </c>
      <c r="G1444">
        <v>60000</v>
      </c>
      <c r="H1444" t="s">
        <v>41</v>
      </c>
      <c r="I1444" t="s">
        <v>35</v>
      </c>
      <c r="J1444" t="s">
        <v>66</v>
      </c>
      <c r="K1444" t="s">
        <v>77</v>
      </c>
      <c r="L1444" t="s">
        <v>55</v>
      </c>
      <c r="M1444">
        <v>3</v>
      </c>
    </row>
    <row r="1445" spans="1:13" x14ac:dyDescent="0.25">
      <c r="A1445">
        <v>1284</v>
      </c>
      <c r="B1445" t="s">
        <v>1237</v>
      </c>
      <c r="C1445" t="s">
        <v>47</v>
      </c>
      <c r="D1445">
        <v>2015</v>
      </c>
      <c r="E1445" t="s">
        <v>1238</v>
      </c>
      <c r="F1445">
        <v>31000</v>
      </c>
      <c r="G1445">
        <v>60000</v>
      </c>
      <c r="H1445" t="s">
        <v>69</v>
      </c>
      <c r="I1445" t="s">
        <v>35</v>
      </c>
      <c r="K1445" t="s">
        <v>77</v>
      </c>
      <c r="L1445" t="s">
        <v>55</v>
      </c>
      <c r="M1445">
        <v>2</v>
      </c>
    </row>
    <row r="1446" spans="1:13" x14ac:dyDescent="0.25">
      <c r="A1446">
        <v>1077</v>
      </c>
      <c r="B1446" t="s">
        <v>495</v>
      </c>
      <c r="C1446" t="s">
        <v>32</v>
      </c>
      <c r="E1446">
        <v>7760</v>
      </c>
      <c r="F1446" t="s">
        <v>204</v>
      </c>
      <c r="G1446">
        <v>25000</v>
      </c>
      <c r="H1446" t="s">
        <v>34</v>
      </c>
      <c r="I1446" t="s">
        <v>42</v>
      </c>
      <c r="J1446" t="s">
        <v>43</v>
      </c>
      <c r="K1446" t="s">
        <v>54</v>
      </c>
      <c r="L1446" t="s">
        <v>55</v>
      </c>
      <c r="M1446">
        <v>2</v>
      </c>
    </row>
    <row r="1447" spans="1:13" x14ac:dyDescent="0.25">
      <c r="A1447">
        <v>1145</v>
      </c>
      <c r="B1447" t="s">
        <v>1239</v>
      </c>
      <c r="C1447" t="s">
        <v>164</v>
      </c>
      <c r="D1447" t="s">
        <v>52</v>
      </c>
      <c r="E1447">
        <v>21862</v>
      </c>
      <c r="F1447">
        <v>26000</v>
      </c>
      <c r="G1447">
        <v>40000</v>
      </c>
      <c r="I1447" t="s">
        <v>42</v>
      </c>
      <c r="J1447" t="s">
        <v>36</v>
      </c>
      <c r="K1447" t="s">
        <v>73</v>
      </c>
      <c r="L1447" t="s">
        <v>90</v>
      </c>
    </row>
    <row r="1448" spans="1:13" x14ac:dyDescent="0.25">
      <c r="A1448">
        <v>1170</v>
      </c>
      <c r="B1448" t="s">
        <v>1091</v>
      </c>
      <c r="C1448" t="s">
        <v>65</v>
      </c>
      <c r="D1448">
        <v>2019</v>
      </c>
      <c r="E1448">
        <v>10500</v>
      </c>
      <c r="F1448" t="s">
        <v>204</v>
      </c>
      <c r="G1448">
        <v>40000</v>
      </c>
      <c r="H1448" t="s">
        <v>63</v>
      </c>
      <c r="I1448" t="s">
        <v>72</v>
      </c>
      <c r="J1448" t="s">
        <v>36</v>
      </c>
      <c r="K1448" t="s">
        <v>44</v>
      </c>
      <c r="L1448" t="s">
        <v>49</v>
      </c>
      <c r="M1448">
        <v>2</v>
      </c>
    </row>
    <row r="1449" spans="1:13" x14ac:dyDescent="0.25">
      <c r="A1449">
        <v>1306</v>
      </c>
      <c r="B1449" t="s">
        <v>1240</v>
      </c>
      <c r="C1449" t="s">
        <v>47</v>
      </c>
      <c r="D1449">
        <v>2016</v>
      </c>
      <c r="E1449">
        <v>2759</v>
      </c>
      <c r="F1449">
        <v>9000</v>
      </c>
      <c r="G1449">
        <v>80000</v>
      </c>
      <c r="I1449" t="s">
        <v>59</v>
      </c>
      <c r="K1449" t="s">
        <v>116</v>
      </c>
      <c r="L1449" t="s">
        <v>90</v>
      </c>
      <c r="M1449">
        <v>2</v>
      </c>
    </row>
    <row r="1450" spans="1:13" x14ac:dyDescent="0.25">
      <c r="A1450">
        <v>1134</v>
      </c>
      <c r="B1450" t="s">
        <v>1241</v>
      </c>
      <c r="C1450" t="s">
        <v>138</v>
      </c>
      <c r="E1450" t="s">
        <v>1242</v>
      </c>
      <c r="F1450" t="s">
        <v>204</v>
      </c>
      <c r="G1450">
        <v>40000</v>
      </c>
      <c r="H1450" t="s">
        <v>69</v>
      </c>
      <c r="I1450" t="s">
        <v>72</v>
      </c>
      <c r="K1450" t="s">
        <v>37</v>
      </c>
      <c r="L1450" t="s">
        <v>90</v>
      </c>
      <c r="M1450">
        <v>0</v>
      </c>
    </row>
    <row r="1451" spans="1:13" x14ac:dyDescent="0.25">
      <c r="A1451">
        <v>1504</v>
      </c>
      <c r="B1451" t="s">
        <v>327</v>
      </c>
      <c r="C1451" t="s">
        <v>51</v>
      </c>
      <c r="D1451">
        <v>2022</v>
      </c>
      <c r="E1451">
        <v>29661</v>
      </c>
      <c r="F1451">
        <v>31000</v>
      </c>
      <c r="G1451" t="s">
        <v>92</v>
      </c>
      <c r="H1451" t="s">
        <v>53</v>
      </c>
      <c r="I1451" t="s">
        <v>42</v>
      </c>
      <c r="J1451" t="s">
        <v>66</v>
      </c>
      <c r="L1451" t="s">
        <v>98</v>
      </c>
      <c r="M1451">
        <v>2</v>
      </c>
    </row>
    <row r="1452" spans="1:13" x14ac:dyDescent="0.25">
      <c r="A1452">
        <v>1555</v>
      </c>
      <c r="B1452" t="s">
        <v>573</v>
      </c>
      <c r="C1452" t="s">
        <v>32</v>
      </c>
      <c r="D1452">
        <v>2019</v>
      </c>
      <c r="E1452">
        <v>3213</v>
      </c>
      <c r="F1452">
        <v>7000</v>
      </c>
      <c r="G1452">
        <v>25000</v>
      </c>
      <c r="H1452" t="s">
        <v>63</v>
      </c>
      <c r="J1452" t="s">
        <v>96</v>
      </c>
      <c r="M1452">
        <v>1</v>
      </c>
    </row>
    <row r="1453" spans="1:13" x14ac:dyDescent="0.25">
      <c r="A1453">
        <v>1414</v>
      </c>
      <c r="B1453" t="s">
        <v>1089</v>
      </c>
      <c r="C1453" t="s">
        <v>57</v>
      </c>
      <c r="D1453">
        <v>2019</v>
      </c>
      <c r="E1453">
        <v>21086</v>
      </c>
      <c r="F1453" t="s">
        <v>83</v>
      </c>
      <c r="G1453">
        <v>120000</v>
      </c>
      <c r="H1453" t="s">
        <v>34</v>
      </c>
      <c r="I1453" t="s">
        <v>59</v>
      </c>
      <c r="J1453" t="s">
        <v>66</v>
      </c>
      <c r="K1453" t="s">
        <v>100</v>
      </c>
      <c r="L1453" t="s">
        <v>109</v>
      </c>
      <c r="M1453">
        <v>2</v>
      </c>
    </row>
    <row r="1454" spans="1:13" x14ac:dyDescent="0.25">
      <c r="A1454">
        <v>1599</v>
      </c>
      <c r="B1454" t="s">
        <v>1243</v>
      </c>
      <c r="C1454" t="s">
        <v>47</v>
      </c>
      <c r="D1454" t="s">
        <v>52</v>
      </c>
      <c r="E1454">
        <v>17943</v>
      </c>
      <c r="F1454">
        <v>22000</v>
      </c>
      <c r="G1454" t="s">
        <v>108</v>
      </c>
      <c r="H1454" t="s">
        <v>63</v>
      </c>
      <c r="I1454" t="s">
        <v>35</v>
      </c>
      <c r="J1454" t="s">
        <v>36</v>
      </c>
      <c r="L1454" t="s">
        <v>90</v>
      </c>
      <c r="M1454">
        <v>2</v>
      </c>
    </row>
    <row r="1455" spans="1:13" x14ac:dyDescent="0.25">
      <c r="A1455">
        <v>1421</v>
      </c>
      <c r="B1455" t="s">
        <v>894</v>
      </c>
      <c r="C1455" t="s">
        <v>94</v>
      </c>
      <c r="D1455">
        <v>2016</v>
      </c>
      <c r="E1455" t="s">
        <v>1244</v>
      </c>
      <c r="F1455">
        <v>18000</v>
      </c>
      <c r="G1455">
        <v>60000</v>
      </c>
      <c r="H1455" t="s">
        <v>41</v>
      </c>
      <c r="I1455" t="s">
        <v>35</v>
      </c>
      <c r="J1455" t="s">
        <v>66</v>
      </c>
      <c r="K1455" t="s">
        <v>100</v>
      </c>
      <c r="L1455" t="s">
        <v>38</v>
      </c>
      <c r="M1455">
        <v>2</v>
      </c>
    </row>
    <row r="1456" spans="1:13" x14ac:dyDescent="0.25">
      <c r="A1456">
        <v>1427</v>
      </c>
      <c r="B1456" t="s">
        <v>716</v>
      </c>
      <c r="C1456" t="s">
        <v>75</v>
      </c>
      <c r="D1456">
        <v>2018</v>
      </c>
      <c r="E1456">
        <v>10907</v>
      </c>
      <c r="F1456">
        <v>12000</v>
      </c>
      <c r="G1456">
        <v>80000</v>
      </c>
      <c r="H1456" t="s">
        <v>58</v>
      </c>
      <c r="I1456" t="s">
        <v>59</v>
      </c>
      <c r="J1456" t="s">
        <v>43</v>
      </c>
      <c r="K1456" t="s">
        <v>73</v>
      </c>
      <c r="L1456" t="s">
        <v>45</v>
      </c>
      <c r="M1456">
        <v>2</v>
      </c>
    </row>
    <row r="1457" spans="1:13" x14ac:dyDescent="0.25">
      <c r="A1457">
        <v>1068</v>
      </c>
      <c r="B1457" t="s">
        <v>1245</v>
      </c>
      <c r="C1457" t="s">
        <v>68</v>
      </c>
      <c r="E1457">
        <v>19410</v>
      </c>
      <c r="F1457">
        <v>22000</v>
      </c>
      <c r="G1457" t="s">
        <v>92</v>
      </c>
      <c r="H1457" t="s">
        <v>53</v>
      </c>
      <c r="J1457" t="s">
        <v>36</v>
      </c>
      <c r="K1457" t="s">
        <v>73</v>
      </c>
      <c r="L1457" t="s">
        <v>49</v>
      </c>
    </row>
    <row r="1458" spans="1:13" x14ac:dyDescent="0.25">
      <c r="A1458">
        <v>1137</v>
      </c>
      <c r="B1458" t="s">
        <v>274</v>
      </c>
      <c r="C1458" t="s">
        <v>119</v>
      </c>
      <c r="D1458">
        <v>2017</v>
      </c>
      <c r="E1458" t="s">
        <v>1246</v>
      </c>
      <c r="F1458">
        <v>22000</v>
      </c>
      <c r="G1458" t="s">
        <v>33</v>
      </c>
      <c r="H1458" t="s">
        <v>53</v>
      </c>
      <c r="I1458" t="s">
        <v>59</v>
      </c>
      <c r="J1458" t="s">
        <v>36</v>
      </c>
      <c r="K1458" t="s">
        <v>73</v>
      </c>
      <c r="L1458" t="s">
        <v>98</v>
      </c>
      <c r="M1458">
        <v>0</v>
      </c>
    </row>
    <row r="1459" spans="1:13" x14ac:dyDescent="0.25">
      <c r="A1459">
        <v>1409</v>
      </c>
      <c r="B1459" t="s">
        <v>358</v>
      </c>
      <c r="C1459" t="s">
        <v>164</v>
      </c>
      <c r="D1459">
        <v>2021</v>
      </c>
      <c r="E1459">
        <v>29695</v>
      </c>
      <c r="F1459" t="s">
        <v>87</v>
      </c>
      <c r="G1459">
        <v>120000</v>
      </c>
      <c r="H1459" t="s">
        <v>34</v>
      </c>
      <c r="I1459" t="s">
        <v>35</v>
      </c>
      <c r="J1459" t="s">
        <v>43</v>
      </c>
      <c r="K1459" t="s">
        <v>48</v>
      </c>
      <c r="L1459" t="s">
        <v>90</v>
      </c>
      <c r="M1459">
        <v>3</v>
      </c>
    </row>
    <row r="1460" spans="1:13" x14ac:dyDescent="0.25">
      <c r="A1460">
        <v>1333</v>
      </c>
      <c r="B1460" t="s">
        <v>941</v>
      </c>
      <c r="C1460" t="s">
        <v>51</v>
      </c>
      <c r="D1460">
        <v>2017</v>
      </c>
      <c r="E1460">
        <v>20880</v>
      </c>
      <c r="F1460">
        <v>22000</v>
      </c>
      <c r="G1460">
        <v>15000</v>
      </c>
      <c r="H1460" t="s">
        <v>84</v>
      </c>
      <c r="I1460" t="s">
        <v>59</v>
      </c>
      <c r="J1460" t="s">
        <v>43</v>
      </c>
      <c r="K1460" t="s">
        <v>100</v>
      </c>
      <c r="L1460" t="s">
        <v>38</v>
      </c>
      <c r="M1460">
        <v>0</v>
      </c>
    </row>
    <row r="1461" spans="1:13" x14ac:dyDescent="0.25">
      <c r="A1461">
        <v>1289</v>
      </c>
      <c r="B1461" t="s">
        <v>1247</v>
      </c>
      <c r="C1461" t="s">
        <v>47</v>
      </c>
      <c r="D1461">
        <v>2017</v>
      </c>
      <c r="E1461">
        <v>24899</v>
      </c>
      <c r="F1461">
        <v>26000</v>
      </c>
      <c r="G1461">
        <v>15000</v>
      </c>
      <c r="H1461" t="s">
        <v>53</v>
      </c>
      <c r="I1461" t="s">
        <v>35</v>
      </c>
      <c r="J1461" t="s">
        <v>43</v>
      </c>
      <c r="K1461" t="s">
        <v>44</v>
      </c>
      <c r="L1461" t="s">
        <v>45</v>
      </c>
      <c r="M1461">
        <v>2</v>
      </c>
    </row>
    <row r="1462" spans="1:13" x14ac:dyDescent="0.25">
      <c r="A1462">
        <v>1397</v>
      </c>
      <c r="B1462" t="s">
        <v>1184</v>
      </c>
      <c r="C1462" t="s">
        <v>32</v>
      </c>
      <c r="D1462">
        <v>2017</v>
      </c>
      <c r="E1462">
        <v>26200</v>
      </c>
      <c r="F1462">
        <v>31000</v>
      </c>
      <c r="G1462">
        <v>25000</v>
      </c>
      <c r="H1462" t="s">
        <v>41</v>
      </c>
      <c r="I1462" t="s">
        <v>59</v>
      </c>
      <c r="J1462" t="s">
        <v>66</v>
      </c>
      <c r="K1462" t="s">
        <v>54</v>
      </c>
      <c r="L1462" t="s">
        <v>45</v>
      </c>
      <c r="M1462">
        <v>1</v>
      </c>
    </row>
    <row r="1463" spans="1:13" x14ac:dyDescent="0.25">
      <c r="A1463">
        <v>1348</v>
      </c>
      <c r="B1463" t="s">
        <v>1181</v>
      </c>
      <c r="C1463" t="s">
        <v>68</v>
      </c>
      <c r="D1463">
        <v>2018</v>
      </c>
      <c r="E1463" t="s">
        <v>1248</v>
      </c>
      <c r="F1463">
        <v>26000</v>
      </c>
      <c r="G1463" t="s">
        <v>76</v>
      </c>
      <c r="H1463" t="s">
        <v>84</v>
      </c>
      <c r="I1463" t="s">
        <v>59</v>
      </c>
      <c r="K1463" t="s">
        <v>77</v>
      </c>
      <c r="L1463" t="s">
        <v>90</v>
      </c>
      <c r="M1463">
        <v>2</v>
      </c>
    </row>
    <row r="1464" spans="1:13" x14ac:dyDescent="0.25">
      <c r="A1464">
        <v>1455</v>
      </c>
      <c r="B1464" t="s">
        <v>790</v>
      </c>
      <c r="C1464" t="s">
        <v>57</v>
      </c>
      <c r="D1464">
        <v>2014</v>
      </c>
      <c r="E1464">
        <v>6410</v>
      </c>
      <c r="F1464">
        <v>12000</v>
      </c>
      <c r="G1464" t="s">
        <v>130</v>
      </c>
      <c r="I1464" t="s">
        <v>42</v>
      </c>
      <c r="J1464" t="s">
        <v>66</v>
      </c>
      <c r="K1464" t="s">
        <v>54</v>
      </c>
      <c r="L1464" t="s">
        <v>109</v>
      </c>
      <c r="M1464">
        <v>3</v>
      </c>
    </row>
    <row r="1465" spans="1:13" x14ac:dyDescent="0.25">
      <c r="A1465">
        <v>1583</v>
      </c>
      <c r="B1465" t="s">
        <v>203</v>
      </c>
      <c r="C1465" t="s">
        <v>61</v>
      </c>
      <c r="D1465">
        <v>2017</v>
      </c>
      <c r="E1465">
        <v>22907</v>
      </c>
      <c r="F1465" t="s">
        <v>83</v>
      </c>
      <c r="G1465">
        <v>80000</v>
      </c>
      <c r="H1465" t="s">
        <v>69</v>
      </c>
      <c r="J1465" t="s">
        <v>96</v>
      </c>
      <c r="K1465" t="s">
        <v>77</v>
      </c>
      <c r="L1465" t="s">
        <v>98</v>
      </c>
      <c r="M1465">
        <v>1</v>
      </c>
    </row>
    <row r="1466" spans="1:13" x14ac:dyDescent="0.25">
      <c r="A1466">
        <v>1177</v>
      </c>
      <c r="B1466" t="s">
        <v>774</v>
      </c>
      <c r="C1466" t="s">
        <v>103</v>
      </c>
      <c r="D1466">
        <v>2022</v>
      </c>
      <c r="E1466" t="s">
        <v>1249</v>
      </c>
      <c r="F1466">
        <v>7000</v>
      </c>
      <c r="G1466">
        <v>40000</v>
      </c>
      <c r="H1466" t="s">
        <v>84</v>
      </c>
      <c r="I1466" t="s">
        <v>35</v>
      </c>
      <c r="J1466" t="s">
        <v>36</v>
      </c>
      <c r="K1466" t="s">
        <v>44</v>
      </c>
      <c r="L1466" t="s">
        <v>38</v>
      </c>
    </row>
    <row r="1467" spans="1:13" x14ac:dyDescent="0.25">
      <c r="A1467">
        <v>1093</v>
      </c>
      <c r="B1467" t="s">
        <v>509</v>
      </c>
      <c r="C1467" t="s">
        <v>61</v>
      </c>
      <c r="D1467" t="s">
        <v>52</v>
      </c>
      <c r="E1467">
        <v>18806</v>
      </c>
      <c r="F1467">
        <v>22000</v>
      </c>
      <c r="G1467">
        <v>60000</v>
      </c>
      <c r="H1467" t="s">
        <v>41</v>
      </c>
      <c r="I1467" t="s">
        <v>35</v>
      </c>
      <c r="K1467" t="s">
        <v>77</v>
      </c>
      <c r="L1467" t="s">
        <v>55</v>
      </c>
    </row>
    <row r="1468" spans="1:13" x14ac:dyDescent="0.25">
      <c r="A1468">
        <v>1420</v>
      </c>
      <c r="B1468" t="s">
        <v>664</v>
      </c>
      <c r="C1468" t="s">
        <v>75</v>
      </c>
      <c r="D1468">
        <v>2018</v>
      </c>
      <c r="E1468">
        <v>22504</v>
      </c>
      <c r="F1468">
        <v>26000</v>
      </c>
      <c r="G1468">
        <v>15000</v>
      </c>
      <c r="H1468" t="s">
        <v>69</v>
      </c>
      <c r="I1468" t="s">
        <v>72</v>
      </c>
      <c r="J1468" t="s">
        <v>66</v>
      </c>
      <c r="K1468" t="s">
        <v>116</v>
      </c>
      <c r="L1468" t="s">
        <v>126</v>
      </c>
      <c r="M1468">
        <v>3</v>
      </c>
    </row>
    <row r="1469" spans="1:13" x14ac:dyDescent="0.25">
      <c r="A1469">
        <v>1262</v>
      </c>
      <c r="B1469" t="s">
        <v>777</v>
      </c>
      <c r="C1469" t="s">
        <v>94</v>
      </c>
      <c r="D1469">
        <v>2015</v>
      </c>
      <c r="E1469">
        <v>27122</v>
      </c>
      <c r="F1469">
        <v>31000</v>
      </c>
      <c r="G1469" t="s">
        <v>108</v>
      </c>
      <c r="H1469" t="s">
        <v>34</v>
      </c>
      <c r="I1469" t="s">
        <v>42</v>
      </c>
      <c r="J1469" t="s">
        <v>43</v>
      </c>
      <c r="L1469" t="s">
        <v>49</v>
      </c>
      <c r="M1469">
        <v>2</v>
      </c>
    </row>
    <row r="1470" spans="1:13" x14ac:dyDescent="0.25">
      <c r="A1470">
        <v>1034</v>
      </c>
      <c r="B1470" t="s">
        <v>1031</v>
      </c>
      <c r="C1470" t="s">
        <v>51</v>
      </c>
      <c r="D1470">
        <v>2015</v>
      </c>
      <c r="E1470">
        <v>16012</v>
      </c>
      <c r="F1470" t="s">
        <v>115</v>
      </c>
      <c r="G1470">
        <v>80000</v>
      </c>
      <c r="H1470" t="s">
        <v>58</v>
      </c>
      <c r="J1470" t="s">
        <v>36</v>
      </c>
      <c r="K1470" t="s">
        <v>73</v>
      </c>
      <c r="M1470">
        <v>2</v>
      </c>
    </row>
    <row r="1471" spans="1:13" x14ac:dyDescent="0.25">
      <c r="A1471">
        <v>1020</v>
      </c>
      <c r="B1471" t="s">
        <v>1250</v>
      </c>
      <c r="C1471" t="s">
        <v>61</v>
      </c>
      <c r="D1471">
        <v>2014</v>
      </c>
      <c r="E1471">
        <v>25396</v>
      </c>
      <c r="F1471">
        <v>31000</v>
      </c>
      <c r="G1471">
        <v>120000</v>
      </c>
      <c r="H1471" t="s">
        <v>34</v>
      </c>
      <c r="I1471" t="s">
        <v>35</v>
      </c>
      <c r="J1471" t="s">
        <v>96</v>
      </c>
      <c r="K1471" t="s">
        <v>73</v>
      </c>
      <c r="L1471" t="s">
        <v>38</v>
      </c>
      <c r="M1471">
        <v>1</v>
      </c>
    </row>
    <row r="1472" spans="1:13" x14ac:dyDescent="0.25">
      <c r="A1472">
        <v>1216</v>
      </c>
      <c r="B1472" t="s">
        <v>318</v>
      </c>
      <c r="C1472" t="s">
        <v>138</v>
      </c>
      <c r="D1472">
        <v>2018</v>
      </c>
      <c r="E1472" t="s">
        <v>1251</v>
      </c>
      <c r="F1472">
        <v>26000</v>
      </c>
      <c r="G1472">
        <v>80000</v>
      </c>
      <c r="H1472" t="s">
        <v>53</v>
      </c>
      <c r="I1472" t="s">
        <v>35</v>
      </c>
      <c r="J1472" t="s">
        <v>43</v>
      </c>
      <c r="K1472" t="s">
        <v>116</v>
      </c>
      <c r="L1472" t="s">
        <v>49</v>
      </c>
    </row>
    <row r="1473" spans="1:13" x14ac:dyDescent="0.25">
      <c r="A1473">
        <v>1588</v>
      </c>
      <c r="B1473" t="s">
        <v>1174</v>
      </c>
      <c r="C1473" t="s">
        <v>164</v>
      </c>
      <c r="D1473">
        <v>2016</v>
      </c>
      <c r="E1473">
        <v>7639</v>
      </c>
      <c r="F1473">
        <v>12000</v>
      </c>
      <c r="G1473">
        <v>60000</v>
      </c>
      <c r="K1473" t="s">
        <v>48</v>
      </c>
      <c r="L1473" t="s">
        <v>109</v>
      </c>
      <c r="M1473">
        <v>1</v>
      </c>
    </row>
    <row r="1474" spans="1:13" x14ac:dyDescent="0.25">
      <c r="A1474">
        <v>1586</v>
      </c>
      <c r="B1474" t="s">
        <v>520</v>
      </c>
      <c r="C1474" t="s">
        <v>61</v>
      </c>
      <c r="D1474" t="s">
        <v>52</v>
      </c>
      <c r="E1474">
        <v>2144</v>
      </c>
      <c r="F1474">
        <v>7000</v>
      </c>
      <c r="G1474">
        <v>60000</v>
      </c>
      <c r="I1474" t="s">
        <v>59</v>
      </c>
      <c r="J1474" t="s">
        <v>36</v>
      </c>
      <c r="K1474" t="s">
        <v>44</v>
      </c>
      <c r="L1474" t="s">
        <v>109</v>
      </c>
      <c r="M1474">
        <v>0</v>
      </c>
    </row>
    <row r="1475" spans="1:13" x14ac:dyDescent="0.25">
      <c r="A1475">
        <v>1060</v>
      </c>
      <c r="B1475" t="s">
        <v>422</v>
      </c>
      <c r="C1475" t="s">
        <v>51</v>
      </c>
      <c r="E1475">
        <v>10034</v>
      </c>
      <c r="F1475">
        <v>12000</v>
      </c>
      <c r="G1475">
        <v>25000</v>
      </c>
      <c r="H1475" t="s">
        <v>84</v>
      </c>
      <c r="J1475" t="s">
        <v>43</v>
      </c>
      <c r="K1475" t="s">
        <v>116</v>
      </c>
      <c r="L1475" t="s">
        <v>126</v>
      </c>
      <c r="M1475">
        <v>3</v>
      </c>
    </row>
    <row r="1476" spans="1:13" x14ac:dyDescent="0.25">
      <c r="A1476">
        <v>1166</v>
      </c>
      <c r="B1476" t="s">
        <v>1252</v>
      </c>
      <c r="C1476" t="s">
        <v>94</v>
      </c>
      <c r="D1476">
        <v>2017</v>
      </c>
      <c r="E1476">
        <v>10429</v>
      </c>
      <c r="F1476">
        <v>12000</v>
      </c>
      <c r="G1476">
        <v>15000</v>
      </c>
      <c r="H1476" t="s">
        <v>41</v>
      </c>
      <c r="I1476" t="s">
        <v>59</v>
      </c>
      <c r="J1476" t="s">
        <v>66</v>
      </c>
      <c r="K1476" t="s">
        <v>100</v>
      </c>
    </row>
    <row r="1477" spans="1:13" x14ac:dyDescent="0.25">
      <c r="A1477">
        <v>1157</v>
      </c>
      <c r="B1477" t="s">
        <v>843</v>
      </c>
      <c r="C1477" t="s">
        <v>75</v>
      </c>
      <c r="D1477" t="s">
        <v>52</v>
      </c>
      <c r="E1477">
        <v>10017</v>
      </c>
      <c r="F1477">
        <v>12000</v>
      </c>
      <c r="G1477">
        <v>60000</v>
      </c>
      <c r="H1477" t="s">
        <v>53</v>
      </c>
      <c r="I1477" t="s">
        <v>42</v>
      </c>
      <c r="J1477" t="s">
        <v>43</v>
      </c>
      <c r="K1477" t="s">
        <v>37</v>
      </c>
      <c r="L1477" t="s">
        <v>55</v>
      </c>
      <c r="M1477">
        <v>0</v>
      </c>
    </row>
    <row r="1478" spans="1:13" x14ac:dyDescent="0.25">
      <c r="A1478">
        <v>1161</v>
      </c>
      <c r="B1478" t="s">
        <v>270</v>
      </c>
      <c r="C1478" t="s">
        <v>103</v>
      </c>
      <c r="D1478">
        <v>2018</v>
      </c>
      <c r="E1478" t="s">
        <v>1253</v>
      </c>
      <c r="F1478">
        <v>18000</v>
      </c>
      <c r="G1478">
        <v>25000</v>
      </c>
      <c r="H1478" t="s">
        <v>53</v>
      </c>
      <c r="I1478" t="s">
        <v>35</v>
      </c>
      <c r="J1478" t="s">
        <v>66</v>
      </c>
      <c r="K1478" t="s">
        <v>44</v>
      </c>
      <c r="L1478" t="s">
        <v>45</v>
      </c>
    </row>
    <row r="1479" spans="1:13" x14ac:dyDescent="0.25">
      <c r="A1479">
        <v>1460</v>
      </c>
      <c r="B1479" t="s">
        <v>1254</v>
      </c>
      <c r="C1479" t="s">
        <v>40</v>
      </c>
      <c r="D1479">
        <v>2015</v>
      </c>
      <c r="E1479" t="s">
        <v>1255</v>
      </c>
      <c r="F1479">
        <v>18000</v>
      </c>
      <c r="G1479" t="s">
        <v>130</v>
      </c>
      <c r="H1479" t="s">
        <v>63</v>
      </c>
      <c r="J1479" t="s">
        <v>43</v>
      </c>
      <c r="K1479" t="s">
        <v>77</v>
      </c>
      <c r="L1479" t="s">
        <v>126</v>
      </c>
      <c r="M1479">
        <v>2</v>
      </c>
    </row>
    <row r="1480" spans="1:13" x14ac:dyDescent="0.25">
      <c r="A1480">
        <v>1524</v>
      </c>
      <c r="B1480" t="s">
        <v>820</v>
      </c>
      <c r="C1480" t="s">
        <v>65</v>
      </c>
      <c r="E1480">
        <v>9100</v>
      </c>
      <c r="F1480">
        <v>12000</v>
      </c>
      <c r="G1480">
        <v>40000</v>
      </c>
      <c r="H1480" t="s">
        <v>41</v>
      </c>
      <c r="I1480" t="s">
        <v>42</v>
      </c>
      <c r="J1480" t="s">
        <v>36</v>
      </c>
      <c r="K1480" t="s">
        <v>116</v>
      </c>
      <c r="M1480">
        <v>0</v>
      </c>
    </row>
    <row r="1481" spans="1:13" x14ac:dyDescent="0.25">
      <c r="A1481">
        <v>1277</v>
      </c>
      <c r="B1481" t="s">
        <v>1256</v>
      </c>
      <c r="C1481" t="s">
        <v>103</v>
      </c>
      <c r="D1481">
        <v>2021</v>
      </c>
      <c r="E1481">
        <v>807</v>
      </c>
      <c r="F1481">
        <v>7000</v>
      </c>
      <c r="G1481">
        <v>60000</v>
      </c>
      <c r="H1481" t="s">
        <v>41</v>
      </c>
      <c r="I1481" t="s">
        <v>35</v>
      </c>
      <c r="J1481" t="s">
        <v>43</v>
      </c>
      <c r="K1481" t="s">
        <v>54</v>
      </c>
      <c r="L1481" t="s">
        <v>90</v>
      </c>
    </row>
    <row r="1482" spans="1:13" x14ac:dyDescent="0.25">
      <c r="A1482">
        <v>1117</v>
      </c>
      <c r="B1482" t="s">
        <v>1074</v>
      </c>
      <c r="C1482" t="s">
        <v>75</v>
      </c>
      <c r="D1482">
        <v>2019</v>
      </c>
      <c r="E1482">
        <v>2324</v>
      </c>
      <c r="F1482">
        <v>7000</v>
      </c>
      <c r="G1482">
        <v>25000</v>
      </c>
      <c r="H1482" t="s">
        <v>34</v>
      </c>
      <c r="I1482" t="s">
        <v>72</v>
      </c>
      <c r="J1482" t="s">
        <v>36</v>
      </c>
      <c r="K1482" t="s">
        <v>116</v>
      </c>
      <c r="L1482" t="s">
        <v>126</v>
      </c>
      <c r="M1482">
        <v>1</v>
      </c>
    </row>
    <row r="1483" spans="1:13" x14ac:dyDescent="0.25">
      <c r="A1483">
        <v>1465</v>
      </c>
      <c r="B1483" t="s">
        <v>179</v>
      </c>
      <c r="C1483" t="s">
        <v>40</v>
      </c>
      <c r="D1483">
        <v>2022</v>
      </c>
      <c r="E1483" t="s">
        <v>1257</v>
      </c>
      <c r="F1483">
        <v>7000</v>
      </c>
      <c r="G1483" t="s">
        <v>121</v>
      </c>
      <c r="H1483" t="s">
        <v>34</v>
      </c>
      <c r="J1483" t="s">
        <v>66</v>
      </c>
      <c r="K1483" t="s">
        <v>54</v>
      </c>
      <c r="L1483" t="s">
        <v>45</v>
      </c>
    </row>
    <row r="1484" spans="1:13" x14ac:dyDescent="0.25">
      <c r="A1484">
        <v>1519</v>
      </c>
      <c r="B1484" t="s">
        <v>760</v>
      </c>
      <c r="C1484" t="s">
        <v>61</v>
      </c>
      <c r="D1484">
        <v>2014</v>
      </c>
      <c r="E1484">
        <v>4794</v>
      </c>
      <c r="F1484">
        <v>7000</v>
      </c>
      <c r="G1484">
        <v>60000</v>
      </c>
      <c r="H1484" t="s">
        <v>58</v>
      </c>
      <c r="I1484" t="s">
        <v>59</v>
      </c>
      <c r="J1484" t="s">
        <v>96</v>
      </c>
      <c r="K1484" t="s">
        <v>37</v>
      </c>
      <c r="L1484" t="s">
        <v>49</v>
      </c>
      <c r="M1484">
        <v>3</v>
      </c>
    </row>
    <row r="1485" spans="1:13" x14ac:dyDescent="0.25">
      <c r="A1485">
        <v>1112</v>
      </c>
      <c r="B1485" t="s">
        <v>1250</v>
      </c>
      <c r="C1485" t="s">
        <v>40</v>
      </c>
      <c r="D1485">
        <v>2020</v>
      </c>
      <c r="E1485" t="s">
        <v>1258</v>
      </c>
      <c r="F1485">
        <v>9000</v>
      </c>
      <c r="G1485">
        <v>120000</v>
      </c>
      <c r="H1485" t="s">
        <v>41</v>
      </c>
      <c r="J1485" t="s">
        <v>36</v>
      </c>
      <c r="L1485" t="s">
        <v>90</v>
      </c>
      <c r="M1485">
        <v>0</v>
      </c>
    </row>
    <row r="1486" spans="1:13" x14ac:dyDescent="0.25">
      <c r="A1486">
        <v>1431</v>
      </c>
      <c r="B1486" t="s">
        <v>251</v>
      </c>
      <c r="C1486" t="s">
        <v>119</v>
      </c>
      <c r="E1486" t="s">
        <v>1259</v>
      </c>
      <c r="F1486">
        <v>9000</v>
      </c>
      <c r="G1486">
        <v>60000</v>
      </c>
      <c r="H1486" t="s">
        <v>69</v>
      </c>
      <c r="I1486" t="s">
        <v>42</v>
      </c>
      <c r="J1486" t="s">
        <v>96</v>
      </c>
      <c r="K1486" t="s">
        <v>48</v>
      </c>
      <c r="L1486" t="s">
        <v>90</v>
      </c>
      <c r="M1486">
        <v>2</v>
      </c>
    </row>
    <row r="1487" spans="1:13" x14ac:dyDescent="0.25">
      <c r="A1487">
        <v>1011</v>
      </c>
      <c r="B1487" t="s">
        <v>783</v>
      </c>
      <c r="C1487" t="s">
        <v>61</v>
      </c>
      <c r="D1487">
        <v>2022</v>
      </c>
      <c r="E1487">
        <v>29335</v>
      </c>
      <c r="F1487">
        <v>31000</v>
      </c>
      <c r="G1487">
        <v>15000</v>
      </c>
      <c r="H1487" t="s">
        <v>58</v>
      </c>
      <c r="I1487" t="s">
        <v>72</v>
      </c>
      <c r="J1487" t="s">
        <v>66</v>
      </c>
      <c r="K1487" t="s">
        <v>44</v>
      </c>
      <c r="L1487" t="s">
        <v>38</v>
      </c>
      <c r="M1487">
        <v>3</v>
      </c>
    </row>
    <row r="1488" spans="1:13" x14ac:dyDescent="0.25">
      <c r="A1488">
        <v>1372</v>
      </c>
      <c r="B1488" t="s">
        <v>597</v>
      </c>
      <c r="C1488" t="s">
        <v>40</v>
      </c>
      <c r="E1488">
        <v>6175</v>
      </c>
      <c r="F1488">
        <v>9000</v>
      </c>
      <c r="G1488">
        <v>25000</v>
      </c>
      <c r="I1488" t="s">
        <v>59</v>
      </c>
      <c r="J1488" t="s">
        <v>36</v>
      </c>
      <c r="K1488" t="s">
        <v>77</v>
      </c>
      <c r="L1488" t="s">
        <v>98</v>
      </c>
      <c r="M1488">
        <v>3</v>
      </c>
    </row>
    <row r="1489" spans="1:13" x14ac:dyDescent="0.25">
      <c r="A1489">
        <v>1136</v>
      </c>
      <c r="B1489" t="s">
        <v>1260</v>
      </c>
      <c r="C1489" t="s">
        <v>40</v>
      </c>
      <c r="D1489">
        <v>2016</v>
      </c>
      <c r="E1489">
        <v>13925</v>
      </c>
      <c r="F1489">
        <v>18000</v>
      </c>
      <c r="G1489">
        <v>25000</v>
      </c>
      <c r="H1489" t="s">
        <v>63</v>
      </c>
      <c r="I1489" t="s">
        <v>72</v>
      </c>
      <c r="J1489" t="s">
        <v>66</v>
      </c>
      <c r="K1489" t="s">
        <v>48</v>
      </c>
      <c r="L1489" t="s">
        <v>45</v>
      </c>
    </row>
    <row r="1490" spans="1:13" x14ac:dyDescent="0.25">
      <c r="A1490">
        <v>1248</v>
      </c>
      <c r="B1490" t="s">
        <v>256</v>
      </c>
      <c r="C1490" t="s">
        <v>75</v>
      </c>
      <c r="D1490">
        <v>2022</v>
      </c>
      <c r="E1490">
        <v>27720</v>
      </c>
      <c r="F1490">
        <v>31000</v>
      </c>
      <c r="G1490">
        <v>40000</v>
      </c>
      <c r="H1490" t="s">
        <v>58</v>
      </c>
      <c r="I1490" t="s">
        <v>35</v>
      </c>
      <c r="J1490" t="s">
        <v>96</v>
      </c>
      <c r="K1490" t="s">
        <v>116</v>
      </c>
      <c r="L1490" t="s">
        <v>55</v>
      </c>
      <c r="M1490">
        <v>1</v>
      </c>
    </row>
    <row r="1491" spans="1:13" x14ac:dyDescent="0.25">
      <c r="A1491">
        <v>1130</v>
      </c>
      <c r="B1491" t="s">
        <v>1261</v>
      </c>
      <c r="C1491" t="s">
        <v>79</v>
      </c>
      <c r="D1491">
        <v>2018</v>
      </c>
      <c r="E1491">
        <v>23753</v>
      </c>
      <c r="F1491" t="s">
        <v>83</v>
      </c>
      <c r="G1491">
        <v>60000</v>
      </c>
      <c r="L1491" t="s">
        <v>98</v>
      </c>
      <c r="M1491">
        <v>2</v>
      </c>
    </row>
    <row r="1492" spans="1:13" x14ac:dyDescent="0.25">
      <c r="A1492">
        <v>1496</v>
      </c>
      <c r="B1492" t="s">
        <v>213</v>
      </c>
      <c r="C1492" t="s">
        <v>75</v>
      </c>
      <c r="D1492">
        <v>2016</v>
      </c>
      <c r="E1492">
        <v>18458</v>
      </c>
      <c r="F1492">
        <v>22000</v>
      </c>
      <c r="G1492">
        <v>80000</v>
      </c>
      <c r="H1492" t="s">
        <v>58</v>
      </c>
      <c r="I1492" t="s">
        <v>42</v>
      </c>
      <c r="J1492" t="s">
        <v>36</v>
      </c>
      <c r="K1492" t="s">
        <v>54</v>
      </c>
      <c r="L1492" t="s">
        <v>90</v>
      </c>
    </row>
    <row r="1493" spans="1:13" x14ac:dyDescent="0.25">
      <c r="A1493">
        <v>1011</v>
      </c>
      <c r="B1493" t="s">
        <v>1262</v>
      </c>
      <c r="C1493" t="s">
        <v>94</v>
      </c>
      <c r="D1493">
        <v>2016</v>
      </c>
      <c r="E1493">
        <v>6383</v>
      </c>
      <c r="F1493">
        <v>12000</v>
      </c>
      <c r="G1493">
        <v>60000</v>
      </c>
      <c r="H1493" t="s">
        <v>34</v>
      </c>
      <c r="I1493" t="s">
        <v>42</v>
      </c>
      <c r="J1493" t="s">
        <v>66</v>
      </c>
      <c r="K1493" t="s">
        <v>44</v>
      </c>
      <c r="L1493" t="s">
        <v>98</v>
      </c>
    </row>
    <row r="1494" spans="1:13" x14ac:dyDescent="0.25">
      <c r="A1494">
        <v>1488</v>
      </c>
      <c r="B1494" t="s">
        <v>732</v>
      </c>
      <c r="C1494" t="s">
        <v>164</v>
      </c>
      <c r="E1494">
        <v>11374</v>
      </c>
      <c r="F1494">
        <v>15000</v>
      </c>
      <c r="G1494">
        <v>25000</v>
      </c>
      <c r="I1494" t="s">
        <v>59</v>
      </c>
      <c r="K1494" t="s">
        <v>100</v>
      </c>
      <c r="L1494" t="s">
        <v>109</v>
      </c>
      <c r="M1494">
        <v>3</v>
      </c>
    </row>
    <row r="1495" spans="1:13" x14ac:dyDescent="0.25">
      <c r="A1495">
        <v>1176</v>
      </c>
      <c r="B1495" t="s">
        <v>940</v>
      </c>
      <c r="C1495" t="s">
        <v>40</v>
      </c>
      <c r="D1495">
        <v>2018</v>
      </c>
      <c r="E1495" t="s">
        <v>1263</v>
      </c>
      <c r="F1495">
        <v>9000</v>
      </c>
      <c r="G1495">
        <v>25000</v>
      </c>
      <c r="H1495" t="s">
        <v>53</v>
      </c>
      <c r="I1495" t="s">
        <v>35</v>
      </c>
      <c r="J1495" t="s">
        <v>96</v>
      </c>
      <c r="K1495" t="s">
        <v>77</v>
      </c>
      <c r="M1495">
        <v>1</v>
      </c>
    </row>
    <row r="1496" spans="1:13" x14ac:dyDescent="0.25">
      <c r="A1496">
        <v>1004</v>
      </c>
      <c r="B1496" t="s">
        <v>740</v>
      </c>
      <c r="C1496" t="s">
        <v>75</v>
      </c>
      <c r="D1496">
        <v>2016</v>
      </c>
      <c r="E1496">
        <v>10920</v>
      </c>
      <c r="F1496">
        <v>12000</v>
      </c>
      <c r="G1496" t="s">
        <v>92</v>
      </c>
      <c r="I1496" t="s">
        <v>59</v>
      </c>
      <c r="J1496" t="s">
        <v>66</v>
      </c>
      <c r="K1496" t="s">
        <v>37</v>
      </c>
      <c r="L1496" t="s">
        <v>45</v>
      </c>
      <c r="M1496">
        <v>1</v>
      </c>
    </row>
    <row r="1497" spans="1:13" x14ac:dyDescent="0.25">
      <c r="A1497">
        <v>1017</v>
      </c>
      <c r="B1497" t="s">
        <v>453</v>
      </c>
      <c r="C1497" t="s">
        <v>68</v>
      </c>
      <c r="D1497">
        <v>2018</v>
      </c>
      <c r="E1497">
        <v>5539</v>
      </c>
      <c r="F1497">
        <v>9000</v>
      </c>
      <c r="G1497">
        <v>25000</v>
      </c>
      <c r="H1497" t="s">
        <v>58</v>
      </c>
      <c r="J1497" t="s">
        <v>43</v>
      </c>
      <c r="K1497" t="s">
        <v>100</v>
      </c>
      <c r="L1497" t="s">
        <v>126</v>
      </c>
    </row>
    <row r="1498" spans="1:13" x14ac:dyDescent="0.25">
      <c r="A1498">
        <v>1163</v>
      </c>
      <c r="B1498" t="s">
        <v>1264</v>
      </c>
      <c r="C1498" t="s">
        <v>103</v>
      </c>
      <c r="D1498" t="s">
        <v>52</v>
      </c>
      <c r="E1498">
        <v>17857</v>
      </c>
      <c r="F1498">
        <v>22000</v>
      </c>
      <c r="G1498">
        <v>120000</v>
      </c>
      <c r="H1498" t="s">
        <v>69</v>
      </c>
      <c r="I1498" t="s">
        <v>35</v>
      </c>
      <c r="J1498" t="s">
        <v>96</v>
      </c>
      <c r="K1498" t="s">
        <v>100</v>
      </c>
      <c r="L1498" t="s">
        <v>126</v>
      </c>
    </row>
    <row r="1499" spans="1:13" x14ac:dyDescent="0.25">
      <c r="A1499">
        <v>1496</v>
      </c>
      <c r="B1499" t="s">
        <v>870</v>
      </c>
      <c r="C1499" t="s">
        <v>57</v>
      </c>
      <c r="D1499">
        <v>2017</v>
      </c>
      <c r="E1499">
        <v>20747</v>
      </c>
      <c r="F1499">
        <v>22000</v>
      </c>
      <c r="G1499">
        <v>25000</v>
      </c>
      <c r="H1499" t="s">
        <v>84</v>
      </c>
      <c r="J1499" t="s">
        <v>96</v>
      </c>
      <c r="L1499" t="s">
        <v>98</v>
      </c>
      <c r="M1499">
        <v>1</v>
      </c>
    </row>
    <row r="1500" spans="1:13" x14ac:dyDescent="0.25">
      <c r="A1500">
        <v>1004</v>
      </c>
      <c r="B1500" t="s">
        <v>1265</v>
      </c>
      <c r="C1500" t="s">
        <v>68</v>
      </c>
      <c r="D1500" t="s">
        <v>52</v>
      </c>
      <c r="E1500" t="s">
        <v>1266</v>
      </c>
      <c r="F1500">
        <v>22000</v>
      </c>
      <c r="G1500" t="s">
        <v>92</v>
      </c>
      <c r="H1500" t="s">
        <v>41</v>
      </c>
      <c r="I1500" t="s">
        <v>59</v>
      </c>
      <c r="K1500" t="s">
        <v>48</v>
      </c>
      <c r="L1500" t="s">
        <v>98</v>
      </c>
      <c r="M1500">
        <v>0</v>
      </c>
    </row>
    <row r="1501" spans="1:13" x14ac:dyDescent="0.25">
      <c r="A1501">
        <v>1006</v>
      </c>
      <c r="B1501" t="s">
        <v>1267</v>
      </c>
      <c r="C1501" t="s">
        <v>103</v>
      </c>
      <c r="E1501">
        <v>19748</v>
      </c>
      <c r="F1501">
        <v>22000</v>
      </c>
      <c r="G1501">
        <v>60000</v>
      </c>
      <c r="H1501" t="s">
        <v>69</v>
      </c>
      <c r="I1501" t="s">
        <v>35</v>
      </c>
      <c r="J1501" t="s">
        <v>66</v>
      </c>
      <c r="K1501" t="s">
        <v>44</v>
      </c>
      <c r="L1501" t="s">
        <v>38</v>
      </c>
      <c r="M1501">
        <v>0</v>
      </c>
    </row>
    <row r="1502" spans="1:13" x14ac:dyDescent="0.25">
      <c r="A1502">
        <v>1053</v>
      </c>
      <c r="B1502" t="s">
        <v>366</v>
      </c>
      <c r="C1502" t="s">
        <v>47</v>
      </c>
      <c r="D1502">
        <v>2021</v>
      </c>
      <c r="E1502">
        <v>20206</v>
      </c>
      <c r="F1502">
        <v>22000</v>
      </c>
      <c r="G1502">
        <v>60000</v>
      </c>
      <c r="H1502" t="s">
        <v>84</v>
      </c>
      <c r="I1502" t="s">
        <v>59</v>
      </c>
      <c r="J1502" t="s">
        <v>96</v>
      </c>
      <c r="K1502" t="s">
        <v>73</v>
      </c>
      <c r="L1502" t="s">
        <v>38</v>
      </c>
      <c r="M1502">
        <v>3</v>
      </c>
    </row>
    <row r="1503" spans="1:13" x14ac:dyDescent="0.25">
      <c r="A1503">
        <v>1597</v>
      </c>
      <c r="B1503" t="s">
        <v>467</v>
      </c>
      <c r="C1503" t="s">
        <v>75</v>
      </c>
      <c r="E1503">
        <v>9799</v>
      </c>
      <c r="F1503" t="s">
        <v>204</v>
      </c>
      <c r="G1503" t="s">
        <v>76</v>
      </c>
      <c r="I1503" t="s">
        <v>42</v>
      </c>
      <c r="J1503" t="s">
        <v>66</v>
      </c>
      <c r="K1503" t="s">
        <v>116</v>
      </c>
      <c r="L1503" t="s">
        <v>126</v>
      </c>
      <c r="M1503">
        <v>1</v>
      </c>
    </row>
    <row r="1504" spans="1:13" x14ac:dyDescent="0.25">
      <c r="A1504">
        <v>1293</v>
      </c>
      <c r="B1504" t="s">
        <v>203</v>
      </c>
      <c r="C1504" t="s">
        <v>51</v>
      </c>
      <c r="D1504">
        <v>2016</v>
      </c>
      <c r="E1504">
        <v>14747</v>
      </c>
      <c r="F1504" t="s">
        <v>129</v>
      </c>
      <c r="G1504">
        <v>40000</v>
      </c>
      <c r="H1504" t="s">
        <v>34</v>
      </c>
      <c r="I1504" t="s">
        <v>35</v>
      </c>
      <c r="J1504" t="s">
        <v>43</v>
      </c>
      <c r="L1504" t="s">
        <v>98</v>
      </c>
      <c r="M1504">
        <v>1</v>
      </c>
    </row>
    <row r="1505" spans="1:13" x14ac:dyDescent="0.25">
      <c r="A1505">
        <v>1423</v>
      </c>
      <c r="B1505" t="s">
        <v>1268</v>
      </c>
      <c r="C1505" t="s">
        <v>119</v>
      </c>
      <c r="D1505">
        <v>2019</v>
      </c>
      <c r="E1505">
        <v>2333</v>
      </c>
      <c r="F1505">
        <v>9000</v>
      </c>
      <c r="G1505">
        <v>15000</v>
      </c>
      <c r="I1505" t="s">
        <v>35</v>
      </c>
      <c r="K1505" t="s">
        <v>44</v>
      </c>
      <c r="L1505" t="s">
        <v>49</v>
      </c>
      <c r="M1505">
        <v>3</v>
      </c>
    </row>
    <row r="1506" spans="1:13" x14ac:dyDescent="0.25">
      <c r="A1506">
        <v>1080</v>
      </c>
      <c r="B1506" t="s">
        <v>645</v>
      </c>
      <c r="C1506" t="s">
        <v>119</v>
      </c>
      <c r="D1506" t="s">
        <v>52</v>
      </c>
      <c r="E1506">
        <v>6142</v>
      </c>
      <c r="F1506">
        <v>12000</v>
      </c>
      <c r="G1506">
        <v>80000</v>
      </c>
      <c r="H1506" t="s">
        <v>41</v>
      </c>
      <c r="J1506" t="s">
        <v>36</v>
      </c>
      <c r="L1506" t="s">
        <v>109</v>
      </c>
    </row>
    <row r="1507" spans="1:13" x14ac:dyDescent="0.25">
      <c r="A1507">
        <v>1328</v>
      </c>
      <c r="B1507" t="s">
        <v>240</v>
      </c>
      <c r="C1507" t="s">
        <v>40</v>
      </c>
      <c r="D1507">
        <v>2019</v>
      </c>
      <c r="E1507">
        <v>20353</v>
      </c>
      <c r="F1507">
        <v>22000</v>
      </c>
      <c r="G1507">
        <v>80000</v>
      </c>
      <c r="H1507" t="s">
        <v>34</v>
      </c>
      <c r="I1507" t="s">
        <v>72</v>
      </c>
      <c r="J1507" t="s">
        <v>66</v>
      </c>
      <c r="K1507" t="s">
        <v>37</v>
      </c>
      <c r="L1507" t="s">
        <v>98</v>
      </c>
      <c r="M1507">
        <v>0</v>
      </c>
    </row>
    <row r="1508" spans="1:13" x14ac:dyDescent="0.25">
      <c r="A1508">
        <v>1251</v>
      </c>
      <c r="B1508" t="s">
        <v>439</v>
      </c>
      <c r="C1508" t="s">
        <v>133</v>
      </c>
      <c r="D1508">
        <v>2021</v>
      </c>
      <c r="E1508">
        <v>3665</v>
      </c>
      <c r="F1508">
        <v>7000</v>
      </c>
      <c r="G1508">
        <v>15000</v>
      </c>
      <c r="H1508" t="s">
        <v>63</v>
      </c>
      <c r="I1508" t="s">
        <v>72</v>
      </c>
      <c r="J1508" t="s">
        <v>36</v>
      </c>
      <c r="L1508" t="s">
        <v>45</v>
      </c>
      <c r="M1508">
        <v>0</v>
      </c>
    </row>
    <row r="1509" spans="1:13" x14ac:dyDescent="0.25">
      <c r="A1509">
        <v>1024</v>
      </c>
      <c r="B1509" t="s">
        <v>1269</v>
      </c>
      <c r="C1509" t="s">
        <v>119</v>
      </c>
      <c r="E1509">
        <v>10333</v>
      </c>
      <c r="F1509">
        <v>12000</v>
      </c>
      <c r="G1509">
        <v>25000</v>
      </c>
      <c r="H1509" t="s">
        <v>58</v>
      </c>
      <c r="I1509" t="s">
        <v>35</v>
      </c>
      <c r="J1509" t="s">
        <v>66</v>
      </c>
      <c r="L1509" t="s">
        <v>109</v>
      </c>
    </row>
    <row r="1510" spans="1:13" x14ac:dyDescent="0.25">
      <c r="A1510">
        <v>1455</v>
      </c>
      <c r="B1510" t="s">
        <v>175</v>
      </c>
      <c r="C1510" t="s">
        <v>94</v>
      </c>
      <c r="D1510" t="s">
        <v>52</v>
      </c>
      <c r="E1510">
        <v>11320</v>
      </c>
      <c r="F1510" t="s">
        <v>129</v>
      </c>
      <c r="G1510">
        <v>120000</v>
      </c>
      <c r="H1510" t="s">
        <v>58</v>
      </c>
      <c r="J1510" t="s">
        <v>96</v>
      </c>
      <c r="K1510" t="s">
        <v>37</v>
      </c>
      <c r="L1510" t="s">
        <v>98</v>
      </c>
      <c r="M1510">
        <v>2</v>
      </c>
    </row>
    <row r="1511" spans="1:13" x14ac:dyDescent="0.25">
      <c r="A1511">
        <v>1350</v>
      </c>
      <c r="B1511" t="s">
        <v>1270</v>
      </c>
      <c r="C1511" t="s">
        <v>103</v>
      </c>
      <c r="E1511">
        <v>8083</v>
      </c>
      <c r="F1511" t="s">
        <v>89</v>
      </c>
      <c r="G1511" t="s">
        <v>33</v>
      </c>
      <c r="H1511" t="s">
        <v>53</v>
      </c>
      <c r="J1511" t="s">
        <v>43</v>
      </c>
      <c r="K1511" t="s">
        <v>54</v>
      </c>
      <c r="L1511" t="s">
        <v>45</v>
      </c>
      <c r="M1511">
        <v>0</v>
      </c>
    </row>
    <row r="1512" spans="1:13" x14ac:dyDescent="0.25">
      <c r="A1512">
        <v>1494</v>
      </c>
      <c r="B1512" t="s">
        <v>1072</v>
      </c>
      <c r="C1512" t="s">
        <v>68</v>
      </c>
      <c r="D1512">
        <v>2020</v>
      </c>
      <c r="E1512">
        <v>25859</v>
      </c>
      <c r="F1512" t="s">
        <v>87</v>
      </c>
      <c r="G1512" t="s">
        <v>76</v>
      </c>
      <c r="H1512" t="s">
        <v>84</v>
      </c>
      <c r="K1512" t="s">
        <v>37</v>
      </c>
      <c r="M1512">
        <v>2</v>
      </c>
    </row>
    <row r="1513" spans="1:13" x14ac:dyDescent="0.25">
      <c r="A1513">
        <v>1399</v>
      </c>
      <c r="B1513" t="s">
        <v>521</v>
      </c>
      <c r="C1513" t="s">
        <v>119</v>
      </c>
      <c r="D1513">
        <v>2015</v>
      </c>
      <c r="E1513">
        <v>2424</v>
      </c>
      <c r="F1513" t="s">
        <v>81</v>
      </c>
      <c r="G1513">
        <v>25000</v>
      </c>
      <c r="H1513" t="s">
        <v>63</v>
      </c>
      <c r="J1513" t="s">
        <v>36</v>
      </c>
      <c r="K1513" t="s">
        <v>44</v>
      </c>
      <c r="L1513" t="s">
        <v>90</v>
      </c>
      <c r="M1513">
        <v>3</v>
      </c>
    </row>
    <row r="1514" spans="1:13" x14ac:dyDescent="0.25">
      <c r="A1514">
        <v>1033</v>
      </c>
      <c r="B1514" t="s">
        <v>1009</v>
      </c>
      <c r="C1514" t="s">
        <v>119</v>
      </c>
      <c r="D1514">
        <v>2016</v>
      </c>
      <c r="E1514">
        <v>3134</v>
      </c>
      <c r="F1514">
        <v>9000</v>
      </c>
      <c r="G1514">
        <v>15000</v>
      </c>
      <c r="H1514" t="s">
        <v>58</v>
      </c>
      <c r="I1514" t="s">
        <v>42</v>
      </c>
      <c r="J1514" t="s">
        <v>36</v>
      </c>
      <c r="K1514" t="s">
        <v>44</v>
      </c>
      <c r="L1514" t="s">
        <v>38</v>
      </c>
    </row>
    <row r="1515" spans="1:13" x14ac:dyDescent="0.25">
      <c r="A1515">
        <v>1372</v>
      </c>
      <c r="B1515" t="s">
        <v>555</v>
      </c>
      <c r="C1515" t="s">
        <v>133</v>
      </c>
      <c r="D1515" t="s">
        <v>52</v>
      </c>
      <c r="E1515">
        <v>2090</v>
      </c>
      <c r="F1515">
        <v>7000</v>
      </c>
      <c r="G1515">
        <v>60000</v>
      </c>
      <c r="H1515" t="s">
        <v>41</v>
      </c>
      <c r="J1515" t="s">
        <v>66</v>
      </c>
      <c r="K1515" t="s">
        <v>77</v>
      </c>
      <c r="L1515" t="s">
        <v>49</v>
      </c>
      <c r="M1515">
        <v>3</v>
      </c>
    </row>
    <row r="1516" spans="1:13" x14ac:dyDescent="0.25">
      <c r="A1516">
        <v>1347</v>
      </c>
      <c r="B1516" t="s">
        <v>941</v>
      </c>
      <c r="C1516" t="s">
        <v>75</v>
      </c>
      <c r="D1516">
        <v>2018</v>
      </c>
      <c r="E1516">
        <v>24399</v>
      </c>
      <c r="F1516">
        <v>26000</v>
      </c>
      <c r="G1516">
        <v>120000</v>
      </c>
      <c r="I1516" t="s">
        <v>59</v>
      </c>
      <c r="J1516" t="s">
        <v>43</v>
      </c>
      <c r="K1516" t="s">
        <v>100</v>
      </c>
      <c r="L1516" t="s">
        <v>98</v>
      </c>
      <c r="M1516">
        <v>1</v>
      </c>
    </row>
    <row r="1517" spans="1:13" x14ac:dyDescent="0.25">
      <c r="A1517">
        <v>1013</v>
      </c>
      <c r="B1517" t="s">
        <v>1025</v>
      </c>
      <c r="C1517" t="s">
        <v>119</v>
      </c>
      <c r="D1517">
        <v>2019</v>
      </c>
      <c r="E1517" t="s">
        <v>1271</v>
      </c>
      <c r="F1517">
        <v>26000</v>
      </c>
      <c r="G1517">
        <v>15000</v>
      </c>
      <c r="H1517" t="s">
        <v>69</v>
      </c>
      <c r="I1517" t="s">
        <v>35</v>
      </c>
      <c r="J1517" t="s">
        <v>66</v>
      </c>
      <c r="K1517" t="s">
        <v>44</v>
      </c>
      <c r="L1517" t="s">
        <v>55</v>
      </c>
    </row>
    <row r="1518" spans="1:13" x14ac:dyDescent="0.25">
      <c r="A1518">
        <v>1049</v>
      </c>
      <c r="B1518" t="s">
        <v>60</v>
      </c>
      <c r="C1518" t="s">
        <v>138</v>
      </c>
      <c r="D1518">
        <v>2014</v>
      </c>
      <c r="E1518">
        <v>9766</v>
      </c>
      <c r="F1518">
        <v>15000</v>
      </c>
      <c r="G1518">
        <v>60000</v>
      </c>
      <c r="H1518" t="s">
        <v>41</v>
      </c>
      <c r="I1518" t="s">
        <v>59</v>
      </c>
      <c r="J1518" t="s">
        <v>43</v>
      </c>
      <c r="K1518" t="s">
        <v>77</v>
      </c>
      <c r="L1518" t="s">
        <v>98</v>
      </c>
      <c r="M1518">
        <v>0</v>
      </c>
    </row>
    <row r="1519" spans="1:13" x14ac:dyDescent="0.25">
      <c r="A1519">
        <v>1439</v>
      </c>
      <c r="B1519" t="s">
        <v>1272</v>
      </c>
      <c r="C1519" t="s">
        <v>79</v>
      </c>
      <c r="D1519">
        <v>2014</v>
      </c>
      <c r="E1519">
        <v>6651</v>
      </c>
      <c r="F1519" t="s">
        <v>204</v>
      </c>
      <c r="G1519">
        <v>120000</v>
      </c>
      <c r="H1519" t="s">
        <v>84</v>
      </c>
      <c r="I1519" t="s">
        <v>35</v>
      </c>
      <c r="J1519" t="s">
        <v>66</v>
      </c>
      <c r="K1519" t="s">
        <v>73</v>
      </c>
      <c r="L1519" t="s">
        <v>49</v>
      </c>
      <c r="M1519">
        <v>1</v>
      </c>
    </row>
    <row r="1520" spans="1:13" x14ac:dyDescent="0.25">
      <c r="A1520">
        <v>1023</v>
      </c>
      <c r="B1520" t="s">
        <v>879</v>
      </c>
      <c r="C1520" t="s">
        <v>68</v>
      </c>
      <c r="D1520">
        <v>2017</v>
      </c>
      <c r="E1520">
        <v>3012</v>
      </c>
      <c r="F1520">
        <v>7000</v>
      </c>
      <c r="G1520">
        <v>25000</v>
      </c>
      <c r="I1520" t="s">
        <v>72</v>
      </c>
      <c r="K1520" t="s">
        <v>116</v>
      </c>
      <c r="L1520" t="s">
        <v>109</v>
      </c>
      <c r="M1520">
        <v>1</v>
      </c>
    </row>
    <row r="1521" spans="1:13" x14ac:dyDescent="0.25">
      <c r="A1521">
        <v>1546</v>
      </c>
      <c r="B1521" t="s">
        <v>1273</v>
      </c>
      <c r="C1521" t="s">
        <v>32</v>
      </c>
      <c r="E1521">
        <v>10659</v>
      </c>
      <c r="F1521" t="s">
        <v>204</v>
      </c>
      <c r="G1521">
        <v>60000</v>
      </c>
      <c r="H1521" t="s">
        <v>63</v>
      </c>
      <c r="I1521" t="s">
        <v>59</v>
      </c>
      <c r="J1521" t="s">
        <v>96</v>
      </c>
      <c r="K1521" t="s">
        <v>44</v>
      </c>
      <c r="L1521" t="s">
        <v>45</v>
      </c>
      <c r="M1521">
        <v>2</v>
      </c>
    </row>
    <row r="1522" spans="1:13" x14ac:dyDescent="0.25">
      <c r="A1522">
        <v>1292</v>
      </c>
      <c r="B1522" t="s">
        <v>1111</v>
      </c>
      <c r="C1522" t="s">
        <v>164</v>
      </c>
      <c r="D1522">
        <v>2014</v>
      </c>
      <c r="E1522">
        <v>16439</v>
      </c>
      <c r="F1522">
        <v>22000</v>
      </c>
      <c r="G1522" t="s">
        <v>130</v>
      </c>
      <c r="H1522" t="s">
        <v>41</v>
      </c>
      <c r="J1522" t="s">
        <v>36</v>
      </c>
      <c r="L1522" t="s">
        <v>98</v>
      </c>
      <c r="M1522">
        <v>2</v>
      </c>
    </row>
    <row r="1523" spans="1:13" x14ac:dyDescent="0.25">
      <c r="A1523">
        <v>1407</v>
      </c>
      <c r="B1523" t="s">
        <v>253</v>
      </c>
      <c r="C1523" t="s">
        <v>79</v>
      </c>
      <c r="D1523">
        <v>2022</v>
      </c>
      <c r="E1523">
        <v>11682</v>
      </c>
      <c r="F1523">
        <v>15000</v>
      </c>
      <c r="G1523" t="s">
        <v>130</v>
      </c>
      <c r="H1523" t="s">
        <v>63</v>
      </c>
      <c r="I1523" t="s">
        <v>42</v>
      </c>
      <c r="J1523" t="s">
        <v>36</v>
      </c>
      <c r="K1523" t="s">
        <v>116</v>
      </c>
      <c r="L1523" t="s">
        <v>55</v>
      </c>
      <c r="M1523">
        <v>0</v>
      </c>
    </row>
    <row r="1524" spans="1:13" x14ac:dyDescent="0.25">
      <c r="A1524">
        <v>1105</v>
      </c>
      <c r="B1524" t="s">
        <v>1274</v>
      </c>
      <c r="C1524" t="s">
        <v>61</v>
      </c>
      <c r="D1524">
        <v>2020</v>
      </c>
      <c r="E1524">
        <v>23078</v>
      </c>
      <c r="F1524">
        <v>26000</v>
      </c>
      <c r="G1524">
        <v>15000</v>
      </c>
      <c r="H1524" t="s">
        <v>34</v>
      </c>
      <c r="I1524" t="s">
        <v>35</v>
      </c>
      <c r="J1524" t="s">
        <v>43</v>
      </c>
      <c r="K1524" t="s">
        <v>73</v>
      </c>
      <c r="L1524" t="s">
        <v>45</v>
      </c>
      <c r="M1524">
        <v>3</v>
      </c>
    </row>
    <row r="1525" spans="1:13" x14ac:dyDescent="0.25">
      <c r="A1525">
        <v>1361</v>
      </c>
      <c r="B1525" t="s">
        <v>959</v>
      </c>
      <c r="C1525" t="s">
        <v>164</v>
      </c>
      <c r="D1525">
        <v>2020</v>
      </c>
      <c r="E1525">
        <v>23927</v>
      </c>
      <c r="F1525" t="s">
        <v>83</v>
      </c>
      <c r="G1525">
        <v>15000</v>
      </c>
      <c r="H1525" t="s">
        <v>41</v>
      </c>
      <c r="I1525" t="s">
        <v>35</v>
      </c>
      <c r="J1525" t="s">
        <v>96</v>
      </c>
      <c r="K1525" t="s">
        <v>77</v>
      </c>
      <c r="L1525" t="s">
        <v>126</v>
      </c>
      <c r="M1525">
        <v>0</v>
      </c>
    </row>
    <row r="1526" spans="1:13" x14ac:dyDescent="0.25">
      <c r="A1526">
        <v>1323</v>
      </c>
      <c r="B1526" t="s">
        <v>426</v>
      </c>
      <c r="C1526" t="s">
        <v>138</v>
      </c>
      <c r="D1526">
        <v>2017</v>
      </c>
      <c r="E1526">
        <v>3929</v>
      </c>
      <c r="F1526">
        <v>9000</v>
      </c>
      <c r="G1526">
        <v>60000</v>
      </c>
      <c r="H1526" t="s">
        <v>41</v>
      </c>
      <c r="I1526" t="s">
        <v>72</v>
      </c>
      <c r="J1526" t="s">
        <v>66</v>
      </c>
      <c r="K1526" t="s">
        <v>100</v>
      </c>
      <c r="L1526" t="s">
        <v>45</v>
      </c>
      <c r="M1526">
        <v>2</v>
      </c>
    </row>
    <row r="1527" spans="1:13" x14ac:dyDescent="0.25">
      <c r="A1527">
        <v>1452</v>
      </c>
      <c r="B1527" t="s">
        <v>150</v>
      </c>
      <c r="C1527" t="s">
        <v>75</v>
      </c>
      <c r="D1527">
        <v>2017</v>
      </c>
      <c r="E1527">
        <v>11327</v>
      </c>
      <c r="F1527" t="s">
        <v>89</v>
      </c>
      <c r="G1527">
        <v>80000</v>
      </c>
      <c r="H1527" t="s">
        <v>69</v>
      </c>
      <c r="I1527" t="s">
        <v>72</v>
      </c>
      <c r="J1527" t="s">
        <v>66</v>
      </c>
      <c r="K1527" t="s">
        <v>37</v>
      </c>
      <c r="L1527" t="s">
        <v>109</v>
      </c>
      <c r="M1527">
        <v>3</v>
      </c>
    </row>
    <row r="1528" spans="1:13" x14ac:dyDescent="0.25">
      <c r="A1528">
        <v>1537</v>
      </c>
      <c r="B1528" t="s">
        <v>211</v>
      </c>
      <c r="C1528" t="s">
        <v>68</v>
      </c>
      <c r="D1528">
        <v>2019</v>
      </c>
      <c r="E1528">
        <v>25309</v>
      </c>
      <c r="F1528">
        <v>31000</v>
      </c>
      <c r="G1528">
        <v>15000</v>
      </c>
      <c r="H1528" t="s">
        <v>69</v>
      </c>
      <c r="I1528" t="s">
        <v>59</v>
      </c>
      <c r="K1528" t="s">
        <v>77</v>
      </c>
      <c r="L1528" t="s">
        <v>98</v>
      </c>
      <c r="M1528">
        <v>2</v>
      </c>
    </row>
    <row r="1529" spans="1:13" x14ac:dyDescent="0.25">
      <c r="A1529">
        <v>1270</v>
      </c>
      <c r="B1529" t="s">
        <v>675</v>
      </c>
      <c r="C1529" t="s">
        <v>94</v>
      </c>
      <c r="D1529">
        <v>2015</v>
      </c>
      <c r="E1529">
        <v>11360</v>
      </c>
      <c r="F1529">
        <v>15000</v>
      </c>
      <c r="G1529">
        <v>25000</v>
      </c>
      <c r="H1529" t="s">
        <v>41</v>
      </c>
      <c r="I1529" t="s">
        <v>72</v>
      </c>
      <c r="J1529" t="s">
        <v>43</v>
      </c>
      <c r="K1529" t="s">
        <v>73</v>
      </c>
      <c r="L1529" t="s">
        <v>90</v>
      </c>
      <c r="M1529">
        <v>1</v>
      </c>
    </row>
    <row r="1530" spans="1:13" x14ac:dyDescent="0.25">
      <c r="A1530">
        <v>1006</v>
      </c>
      <c r="B1530" t="s">
        <v>545</v>
      </c>
      <c r="C1530" t="s">
        <v>133</v>
      </c>
      <c r="D1530">
        <v>2021</v>
      </c>
      <c r="E1530">
        <v>5827</v>
      </c>
      <c r="F1530" t="s">
        <v>81</v>
      </c>
      <c r="G1530" t="s">
        <v>121</v>
      </c>
      <c r="H1530" t="s">
        <v>41</v>
      </c>
      <c r="J1530" t="s">
        <v>96</v>
      </c>
      <c r="K1530" t="s">
        <v>48</v>
      </c>
      <c r="L1530" t="s">
        <v>55</v>
      </c>
      <c r="M1530">
        <v>1</v>
      </c>
    </row>
    <row r="1531" spans="1:13" x14ac:dyDescent="0.25">
      <c r="A1531">
        <v>1217</v>
      </c>
      <c r="B1531" t="s">
        <v>1275</v>
      </c>
      <c r="C1531" t="s">
        <v>47</v>
      </c>
      <c r="D1531">
        <v>2017</v>
      </c>
      <c r="E1531">
        <v>5213</v>
      </c>
      <c r="F1531" t="s">
        <v>204</v>
      </c>
      <c r="G1531">
        <v>120000</v>
      </c>
      <c r="H1531" t="s">
        <v>34</v>
      </c>
      <c r="I1531" t="s">
        <v>72</v>
      </c>
      <c r="J1531" t="s">
        <v>96</v>
      </c>
      <c r="K1531" t="s">
        <v>73</v>
      </c>
      <c r="L1531" t="s">
        <v>90</v>
      </c>
    </row>
    <row r="1532" spans="1:13" x14ac:dyDescent="0.25">
      <c r="A1532">
        <v>1385</v>
      </c>
      <c r="B1532" t="s">
        <v>190</v>
      </c>
      <c r="C1532" t="s">
        <v>164</v>
      </c>
      <c r="D1532">
        <v>2019</v>
      </c>
      <c r="E1532">
        <v>10766</v>
      </c>
      <c r="F1532">
        <v>15000</v>
      </c>
      <c r="G1532" t="s">
        <v>33</v>
      </c>
      <c r="H1532" t="s">
        <v>58</v>
      </c>
      <c r="I1532" t="s">
        <v>59</v>
      </c>
      <c r="J1532" t="s">
        <v>43</v>
      </c>
      <c r="K1532" t="s">
        <v>77</v>
      </c>
      <c r="L1532" t="s">
        <v>90</v>
      </c>
      <c r="M1532">
        <v>1</v>
      </c>
    </row>
    <row r="1533" spans="1:13" x14ac:dyDescent="0.25">
      <c r="A1533">
        <v>1186</v>
      </c>
      <c r="B1533" t="s">
        <v>205</v>
      </c>
      <c r="C1533" t="s">
        <v>61</v>
      </c>
      <c r="D1533" t="s">
        <v>52</v>
      </c>
      <c r="E1533" t="s">
        <v>1276</v>
      </c>
      <c r="F1533" t="s">
        <v>204</v>
      </c>
      <c r="G1533">
        <v>15000</v>
      </c>
      <c r="H1533" t="s">
        <v>41</v>
      </c>
      <c r="I1533" t="s">
        <v>35</v>
      </c>
      <c r="J1533" t="s">
        <v>43</v>
      </c>
      <c r="K1533" t="s">
        <v>77</v>
      </c>
      <c r="L1533" t="s">
        <v>38</v>
      </c>
      <c r="M1533">
        <v>1</v>
      </c>
    </row>
    <row r="1534" spans="1:13" x14ac:dyDescent="0.25">
      <c r="A1534">
        <v>1072</v>
      </c>
      <c r="B1534" t="s">
        <v>675</v>
      </c>
      <c r="C1534" t="s">
        <v>65</v>
      </c>
      <c r="D1534">
        <v>2018</v>
      </c>
      <c r="E1534">
        <v>8568</v>
      </c>
      <c r="F1534">
        <v>12000</v>
      </c>
      <c r="G1534">
        <v>25000</v>
      </c>
      <c r="H1534" t="s">
        <v>41</v>
      </c>
      <c r="I1534" t="s">
        <v>59</v>
      </c>
      <c r="J1534" t="s">
        <v>96</v>
      </c>
      <c r="K1534" t="s">
        <v>44</v>
      </c>
      <c r="L1534" t="s">
        <v>49</v>
      </c>
      <c r="M1534">
        <v>2</v>
      </c>
    </row>
    <row r="1535" spans="1:13" x14ac:dyDescent="0.25">
      <c r="A1535">
        <v>1331</v>
      </c>
      <c r="B1535" t="s">
        <v>1126</v>
      </c>
      <c r="C1535" t="s">
        <v>65</v>
      </c>
      <c r="D1535">
        <v>2019</v>
      </c>
      <c r="E1535">
        <v>10529</v>
      </c>
      <c r="F1535">
        <v>12000</v>
      </c>
      <c r="G1535">
        <v>60000</v>
      </c>
      <c r="H1535" t="s">
        <v>53</v>
      </c>
      <c r="J1535" t="s">
        <v>66</v>
      </c>
      <c r="K1535" t="s">
        <v>37</v>
      </c>
      <c r="L1535" t="s">
        <v>126</v>
      </c>
      <c r="M1535">
        <v>0</v>
      </c>
    </row>
    <row r="1536" spans="1:13" x14ac:dyDescent="0.25">
      <c r="A1536">
        <v>1188</v>
      </c>
      <c r="B1536" t="s">
        <v>708</v>
      </c>
      <c r="C1536" t="s">
        <v>94</v>
      </c>
      <c r="D1536">
        <v>2018</v>
      </c>
      <c r="E1536">
        <v>8484</v>
      </c>
      <c r="F1536">
        <v>15000</v>
      </c>
      <c r="G1536">
        <v>25000</v>
      </c>
      <c r="H1536" t="s">
        <v>58</v>
      </c>
      <c r="I1536" t="s">
        <v>42</v>
      </c>
      <c r="J1536" t="s">
        <v>43</v>
      </c>
      <c r="K1536" t="s">
        <v>116</v>
      </c>
      <c r="L1536" t="s">
        <v>55</v>
      </c>
      <c r="M1536">
        <v>3</v>
      </c>
    </row>
    <row r="1537" spans="1:13" x14ac:dyDescent="0.25">
      <c r="A1537">
        <v>1034</v>
      </c>
      <c r="B1537" t="s">
        <v>472</v>
      </c>
      <c r="C1537" t="s">
        <v>47</v>
      </c>
      <c r="D1537">
        <v>2017</v>
      </c>
      <c r="E1537">
        <v>2053</v>
      </c>
      <c r="F1537">
        <v>9000</v>
      </c>
      <c r="G1537">
        <v>60000</v>
      </c>
      <c r="I1537" t="s">
        <v>35</v>
      </c>
      <c r="J1537" t="s">
        <v>43</v>
      </c>
      <c r="K1537" t="s">
        <v>73</v>
      </c>
      <c r="L1537" t="s">
        <v>38</v>
      </c>
    </row>
    <row r="1538" spans="1:13" x14ac:dyDescent="0.25">
      <c r="A1538">
        <v>1320</v>
      </c>
      <c r="B1538" t="s">
        <v>996</v>
      </c>
      <c r="C1538" t="s">
        <v>79</v>
      </c>
      <c r="D1538">
        <v>2014</v>
      </c>
      <c r="E1538" t="s">
        <v>1277</v>
      </c>
      <c r="F1538">
        <v>15000</v>
      </c>
      <c r="G1538">
        <v>60000</v>
      </c>
      <c r="H1538" t="s">
        <v>69</v>
      </c>
      <c r="I1538" t="s">
        <v>35</v>
      </c>
      <c r="J1538" t="s">
        <v>36</v>
      </c>
      <c r="K1538" t="s">
        <v>116</v>
      </c>
      <c r="L1538" t="s">
        <v>45</v>
      </c>
      <c r="M1538">
        <v>0</v>
      </c>
    </row>
    <row r="1539" spans="1:13" x14ac:dyDescent="0.25">
      <c r="A1539">
        <v>1484</v>
      </c>
      <c r="B1539" t="s">
        <v>1040</v>
      </c>
      <c r="C1539" t="s">
        <v>164</v>
      </c>
      <c r="D1539">
        <v>2021</v>
      </c>
      <c r="E1539">
        <v>11468</v>
      </c>
      <c r="F1539">
        <v>18000</v>
      </c>
      <c r="G1539" t="s">
        <v>76</v>
      </c>
      <c r="I1539" t="s">
        <v>59</v>
      </c>
      <c r="J1539" t="s">
        <v>66</v>
      </c>
      <c r="K1539" t="s">
        <v>44</v>
      </c>
      <c r="L1539" t="s">
        <v>126</v>
      </c>
      <c r="M1539">
        <v>3</v>
      </c>
    </row>
    <row r="1540" spans="1:13" x14ac:dyDescent="0.25">
      <c r="A1540">
        <v>1195</v>
      </c>
      <c r="B1540" t="s">
        <v>385</v>
      </c>
      <c r="C1540" t="s">
        <v>57</v>
      </c>
      <c r="D1540">
        <v>2014</v>
      </c>
      <c r="E1540">
        <v>212</v>
      </c>
      <c r="F1540">
        <v>7000</v>
      </c>
      <c r="G1540">
        <v>25000</v>
      </c>
      <c r="H1540" t="s">
        <v>34</v>
      </c>
      <c r="I1540" t="s">
        <v>72</v>
      </c>
      <c r="J1540" t="s">
        <v>43</v>
      </c>
      <c r="K1540" t="s">
        <v>37</v>
      </c>
      <c r="L1540" t="s">
        <v>45</v>
      </c>
    </row>
    <row r="1541" spans="1:13" x14ac:dyDescent="0.25">
      <c r="A1541">
        <v>1213</v>
      </c>
      <c r="B1541" t="s">
        <v>1278</v>
      </c>
      <c r="C1541" t="s">
        <v>138</v>
      </c>
      <c r="D1541">
        <v>2018</v>
      </c>
      <c r="E1541" t="s">
        <v>1279</v>
      </c>
      <c r="F1541">
        <v>22000</v>
      </c>
      <c r="G1541">
        <v>80000</v>
      </c>
      <c r="K1541" t="s">
        <v>54</v>
      </c>
      <c r="L1541" t="s">
        <v>49</v>
      </c>
      <c r="M1541">
        <v>2</v>
      </c>
    </row>
    <row r="1542" spans="1:13" x14ac:dyDescent="0.25">
      <c r="A1542">
        <v>1212</v>
      </c>
      <c r="B1542" t="s">
        <v>536</v>
      </c>
      <c r="C1542" t="s">
        <v>103</v>
      </c>
      <c r="D1542">
        <v>2014</v>
      </c>
      <c r="E1542" t="s">
        <v>1280</v>
      </c>
      <c r="F1542">
        <v>22000</v>
      </c>
      <c r="G1542">
        <v>40000</v>
      </c>
      <c r="H1542" t="s">
        <v>69</v>
      </c>
      <c r="I1542" t="s">
        <v>42</v>
      </c>
      <c r="J1542" t="s">
        <v>66</v>
      </c>
      <c r="K1542" t="s">
        <v>100</v>
      </c>
      <c r="L1542" t="s">
        <v>38</v>
      </c>
    </row>
    <row r="1543" spans="1:13" x14ac:dyDescent="0.25">
      <c r="A1543">
        <v>1561</v>
      </c>
      <c r="B1543" t="s">
        <v>513</v>
      </c>
      <c r="C1543" t="s">
        <v>65</v>
      </c>
      <c r="D1543">
        <v>2020</v>
      </c>
      <c r="E1543">
        <v>7174</v>
      </c>
      <c r="F1543">
        <v>9000</v>
      </c>
      <c r="G1543">
        <v>25000</v>
      </c>
      <c r="H1543" t="s">
        <v>84</v>
      </c>
      <c r="I1543" t="s">
        <v>35</v>
      </c>
      <c r="J1543" t="s">
        <v>96</v>
      </c>
      <c r="K1543" t="s">
        <v>54</v>
      </c>
      <c r="M1543">
        <v>2</v>
      </c>
    </row>
    <row r="1544" spans="1:13" x14ac:dyDescent="0.25">
      <c r="A1544">
        <v>1186</v>
      </c>
      <c r="B1544" t="s">
        <v>221</v>
      </c>
      <c r="C1544" t="s">
        <v>119</v>
      </c>
      <c r="D1544">
        <v>2018</v>
      </c>
      <c r="E1544">
        <v>268</v>
      </c>
      <c r="F1544">
        <v>7000</v>
      </c>
      <c r="G1544">
        <v>15000</v>
      </c>
      <c r="H1544" t="s">
        <v>58</v>
      </c>
      <c r="I1544" t="s">
        <v>42</v>
      </c>
      <c r="J1544" t="s">
        <v>66</v>
      </c>
      <c r="L1544" t="s">
        <v>45</v>
      </c>
      <c r="M1544">
        <v>3</v>
      </c>
    </row>
    <row r="1545" spans="1:13" x14ac:dyDescent="0.25">
      <c r="A1545">
        <v>1516</v>
      </c>
      <c r="B1545" t="s">
        <v>1281</v>
      </c>
      <c r="C1545" t="s">
        <v>51</v>
      </c>
      <c r="D1545">
        <v>2016</v>
      </c>
      <c r="E1545">
        <v>7743</v>
      </c>
      <c r="F1545" t="s">
        <v>204</v>
      </c>
      <c r="G1545">
        <v>40000</v>
      </c>
      <c r="H1545" t="s">
        <v>58</v>
      </c>
      <c r="I1545" t="s">
        <v>42</v>
      </c>
      <c r="J1545" t="s">
        <v>66</v>
      </c>
      <c r="K1545" t="s">
        <v>116</v>
      </c>
    </row>
    <row r="1546" spans="1:13" x14ac:dyDescent="0.25">
      <c r="A1546">
        <v>1069</v>
      </c>
      <c r="B1546" t="s">
        <v>1267</v>
      </c>
      <c r="C1546" t="s">
        <v>133</v>
      </c>
      <c r="D1546">
        <v>2014</v>
      </c>
      <c r="E1546">
        <v>16522</v>
      </c>
      <c r="F1546" t="s">
        <v>115</v>
      </c>
      <c r="G1546">
        <v>120000</v>
      </c>
      <c r="H1546" t="s">
        <v>53</v>
      </c>
      <c r="I1546" t="s">
        <v>72</v>
      </c>
      <c r="K1546" t="s">
        <v>44</v>
      </c>
      <c r="L1546" t="s">
        <v>98</v>
      </c>
      <c r="M1546">
        <v>2</v>
      </c>
    </row>
    <row r="1547" spans="1:13" x14ac:dyDescent="0.25">
      <c r="A1547">
        <v>1527</v>
      </c>
      <c r="B1547" t="s">
        <v>186</v>
      </c>
      <c r="C1547" t="s">
        <v>138</v>
      </c>
      <c r="E1547">
        <v>16800</v>
      </c>
      <c r="F1547">
        <v>18000</v>
      </c>
      <c r="G1547">
        <v>60000</v>
      </c>
      <c r="H1547" t="s">
        <v>34</v>
      </c>
      <c r="I1547" t="s">
        <v>42</v>
      </c>
      <c r="K1547" t="s">
        <v>77</v>
      </c>
      <c r="L1547" t="s">
        <v>126</v>
      </c>
    </row>
    <row r="1548" spans="1:13" x14ac:dyDescent="0.25">
      <c r="A1548">
        <v>1556</v>
      </c>
      <c r="B1548" t="s">
        <v>476</v>
      </c>
      <c r="C1548" t="s">
        <v>138</v>
      </c>
      <c r="D1548">
        <v>2016</v>
      </c>
      <c r="E1548" t="s">
        <v>1282</v>
      </c>
      <c r="F1548">
        <v>15000</v>
      </c>
      <c r="G1548">
        <v>60000</v>
      </c>
      <c r="H1548" t="s">
        <v>34</v>
      </c>
      <c r="I1548" t="s">
        <v>59</v>
      </c>
      <c r="J1548" t="s">
        <v>66</v>
      </c>
      <c r="K1548" t="s">
        <v>73</v>
      </c>
      <c r="L1548" t="s">
        <v>49</v>
      </c>
      <c r="M1548">
        <v>3</v>
      </c>
    </row>
    <row r="1549" spans="1:13" x14ac:dyDescent="0.25">
      <c r="A1549">
        <v>1416</v>
      </c>
      <c r="B1549" t="s">
        <v>301</v>
      </c>
      <c r="C1549" t="s">
        <v>61</v>
      </c>
      <c r="D1549">
        <v>2019</v>
      </c>
      <c r="E1549">
        <v>17317</v>
      </c>
      <c r="F1549">
        <v>22000</v>
      </c>
      <c r="G1549">
        <v>120000</v>
      </c>
      <c r="H1549" t="s">
        <v>34</v>
      </c>
      <c r="I1549" t="s">
        <v>72</v>
      </c>
      <c r="J1549" t="s">
        <v>96</v>
      </c>
      <c r="K1549" t="s">
        <v>44</v>
      </c>
      <c r="L1549" t="s">
        <v>55</v>
      </c>
      <c r="M1549">
        <v>2</v>
      </c>
    </row>
    <row r="1550" spans="1:13" x14ac:dyDescent="0.25">
      <c r="A1550">
        <v>1005</v>
      </c>
      <c r="B1550" t="s">
        <v>219</v>
      </c>
      <c r="C1550" t="s">
        <v>32</v>
      </c>
      <c r="D1550">
        <v>2016</v>
      </c>
      <c r="E1550" t="s">
        <v>1283</v>
      </c>
      <c r="F1550">
        <v>18000</v>
      </c>
      <c r="G1550">
        <v>60000</v>
      </c>
      <c r="H1550" t="s">
        <v>34</v>
      </c>
      <c r="J1550" t="s">
        <v>66</v>
      </c>
      <c r="K1550" t="s">
        <v>54</v>
      </c>
      <c r="L1550" t="s">
        <v>126</v>
      </c>
      <c r="M1550">
        <v>2</v>
      </c>
    </row>
    <row r="1551" spans="1:13" x14ac:dyDescent="0.25">
      <c r="A1551">
        <v>1109</v>
      </c>
      <c r="B1551" t="s">
        <v>456</v>
      </c>
      <c r="C1551" t="s">
        <v>75</v>
      </c>
      <c r="D1551">
        <v>2020</v>
      </c>
      <c r="E1551" t="s">
        <v>1284</v>
      </c>
      <c r="F1551">
        <v>26000</v>
      </c>
      <c r="G1551">
        <v>40000</v>
      </c>
      <c r="H1551" t="s">
        <v>69</v>
      </c>
      <c r="I1551" t="s">
        <v>35</v>
      </c>
      <c r="K1551" t="s">
        <v>116</v>
      </c>
      <c r="L1551" t="s">
        <v>45</v>
      </c>
      <c r="M1551">
        <v>0</v>
      </c>
    </row>
    <row r="1552" spans="1:13" x14ac:dyDescent="0.25">
      <c r="A1552">
        <v>1436</v>
      </c>
      <c r="B1552" t="s">
        <v>881</v>
      </c>
      <c r="C1552" t="s">
        <v>164</v>
      </c>
      <c r="D1552">
        <v>2017</v>
      </c>
      <c r="E1552" t="s">
        <v>1285</v>
      </c>
      <c r="F1552">
        <v>15000</v>
      </c>
      <c r="G1552">
        <v>80000</v>
      </c>
      <c r="I1552" t="s">
        <v>35</v>
      </c>
      <c r="J1552" t="s">
        <v>36</v>
      </c>
      <c r="K1552" t="s">
        <v>116</v>
      </c>
      <c r="L1552" t="s">
        <v>126</v>
      </c>
      <c r="M1552">
        <v>1</v>
      </c>
    </row>
    <row r="1553" spans="1:13" x14ac:dyDescent="0.25">
      <c r="A1553">
        <v>1157</v>
      </c>
      <c r="B1553" t="s">
        <v>1157</v>
      </c>
      <c r="C1553" t="s">
        <v>103</v>
      </c>
      <c r="D1553">
        <v>2017</v>
      </c>
      <c r="E1553">
        <v>3557</v>
      </c>
      <c r="F1553">
        <v>7000</v>
      </c>
      <c r="G1553">
        <v>80000</v>
      </c>
      <c r="H1553" t="s">
        <v>58</v>
      </c>
      <c r="I1553" t="s">
        <v>35</v>
      </c>
      <c r="J1553" t="s">
        <v>96</v>
      </c>
      <c r="K1553" t="s">
        <v>73</v>
      </c>
    </row>
    <row r="1554" spans="1:13" x14ac:dyDescent="0.25">
      <c r="A1554">
        <v>1275</v>
      </c>
      <c r="B1554" t="s">
        <v>1286</v>
      </c>
      <c r="C1554" t="s">
        <v>119</v>
      </c>
      <c r="D1554">
        <v>2014</v>
      </c>
      <c r="E1554">
        <v>16434</v>
      </c>
      <c r="F1554" t="s">
        <v>129</v>
      </c>
      <c r="G1554">
        <v>120000</v>
      </c>
      <c r="H1554" t="s">
        <v>84</v>
      </c>
      <c r="J1554" t="s">
        <v>43</v>
      </c>
      <c r="K1554" t="s">
        <v>116</v>
      </c>
      <c r="L1554" t="s">
        <v>55</v>
      </c>
      <c r="M1554">
        <v>1</v>
      </c>
    </row>
    <row r="1555" spans="1:13" x14ac:dyDescent="0.25">
      <c r="A1555">
        <v>1214</v>
      </c>
      <c r="B1555" t="s">
        <v>1153</v>
      </c>
      <c r="C1555" t="s">
        <v>65</v>
      </c>
      <c r="D1555">
        <v>2019</v>
      </c>
      <c r="E1555">
        <v>8799</v>
      </c>
      <c r="F1555">
        <v>12000</v>
      </c>
      <c r="G1555">
        <v>80000</v>
      </c>
      <c r="H1555" t="s">
        <v>69</v>
      </c>
      <c r="I1555" t="s">
        <v>72</v>
      </c>
      <c r="J1555" t="s">
        <v>36</v>
      </c>
      <c r="K1555" t="s">
        <v>116</v>
      </c>
      <c r="L1555" t="s">
        <v>38</v>
      </c>
      <c r="M1555">
        <v>2</v>
      </c>
    </row>
    <row r="1556" spans="1:13" x14ac:dyDescent="0.25">
      <c r="A1556">
        <v>1329</v>
      </c>
      <c r="B1556" t="s">
        <v>323</v>
      </c>
      <c r="C1556" t="s">
        <v>94</v>
      </c>
      <c r="D1556">
        <v>2021</v>
      </c>
      <c r="E1556">
        <v>16884</v>
      </c>
      <c r="F1556">
        <v>18000</v>
      </c>
      <c r="G1556" t="s">
        <v>121</v>
      </c>
      <c r="H1556" t="s">
        <v>69</v>
      </c>
      <c r="I1556" t="s">
        <v>35</v>
      </c>
      <c r="J1556" t="s">
        <v>96</v>
      </c>
      <c r="L1556" t="s">
        <v>126</v>
      </c>
      <c r="M1556">
        <v>1</v>
      </c>
    </row>
    <row r="1557" spans="1:13" x14ac:dyDescent="0.25">
      <c r="A1557">
        <v>1276</v>
      </c>
      <c r="B1557" t="s">
        <v>647</v>
      </c>
      <c r="C1557" t="s">
        <v>103</v>
      </c>
      <c r="D1557">
        <v>2014</v>
      </c>
      <c r="E1557" t="s">
        <v>1287</v>
      </c>
      <c r="F1557">
        <v>12000</v>
      </c>
      <c r="G1557">
        <v>120000</v>
      </c>
      <c r="H1557" t="s">
        <v>53</v>
      </c>
      <c r="I1557" t="s">
        <v>35</v>
      </c>
      <c r="J1557" t="s">
        <v>96</v>
      </c>
      <c r="L1557" t="s">
        <v>90</v>
      </c>
      <c r="M1557">
        <v>2</v>
      </c>
    </row>
    <row r="1558" spans="1:13" x14ac:dyDescent="0.25">
      <c r="A1558">
        <v>1157</v>
      </c>
      <c r="B1558" t="s">
        <v>474</v>
      </c>
      <c r="C1558" t="s">
        <v>65</v>
      </c>
      <c r="E1558" t="s">
        <v>1288</v>
      </c>
      <c r="F1558" t="s">
        <v>147</v>
      </c>
      <c r="G1558">
        <v>60000</v>
      </c>
      <c r="I1558" t="s">
        <v>59</v>
      </c>
      <c r="J1558" t="s">
        <v>96</v>
      </c>
      <c r="L1558" t="s">
        <v>98</v>
      </c>
      <c r="M1558">
        <v>3</v>
      </c>
    </row>
    <row r="1559" spans="1:13" x14ac:dyDescent="0.25">
      <c r="A1559">
        <v>1068</v>
      </c>
      <c r="B1559" t="s">
        <v>1289</v>
      </c>
      <c r="C1559" t="s">
        <v>79</v>
      </c>
      <c r="E1559">
        <v>15624</v>
      </c>
      <c r="F1559">
        <v>22000</v>
      </c>
      <c r="G1559">
        <v>15000</v>
      </c>
      <c r="H1559" t="s">
        <v>58</v>
      </c>
      <c r="I1559" t="s">
        <v>42</v>
      </c>
      <c r="J1559" t="s">
        <v>36</v>
      </c>
      <c r="M1559">
        <v>1</v>
      </c>
    </row>
    <row r="1560" spans="1:13" x14ac:dyDescent="0.25">
      <c r="A1560">
        <v>1108</v>
      </c>
      <c r="B1560" t="s">
        <v>1290</v>
      </c>
      <c r="C1560" t="s">
        <v>61</v>
      </c>
      <c r="D1560" t="s">
        <v>52</v>
      </c>
      <c r="E1560">
        <v>20787</v>
      </c>
      <c r="F1560">
        <v>26000</v>
      </c>
      <c r="G1560">
        <v>120000</v>
      </c>
      <c r="H1560" t="s">
        <v>53</v>
      </c>
      <c r="I1560" t="s">
        <v>42</v>
      </c>
      <c r="J1560" t="s">
        <v>43</v>
      </c>
      <c r="K1560" t="s">
        <v>73</v>
      </c>
      <c r="L1560" t="s">
        <v>109</v>
      </c>
    </row>
    <row r="1561" spans="1:13" x14ac:dyDescent="0.25">
      <c r="A1561">
        <v>1492</v>
      </c>
      <c r="B1561" t="s">
        <v>1291</v>
      </c>
      <c r="C1561" t="s">
        <v>94</v>
      </c>
      <c r="E1561">
        <v>13238</v>
      </c>
      <c r="F1561">
        <v>18000</v>
      </c>
      <c r="G1561" t="s">
        <v>33</v>
      </c>
      <c r="I1561" t="s">
        <v>42</v>
      </c>
      <c r="J1561" t="s">
        <v>36</v>
      </c>
      <c r="K1561" t="s">
        <v>48</v>
      </c>
      <c r="L1561" t="s">
        <v>98</v>
      </c>
      <c r="M1561">
        <v>1</v>
      </c>
    </row>
    <row r="1562" spans="1:13" x14ac:dyDescent="0.25">
      <c r="A1562">
        <v>1092</v>
      </c>
      <c r="B1562" t="s">
        <v>260</v>
      </c>
      <c r="C1562" t="s">
        <v>47</v>
      </c>
      <c r="D1562" t="s">
        <v>52</v>
      </c>
      <c r="E1562">
        <v>7245</v>
      </c>
      <c r="F1562">
        <v>9000</v>
      </c>
      <c r="G1562">
        <v>40000</v>
      </c>
      <c r="H1562" t="s">
        <v>58</v>
      </c>
      <c r="I1562" t="s">
        <v>59</v>
      </c>
      <c r="J1562" t="s">
        <v>96</v>
      </c>
      <c r="K1562" t="s">
        <v>44</v>
      </c>
      <c r="L1562" t="s">
        <v>45</v>
      </c>
      <c r="M1562">
        <v>3</v>
      </c>
    </row>
    <row r="1563" spans="1:13" x14ac:dyDescent="0.25">
      <c r="A1563">
        <v>1147</v>
      </c>
      <c r="B1563" t="s">
        <v>190</v>
      </c>
      <c r="C1563" t="s">
        <v>40</v>
      </c>
      <c r="D1563">
        <v>2020</v>
      </c>
      <c r="E1563">
        <v>9907</v>
      </c>
      <c r="F1563">
        <v>12000</v>
      </c>
      <c r="G1563">
        <v>25000</v>
      </c>
      <c r="H1563" t="s">
        <v>41</v>
      </c>
      <c r="I1563" t="s">
        <v>42</v>
      </c>
      <c r="J1563" t="s">
        <v>66</v>
      </c>
      <c r="K1563" t="s">
        <v>77</v>
      </c>
      <c r="L1563" t="s">
        <v>55</v>
      </c>
    </row>
    <row r="1564" spans="1:13" x14ac:dyDescent="0.25">
      <c r="A1564">
        <v>1458</v>
      </c>
      <c r="B1564" t="s">
        <v>88</v>
      </c>
      <c r="C1564" t="s">
        <v>68</v>
      </c>
      <c r="D1564">
        <v>2014</v>
      </c>
      <c r="E1564" t="s">
        <v>1292</v>
      </c>
      <c r="F1564">
        <v>26000</v>
      </c>
      <c r="G1564">
        <v>40000</v>
      </c>
      <c r="I1564" t="s">
        <v>59</v>
      </c>
      <c r="K1564" t="s">
        <v>44</v>
      </c>
      <c r="L1564" t="s">
        <v>45</v>
      </c>
      <c r="M1564">
        <v>0</v>
      </c>
    </row>
    <row r="1565" spans="1:13" x14ac:dyDescent="0.25">
      <c r="A1565">
        <v>1537</v>
      </c>
      <c r="B1565" t="s">
        <v>840</v>
      </c>
      <c r="C1565" t="s">
        <v>138</v>
      </c>
      <c r="D1565">
        <v>2020</v>
      </c>
      <c r="E1565" t="s">
        <v>1293</v>
      </c>
      <c r="F1565">
        <v>31000</v>
      </c>
      <c r="G1565">
        <v>40000</v>
      </c>
      <c r="H1565" t="s">
        <v>41</v>
      </c>
      <c r="I1565" t="s">
        <v>59</v>
      </c>
      <c r="J1565" t="s">
        <v>66</v>
      </c>
      <c r="K1565" t="s">
        <v>116</v>
      </c>
      <c r="M1565">
        <v>0</v>
      </c>
    </row>
    <row r="1566" spans="1:13" x14ac:dyDescent="0.25">
      <c r="A1566">
        <v>1571</v>
      </c>
      <c r="B1566" t="s">
        <v>348</v>
      </c>
      <c r="C1566" t="s">
        <v>79</v>
      </c>
      <c r="E1566">
        <v>3953</v>
      </c>
      <c r="F1566">
        <v>9000</v>
      </c>
      <c r="G1566">
        <v>40000</v>
      </c>
      <c r="H1566" t="s">
        <v>34</v>
      </c>
      <c r="I1566" t="s">
        <v>42</v>
      </c>
      <c r="J1566" t="s">
        <v>43</v>
      </c>
      <c r="L1566" t="s">
        <v>38</v>
      </c>
    </row>
    <row r="1567" spans="1:13" x14ac:dyDescent="0.25">
      <c r="A1567">
        <v>1023</v>
      </c>
      <c r="B1567" t="s">
        <v>940</v>
      </c>
      <c r="C1567" t="s">
        <v>65</v>
      </c>
      <c r="D1567">
        <v>2022</v>
      </c>
      <c r="E1567">
        <v>28318</v>
      </c>
      <c r="F1567">
        <v>31000</v>
      </c>
      <c r="G1567">
        <v>60000</v>
      </c>
      <c r="H1567" t="s">
        <v>34</v>
      </c>
      <c r="I1567" t="s">
        <v>35</v>
      </c>
      <c r="J1567" t="s">
        <v>66</v>
      </c>
      <c r="K1567" t="s">
        <v>77</v>
      </c>
      <c r="L1567" t="s">
        <v>98</v>
      </c>
      <c r="M1567">
        <v>0</v>
      </c>
    </row>
    <row r="1568" spans="1:13" x14ac:dyDescent="0.25">
      <c r="A1568">
        <v>1560</v>
      </c>
      <c r="B1568" t="s">
        <v>1209</v>
      </c>
      <c r="C1568" t="s">
        <v>57</v>
      </c>
      <c r="D1568">
        <v>2015</v>
      </c>
      <c r="E1568">
        <v>3267</v>
      </c>
      <c r="F1568">
        <v>7000</v>
      </c>
      <c r="G1568" t="s">
        <v>108</v>
      </c>
      <c r="H1568" t="s">
        <v>34</v>
      </c>
      <c r="I1568" t="s">
        <v>35</v>
      </c>
      <c r="K1568" t="s">
        <v>100</v>
      </c>
      <c r="L1568" t="s">
        <v>126</v>
      </c>
      <c r="M1568">
        <v>3</v>
      </c>
    </row>
    <row r="1569" spans="1:13" x14ac:dyDescent="0.25">
      <c r="A1569">
        <v>1121</v>
      </c>
      <c r="B1569" t="s">
        <v>743</v>
      </c>
      <c r="C1569" t="s">
        <v>40</v>
      </c>
      <c r="D1569">
        <v>2020</v>
      </c>
      <c r="E1569" t="s">
        <v>1294</v>
      </c>
      <c r="F1569">
        <v>26000</v>
      </c>
      <c r="G1569" t="s">
        <v>108</v>
      </c>
      <c r="H1569" t="s">
        <v>58</v>
      </c>
      <c r="K1569" t="s">
        <v>100</v>
      </c>
      <c r="L1569" t="s">
        <v>98</v>
      </c>
    </row>
    <row r="1570" spans="1:13" x14ac:dyDescent="0.25">
      <c r="A1570">
        <v>1311</v>
      </c>
      <c r="B1570" t="s">
        <v>1295</v>
      </c>
      <c r="C1570" t="s">
        <v>119</v>
      </c>
      <c r="D1570">
        <v>2017</v>
      </c>
      <c r="E1570">
        <v>12811</v>
      </c>
      <c r="F1570">
        <v>18000</v>
      </c>
      <c r="G1570" t="s">
        <v>108</v>
      </c>
      <c r="H1570" t="s">
        <v>63</v>
      </c>
      <c r="I1570" t="s">
        <v>35</v>
      </c>
      <c r="J1570" t="s">
        <v>43</v>
      </c>
      <c r="K1570" t="s">
        <v>116</v>
      </c>
      <c r="L1570" t="s">
        <v>109</v>
      </c>
      <c r="M1570">
        <v>3</v>
      </c>
    </row>
    <row r="1571" spans="1:13" x14ac:dyDescent="0.25">
      <c r="A1571">
        <v>1456</v>
      </c>
      <c r="B1571" t="s">
        <v>1296</v>
      </c>
      <c r="C1571" t="s">
        <v>103</v>
      </c>
      <c r="D1571">
        <v>2022</v>
      </c>
      <c r="E1571" t="s">
        <v>1297</v>
      </c>
      <c r="F1571">
        <v>15000</v>
      </c>
      <c r="G1571" t="s">
        <v>33</v>
      </c>
      <c r="H1571" t="s">
        <v>84</v>
      </c>
      <c r="I1571" t="s">
        <v>42</v>
      </c>
      <c r="J1571" t="s">
        <v>66</v>
      </c>
      <c r="K1571" t="s">
        <v>37</v>
      </c>
      <c r="L1571" t="s">
        <v>109</v>
      </c>
      <c r="M1571">
        <v>2</v>
      </c>
    </row>
    <row r="1572" spans="1:13" x14ac:dyDescent="0.25">
      <c r="A1572">
        <v>1033</v>
      </c>
      <c r="B1572" t="s">
        <v>1298</v>
      </c>
      <c r="C1572" t="s">
        <v>61</v>
      </c>
      <c r="D1572" t="s">
        <v>52</v>
      </c>
      <c r="E1572">
        <v>3393</v>
      </c>
      <c r="F1572">
        <v>7000</v>
      </c>
      <c r="G1572">
        <v>120000</v>
      </c>
      <c r="H1572" t="s">
        <v>53</v>
      </c>
      <c r="J1572" t="s">
        <v>96</v>
      </c>
      <c r="K1572" t="s">
        <v>54</v>
      </c>
      <c r="L1572" t="s">
        <v>45</v>
      </c>
      <c r="M1572">
        <v>0</v>
      </c>
    </row>
    <row r="1573" spans="1:13" x14ac:dyDescent="0.25">
      <c r="A1573">
        <v>1065</v>
      </c>
      <c r="B1573" t="s">
        <v>797</v>
      </c>
      <c r="C1573" t="s">
        <v>51</v>
      </c>
      <c r="D1573">
        <v>2019</v>
      </c>
      <c r="E1573">
        <v>13375</v>
      </c>
      <c r="F1573">
        <v>15000</v>
      </c>
      <c r="G1573" t="s">
        <v>76</v>
      </c>
      <c r="H1573" t="s">
        <v>84</v>
      </c>
      <c r="I1573" t="s">
        <v>42</v>
      </c>
      <c r="J1573" t="s">
        <v>66</v>
      </c>
      <c r="K1573" t="s">
        <v>44</v>
      </c>
      <c r="L1573" t="s">
        <v>126</v>
      </c>
      <c r="M1573">
        <v>1</v>
      </c>
    </row>
    <row r="1574" spans="1:13" x14ac:dyDescent="0.25">
      <c r="A1574">
        <v>1546</v>
      </c>
      <c r="B1574" t="s">
        <v>449</v>
      </c>
      <c r="C1574" t="s">
        <v>94</v>
      </c>
      <c r="D1574">
        <v>2022</v>
      </c>
      <c r="E1574">
        <v>27344</v>
      </c>
      <c r="F1574">
        <v>31000</v>
      </c>
      <c r="G1574">
        <v>15000</v>
      </c>
      <c r="I1574" t="s">
        <v>59</v>
      </c>
      <c r="K1574" t="s">
        <v>116</v>
      </c>
      <c r="M1574">
        <v>0</v>
      </c>
    </row>
    <row r="1575" spans="1:13" x14ac:dyDescent="0.25">
      <c r="A1575">
        <v>1436</v>
      </c>
      <c r="B1575" t="s">
        <v>952</v>
      </c>
      <c r="C1575" t="s">
        <v>164</v>
      </c>
      <c r="D1575">
        <v>2017</v>
      </c>
      <c r="E1575">
        <v>14813</v>
      </c>
      <c r="F1575">
        <v>18000</v>
      </c>
      <c r="G1575">
        <v>120000</v>
      </c>
      <c r="H1575" t="s">
        <v>69</v>
      </c>
      <c r="I1575" t="s">
        <v>35</v>
      </c>
      <c r="J1575" t="s">
        <v>66</v>
      </c>
      <c r="K1575" t="s">
        <v>48</v>
      </c>
      <c r="L1575" t="s">
        <v>98</v>
      </c>
      <c r="M1575">
        <v>2</v>
      </c>
    </row>
    <row r="1576" spans="1:13" x14ac:dyDescent="0.25">
      <c r="A1576">
        <v>1491</v>
      </c>
      <c r="B1576" t="s">
        <v>1299</v>
      </c>
      <c r="C1576" t="s">
        <v>40</v>
      </c>
      <c r="D1576">
        <v>2015</v>
      </c>
      <c r="E1576">
        <v>23897</v>
      </c>
      <c r="F1576">
        <v>26000</v>
      </c>
      <c r="G1576">
        <v>25000</v>
      </c>
      <c r="H1576" t="s">
        <v>84</v>
      </c>
      <c r="I1576" t="s">
        <v>72</v>
      </c>
      <c r="K1576" t="s">
        <v>116</v>
      </c>
      <c r="L1576" t="s">
        <v>109</v>
      </c>
      <c r="M1576">
        <v>3</v>
      </c>
    </row>
    <row r="1577" spans="1:13" x14ac:dyDescent="0.25">
      <c r="A1577">
        <v>1106</v>
      </c>
      <c r="B1577" t="s">
        <v>1211</v>
      </c>
      <c r="C1577" t="s">
        <v>57</v>
      </c>
      <c r="E1577">
        <v>7403</v>
      </c>
      <c r="F1577">
        <v>12000</v>
      </c>
      <c r="G1577">
        <v>120000</v>
      </c>
      <c r="H1577" t="s">
        <v>53</v>
      </c>
      <c r="I1577" t="s">
        <v>35</v>
      </c>
      <c r="J1577" t="s">
        <v>66</v>
      </c>
      <c r="K1577" t="s">
        <v>37</v>
      </c>
      <c r="L1577" t="s">
        <v>109</v>
      </c>
    </row>
    <row r="1578" spans="1:13" x14ac:dyDescent="0.25">
      <c r="A1578">
        <v>1232</v>
      </c>
      <c r="B1578" t="s">
        <v>1085</v>
      </c>
      <c r="C1578" t="s">
        <v>79</v>
      </c>
      <c r="D1578" t="s">
        <v>52</v>
      </c>
      <c r="E1578" t="s">
        <v>1300</v>
      </c>
      <c r="F1578" t="s">
        <v>129</v>
      </c>
      <c r="G1578">
        <v>120000</v>
      </c>
      <c r="H1578" t="s">
        <v>63</v>
      </c>
      <c r="I1578" t="s">
        <v>35</v>
      </c>
      <c r="K1578" t="s">
        <v>44</v>
      </c>
      <c r="L1578" t="s">
        <v>45</v>
      </c>
    </row>
    <row r="1579" spans="1:13" x14ac:dyDescent="0.25">
      <c r="A1579">
        <v>1212</v>
      </c>
      <c r="B1579" t="s">
        <v>1301</v>
      </c>
      <c r="C1579" t="s">
        <v>119</v>
      </c>
      <c r="E1579">
        <v>24804</v>
      </c>
      <c r="F1579">
        <v>26000</v>
      </c>
      <c r="G1579">
        <v>60000</v>
      </c>
      <c r="H1579" t="s">
        <v>69</v>
      </c>
      <c r="I1579" t="s">
        <v>59</v>
      </c>
      <c r="J1579" t="s">
        <v>66</v>
      </c>
      <c r="K1579" t="s">
        <v>37</v>
      </c>
      <c r="L1579" t="s">
        <v>109</v>
      </c>
    </row>
    <row r="1580" spans="1:13" x14ac:dyDescent="0.25">
      <c r="A1580">
        <v>1274</v>
      </c>
      <c r="B1580" t="s">
        <v>321</v>
      </c>
      <c r="C1580" t="s">
        <v>79</v>
      </c>
      <c r="D1580">
        <v>2022</v>
      </c>
      <c r="E1580">
        <v>16326</v>
      </c>
      <c r="F1580">
        <v>18000</v>
      </c>
      <c r="G1580">
        <v>120000</v>
      </c>
      <c r="H1580" t="s">
        <v>34</v>
      </c>
      <c r="I1580" t="s">
        <v>35</v>
      </c>
      <c r="J1580" t="s">
        <v>43</v>
      </c>
      <c r="K1580" t="s">
        <v>73</v>
      </c>
      <c r="L1580" t="s">
        <v>109</v>
      </c>
      <c r="M1580">
        <v>0</v>
      </c>
    </row>
    <row r="1581" spans="1:13" x14ac:dyDescent="0.25">
      <c r="A1581">
        <v>1414</v>
      </c>
      <c r="B1581" t="s">
        <v>426</v>
      </c>
      <c r="C1581" t="s">
        <v>57</v>
      </c>
      <c r="D1581">
        <v>2016</v>
      </c>
      <c r="E1581">
        <v>2558</v>
      </c>
      <c r="F1581" t="s">
        <v>81</v>
      </c>
      <c r="G1581">
        <v>80000</v>
      </c>
      <c r="H1581" t="s">
        <v>69</v>
      </c>
      <c r="I1581" t="s">
        <v>35</v>
      </c>
      <c r="J1581" t="s">
        <v>66</v>
      </c>
      <c r="K1581" t="s">
        <v>54</v>
      </c>
      <c r="L1581" t="s">
        <v>45</v>
      </c>
      <c r="M1581">
        <v>3</v>
      </c>
    </row>
    <row r="1582" spans="1:13" x14ac:dyDescent="0.25">
      <c r="A1582">
        <v>1460</v>
      </c>
      <c r="B1582" t="s">
        <v>321</v>
      </c>
      <c r="C1582" t="s">
        <v>94</v>
      </c>
      <c r="D1582">
        <v>2014</v>
      </c>
      <c r="E1582">
        <v>15334</v>
      </c>
      <c r="F1582">
        <v>18000</v>
      </c>
      <c r="G1582" t="s">
        <v>121</v>
      </c>
      <c r="H1582" t="s">
        <v>58</v>
      </c>
      <c r="J1582" t="s">
        <v>43</v>
      </c>
      <c r="K1582" t="s">
        <v>54</v>
      </c>
      <c r="L1582" t="s">
        <v>38</v>
      </c>
      <c r="M1582">
        <v>1</v>
      </c>
    </row>
    <row r="1583" spans="1:13" x14ac:dyDescent="0.25">
      <c r="A1583">
        <v>1588</v>
      </c>
      <c r="B1583" t="s">
        <v>740</v>
      </c>
      <c r="C1583" t="s">
        <v>40</v>
      </c>
      <c r="D1583">
        <v>2016</v>
      </c>
      <c r="E1583">
        <v>22151</v>
      </c>
      <c r="F1583">
        <v>26000</v>
      </c>
      <c r="G1583">
        <v>120000</v>
      </c>
      <c r="H1583" t="s">
        <v>58</v>
      </c>
      <c r="I1583" t="s">
        <v>35</v>
      </c>
      <c r="K1583" t="s">
        <v>77</v>
      </c>
      <c r="L1583" t="s">
        <v>98</v>
      </c>
      <c r="M1583">
        <v>3</v>
      </c>
    </row>
    <row r="1584" spans="1:13" x14ac:dyDescent="0.25">
      <c r="A1584">
        <v>1423</v>
      </c>
      <c r="B1584" t="s">
        <v>169</v>
      </c>
      <c r="C1584" t="s">
        <v>138</v>
      </c>
      <c r="D1584">
        <v>2021</v>
      </c>
      <c r="E1584">
        <v>4908</v>
      </c>
      <c r="F1584" t="s">
        <v>81</v>
      </c>
      <c r="G1584" t="s">
        <v>121</v>
      </c>
      <c r="H1584" t="s">
        <v>63</v>
      </c>
      <c r="I1584" t="s">
        <v>59</v>
      </c>
      <c r="J1584" t="s">
        <v>66</v>
      </c>
      <c r="K1584" t="s">
        <v>54</v>
      </c>
      <c r="L1584" t="s">
        <v>90</v>
      </c>
      <c r="M1584">
        <v>0</v>
      </c>
    </row>
    <row r="1585" spans="1:13" x14ac:dyDescent="0.25">
      <c r="A1585">
        <v>1275</v>
      </c>
      <c r="B1585" t="s">
        <v>1302</v>
      </c>
      <c r="C1585" t="s">
        <v>164</v>
      </c>
      <c r="D1585">
        <v>2016</v>
      </c>
      <c r="E1585">
        <v>5275</v>
      </c>
      <c r="F1585">
        <v>12000</v>
      </c>
      <c r="G1585" t="s">
        <v>108</v>
      </c>
      <c r="H1585" t="s">
        <v>53</v>
      </c>
      <c r="I1585" t="s">
        <v>59</v>
      </c>
      <c r="J1585" t="s">
        <v>43</v>
      </c>
      <c r="L1585" t="s">
        <v>38</v>
      </c>
      <c r="M1585">
        <v>3</v>
      </c>
    </row>
    <row r="1586" spans="1:13" x14ac:dyDescent="0.25">
      <c r="A1586">
        <v>1073</v>
      </c>
      <c r="B1586" t="s">
        <v>921</v>
      </c>
      <c r="C1586" t="s">
        <v>133</v>
      </c>
      <c r="D1586">
        <v>2019</v>
      </c>
      <c r="E1586">
        <v>2115</v>
      </c>
      <c r="F1586">
        <v>7000</v>
      </c>
      <c r="G1586">
        <v>15000</v>
      </c>
      <c r="H1586" t="s">
        <v>34</v>
      </c>
      <c r="I1586" t="s">
        <v>35</v>
      </c>
      <c r="J1586" t="s">
        <v>96</v>
      </c>
      <c r="K1586" t="s">
        <v>54</v>
      </c>
      <c r="L1586" t="s">
        <v>126</v>
      </c>
    </row>
    <row r="1587" spans="1:13" x14ac:dyDescent="0.25">
      <c r="A1587">
        <v>1311</v>
      </c>
      <c r="B1587" t="s">
        <v>916</v>
      </c>
      <c r="C1587" t="s">
        <v>57</v>
      </c>
      <c r="D1587">
        <v>2017</v>
      </c>
      <c r="E1587">
        <v>13487</v>
      </c>
      <c r="F1587">
        <v>15000</v>
      </c>
      <c r="G1587">
        <v>40000</v>
      </c>
      <c r="H1587" t="s">
        <v>69</v>
      </c>
      <c r="I1587" t="s">
        <v>42</v>
      </c>
      <c r="J1587" t="s">
        <v>43</v>
      </c>
      <c r="K1587" t="s">
        <v>73</v>
      </c>
      <c r="L1587" t="s">
        <v>49</v>
      </c>
    </row>
    <row r="1588" spans="1:13" x14ac:dyDescent="0.25">
      <c r="A1588">
        <v>1068</v>
      </c>
      <c r="B1588" t="s">
        <v>1303</v>
      </c>
      <c r="C1588" t="s">
        <v>94</v>
      </c>
      <c r="D1588">
        <v>2017</v>
      </c>
      <c r="E1588">
        <v>26891</v>
      </c>
      <c r="F1588">
        <v>31000</v>
      </c>
      <c r="G1588">
        <v>25000</v>
      </c>
      <c r="H1588" t="s">
        <v>34</v>
      </c>
      <c r="J1588" t="s">
        <v>96</v>
      </c>
      <c r="K1588" t="s">
        <v>44</v>
      </c>
      <c r="L1588" t="s">
        <v>90</v>
      </c>
      <c r="M1588">
        <v>1</v>
      </c>
    </row>
    <row r="1589" spans="1:13" x14ac:dyDescent="0.25">
      <c r="A1589">
        <v>1305</v>
      </c>
      <c r="B1589" t="s">
        <v>1026</v>
      </c>
      <c r="C1589" t="s">
        <v>133</v>
      </c>
      <c r="D1589" t="s">
        <v>52</v>
      </c>
      <c r="E1589">
        <v>27848</v>
      </c>
      <c r="F1589" t="s">
        <v>87</v>
      </c>
      <c r="G1589">
        <v>60000</v>
      </c>
      <c r="H1589" t="s">
        <v>63</v>
      </c>
      <c r="I1589" t="s">
        <v>35</v>
      </c>
      <c r="J1589" t="s">
        <v>66</v>
      </c>
      <c r="K1589" t="s">
        <v>44</v>
      </c>
      <c r="L1589" t="s">
        <v>109</v>
      </c>
      <c r="M1589">
        <v>0</v>
      </c>
    </row>
    <row r="1590" spans="1:13" x14ac:dyDescent="0.25">
      <c r="A1590">
        <v>1408</v>
      </c>
      <c r="B1590" t="s">
        <v>1068</v>
      </c>
      <c r="C1590" t="s">
        <v>47</v>
      </c>
      <c r="D1590">
        <v>2018</v>
      </c>
      <c r="E1590">
        <v>14905</v>
      </c>
      <c r="F1590">
        <v>18000</v>
      </c>
      <c r="G1590">
        <v>120000</v>
      </c>
      <c r="H1590" t="s">
        <v>53</v>
      </c>
      <c r="J1590" t="s">
        <v>36</v>
      </c>
      <c r="K1590" t="s">
        <v>54</v>
      </c>
      <c r="L1590" t="s">
        <v>55</v>
      </c>
      <c r="M1590">
        <v>1</v>
      </c>
    </row>
    <row r="1591" spans="1:13" x14ac:dyDescent="0.25">
      <c r="A1591">
        <v>1085</v>
      </c>
      <c r="B1591" t="s">
        <v>1123</v>
      </c>
      <c r="C1591" t="s">
        <v>119</v>
      </c>
      <c r="D1591">
        <v>2015</v>
      </c>
      <c r="E1591">
        <v>14740</v>
      </c>
      <c r="F1591">
        <v>18000</v>
      </c>
      <c r="G1591">
        <v>40000</v>
      </c>
      <c r="H1591" t="s">
        <v>53</v>
      </c>
      <c r="I1591" t="s">
        <v>42</v>
      </c>
      <c r="J1591" t="s">
        <v>96</v>
      </c>
      <c r="K1591" t="s">
        <v>37</v>
      </c>
      <c r="L1591" t="s">
        <v>49</v>
      </c>
      <c r="M1591">
        <v>2</v>
      </c>
    </row>
    <row r="1592" spans="1:13" x14ac:dyDescent="0.25">
      <c r="A1592">
        <v>1065</v>
      </c>
      <c r="B1592" t="s">
        <v>728</v>
      </c>
      <c r="C1592" t="s">
        <v>138</v>
      </c>
      <c r="D1592">
        <v>2022</v>
      </c>
      <c r="E1592" t="s">
        <v>1304</v>
      </c>
      <c r="F1592">
        <v>31000</v>
      </c>
      <c r="G1592">
        <v>80000</v>
      </c>
      <c r="H1592" t="s">
        <v>63</v>
      </c>
      <c r="I1592" t="s">
        <v>72</v>
      </c>
      <c r="J1592" t="s">
        <v>66</v>
      </c>
      <c r="K1592" t="s">
        <v>116</v>
      </c>
      <c r="L1592" t="s">
        <v>55</v>
      </c>
      <c r="M1592">
        <v>3</v>
      </c>
    </row>
    <row r="1593" spans="1:13" x14ac:dyDescent="0.25">
      <c r="A1593">
        <v>1382</v>
      </c>
      <c r="B1593" t="s">
        <v>845</v>
      </c>
      <c r="C1593" t="s">
        <v>103</v>
      </c>
      <c r="D1593">
        <v>2015</v>
      </c>
      <c r="E1593">
        <v>8279</v>
      </c>
      <c r="F1593" t="s">
        <v>89</v>
      </c>
      <c r="G1593">
        <v>15000</v>
      </c>
      <c r="I1593" t="s">
        <v>42</v>
      </c>
      <c r="J1593" t="s">
        <v>36</v>
      </c>
      <c r="K1593" t="s">
        <v>54</v>
      </c>
      <c r="L1593" t="s">
        <v>38</v>
      </c>
    </row>
    <row r="1594" spans="1:13" x14ac:dyDescent="0.25">
      <c r="A1594">
        <v>1443</v>
      </c>
      <c r="B1594" t="s">
        <v>1104</v>
      </c>
      <c r="C1594" t="s">
        <v>75</v>
      </c>
      <c r="D1594">
        <v>2019</v>
      </c>
      <c r="E1594">
        <v>5951</v>
      </c>
      <c r="F1594">
        <v>9000</v>
      </c>
      <c r="G1594">
        <v>15000</v>
      </c>
      <c r="H1594" t="s">
        <v>41</v>
      </c>
      <c r="I1594" t="s">
        <v>59</v>
      </c>
      <c r="K1594" t="s">
        <v>37</v>
      </c>
      <c r="M1594">
        <v>3</v>
      </c>
    </row>
    <row r="1595" spans="1:13" x14ac:dyDescent="0.25">
      <c r="A1595">
        <v>1433</v>
      </c>
      <c r="B1595" t="s">
        <v>955</v>
      </c>
      <c r="C1595" t="s">
        <v>32</v>
      </c>
      <c r="D1595">
        <v>2014</v>
      </c>
      <c r="E1595">
        <v>20704</v>
      </c>
      <c r="F1595">
        <v>26000</v>
      </c>
      <c r="G1595">
        <v>120000</v>
      </c>
      <c r="H1595" t="s">
        <v>41</v>
      </c>
      <c r="I1595" t="s">
        <v>59</v>
      </c>
      <c r="K1595" t="s">
        <v>73</v>
      </c>
      <c r="L1595" t="s">
        <v>90</v>
      </c>
      <c r="M1595">
        <v>3</v>
      </c>
    </row>
    <row r="1596" spans="1:13" x14ac:dyDescent="0.25">
      <c r="A1596">
        <v>1200</v>
      </c>
      <c r="B1596" t="s">
        <v>980</v>
      </c>
      <c r="C1596" t="s">
        <v>47</v>
      </c>
      <c r="D1596">
        <v>2017</v>
      </c>
      <c r="E1596" t="s">
        <v>1305</v>
      </c>
      <c r="F1596" t="s">
        <v>81</v>
      </c>
      <c r="G1596" t="s">
        <v>130</v>
      </c>
      <c r="H1596" t="s">
        <v>41</v>
      </c>
      <c r="I1596" t="s">
        <v>42</v>
      </c>
      <c r="K1596" t="s">
        <v>48</v>
      </c>
      <c r="L1596" t="s">
        <v>109</v>
      </c>
      <c r="M1596">
        <v>2</v>
      </c>
    </row>
    <row r="1597" spans="1:13" x14ac:dyDescent="0.25">
      <c r="A1597">
        <v>1097</v>
      </c>
      <c r="B1597" t="s">
        <v>753</v>
      </c>
      <c r="C1597" t="s">
        <v>40</v>
      </c>
      <c r="D1597" t="s">
        <v>52</v>
      </c>
      <c r="E1597" t="s">
        <v>1306</v>
      </c>
      <c r="F1597">
        <v>22000</v>
      </c>
      <c r="G1597" t="s">
        <v>33</v>
      </c>
      <c r="H1597" t="s">
        <v>34</v>
      </c>
      <c r="I1597" t="s">
        <v>59</v>
      </c>
      <c r="J1597" t="s">
        <v>36</v>
      </c>
      <c r="K1597" t="s">
        <v>37</v>
      </c>
      <c r="L1597" t="s">
        <v>109</v>
      </c>
      <c r="M1597">
        <v>0</v>
      </c>
    </row>
    <row r="1598" spans="1:13" x14ac:dyDescent="0.25">
      <c r="A1598">
        <v>1434</v>
      </c>
      <c r="B1598" t="s">
        <v>875</v>
      </c>
      <c r="C1598" t="s">
        <v>65</v>
      </c>
      <c r="D1598">
        <v>2019</v>
      </c>
      <c r="E1598">
        <v>10219</v>
      </c>
      <c r="F1598">
        <v>12000</v>
      </c>
      <c r="G1598">
        <v>15000</v>
      </c>
      <c r="H1598" t="s">
        <v>58</v>
      </c>
      <c r="I1598" t="s">
        <v>42</v>
      </c>
      <c r="J1598" t="s">
        <v>66</v>
      </c>
      <c r="K1598" t="s">
        <v>100</v>
      </c>
      <c r="L1598" t="s">
        <v>45</v>
      </c>
      <c r="M1598">
        <v>0</v>
      </c>
    </row>
    <row r="1599" spans="1:13" x14ac:dyDescent="0.25">
      <c r="A1599">
        <v>1180</v>
      </c>
      <c r="B1599" t="s">
        <v>844</v>
      </c>
      <c r="C1599" t="s">
        <v>68</v>
      </c>
      <c r="D1599">
        <v>2019</v>
      </c>
      <c r="E1599" t="s">
        <v>1307</v>
      </c>
      <c r="F1599">
        <v>15000</v>
      </c>
      <c r="G1599">
        <v>80000</v>
      </c>
      <c r="H1599" t="s">
        <v>84</v>
      </c>
      <c r="J1599" t="s">
        <v>36</v>
      </c>
      <c r="K1599" t="s">
        <v>37</v>
      </c>
      <c r="L1599" t="s">
        <v>49</v>
      </c>
      <c r="M1599">
        <v>1</v>
      </c>
    </row>
    <row r="1600" spans="1:13" x14ac:dyDescent="0.25">
      <c r="A1600">
        <v>1103</v>
      </c>
      <c r="B1600" t="s">
        <v>1308</v>
      </c>
      <c r="C1600" t="s">
        <v>65</v>
      </c>
      <c r="D1600">
        <v>2022</v>
      </c>
      <c r="E1600" t="s">
        <v>1309</v>
      </c>
      <c r="F1600">
        <v>18000</v>
      </c>
      <c r="G1600">
        <v>25000</v>
      </c>
      <c r="H1600" t="s">
        <v>34</v>
      </c>
      <c r="I1600" t="s">
        <v>35</v>
      </c>
      <c r="J1600" t="s">
        <v>66</v>
      </c>
      <c r="K1600" t="s">
        <v>100</v>
      </c>
      <c r="L1600" t="s">
        <v>38</v>
      </c>
    </row>
    <row r="1601" spans="1:13" x14ac:dyDescent="0.25">
      <c r="A1601">
        <v>1129</v>
      </c>
      <c r="B1601" t="s">
        <v>229</v>
      </c>
      <c r="C1601" t="s">
        <v>65</v>
      </c>
      <c r="D1601">
        <v>2019</v>
      </c>
      <c r="E1601">
        <v>22680</v>
      </c>
      <c r="F1601">
        <v>26000</v>
      </c>
      <c r="G1601">
        <v>120000</v>
      </c>
      <c r="H1601" t="s">
        <v>69</v>
      </c>
      <c r="J1601" t="s">
        <v>43</v>
      </c>
      <c r="K1601" t="s">
        <v>48</v>
      </c>
      <c r="L1601" t="s">
        <v>126</v>
      </c>
      <c r="M1601">
        <v>1</v>
      </c>
    </row>
    <row r="1602" spans="1:13" x14ac:dyDescent="0.25">
      <c r="A1602">
        <v>1178</v>
      </c>
      <c r="B1602" t="s">
        <v>1157</v>
      </c>
      <c r="C1602" t="s">
        <v>65</v>
      </c>
      <c r="E1602">
        <v>23417</v>
      </c>
      <c r="F1602">
        <v>26000</v>
      </c>
      <c r="G1602">
        <v>60000</v>
      </c>
      <c r="H1602" t="s">
        <v>63</v>
      </c>
      <c r="I1602" t="s">
        <v>42</v>
      </c>
      <c r="J1602" t="s">
        <v>43</v>
      </c>
      <c r="K1602" t="s">
        <v>116</v>
      </c>
      <c r="L1602" t="s">
        <v>55</v>
      </c>
      <c r="M1602">
        <v>1</v>
      </c>
    </row>
    <row r="1603" spans="1:13" x14ac:dyDescent="0.25">
      <c r="A1603">
        <v>1237</v>
      </c>
      <c r="B1603" t="s">
        <v>1310</v>
      </c>
      <c r="C1603" t="s">
        <v>65</v>
      </c>
      <c r="D1603" t="s">
        <v>52</v>
      </c>
      <c r="E1603">
        <v>15906</v>
      </c>
      <c r="F1603">
        <v>22000</v>
      </c>
      <c r="G1603" t="s">
        <v>33</v>
      </c>
      <c r="H1603" t="s">
        <v>58</v>
      </c>
      <c r="I1603" t="s">
        <v>59</v>
      </c>
      <c r="J1603" t="s">
        <v>43</v>
      </c>
      <c r="K1603" t="s">
        <v>44</v>
      </c>
      <c r="L1603" t="s">
        <v>109</v>
      </c>
    </row>
    <row r="1604" spans="1:13" x14ac:dyDescent="0.25">
      <c r="A1604">
        <v>1252</v>
      </c>
      <c r="B1604" t="s">
        <v>891</v>
      </c>
      <c r="C1604" t="s">
        <v>75</v>
      </c>
      <c r="D1604">
        <v>2018</v>
      </c>
      <c r="E1604">
        <v>28709</v>
      </c>
      <c r="F1604">
        <v>31000</v>
      </c>
      <c r="G1604">
        <v>60000</v>
      </c>
      <c r="H1604" t="s">
        <v>34</v>
      </c>
      <c r="I1604" t="s">
        <v>59</v>
      </c>
      <c r="J1604" t="s">
        <v>96</v>
      </c>
      <c r="K1604" t="s">
        <v>37</v>
      </c>
      <c r="L1604" t="s">
        <v>45</v>
      </c>
      <c r="M1604">
        <v>3</v>
      </c>
    </row>
    <row r="1605" spans="1:13" x14ac:dyDescent="0.25">
      <c r="A1605">
        <v>1163</v>
      </c>
      <c r="B1605" t="s">
        <v>1311</v>
      </c>
      <c r="C1605" t="s">
        <v>79</v>
      </c>
      <c r="D1605">
        <v>2017</v>
      </c>
      <c r="E1605">
        <v>9236</v>
      </c>
      <c r="F1605">
        <v>15000</v>
      </c>
      <c r="G1605">
        <v>60000</v>
      </c>
      <c r="H1605" t="s">
        <v>69</v>
      </c>
      <c r="I1605" t="s">
        <v>59</v>
      </c>
      <c r="J1605" t="s">
        <v>43</v>
      </c>
      <c r="K1605" t="s">
        <v>44</v>
      </c>
      <c r="L1605" t="s">
        <v>38</v>
      </c>
      <c r="M1605">
        <v>2</v>
      </c>
    </row>
    <row r="1606" spans="1:13" x14ac:dyDescent="0.25">
      <c r="A1606">
        <v>1564</v>
      </c>
      <c r="B1606" t="s">
        <v>438</v>
      </c>
      <c r="C1606" t="s">
        <v>47</v>
      </c>
      <c r="D1606">
        <v>2022</v>
      </c>
      <c r="E1606">
        <v>19808</v>
      </c>
      <c r="F1606">
        <v>26000</v>
      </c>
      <c r="G1606" t="s">
        <v>33</v>
      </c>
      <c r="H1606" t="s">
        <v>53</v>
      </c>
      <c r="I1606" t="s">
        <v>59</v>
      </c>
      <c r="J1606" t="s">
        <v>43</v>
      </c>
      <c r="K1606" t="s">
        <v>100</v>
      </c>
      <c r="L1606" t="s">
        <v>45</v>
      </c>
      <c r="M1606">
        <v>0</v>
      </c>
    </row>
    <row r="1607" spans="1:13" x14ac:dyDescent="0.25">
      <c r="A1607">
        <v>1428</v>
      </c>
      <c r="B1607" t="s">
        <v>916</v>
      </c>
      <c r="C1607" t="s">
        <v>61</v>
      </c>
      <c r="D1607">
        <v>2021</v>
      </c>
      <c r="E1607">
        <v>2750</v>
      </c>
      <c r="F1607">
        <v>9000</v>
      </c>
      <c r="G1607">
        <v>25000</v>
      </c>
      <c r="H1607" t="s">
        <v>53</v>
      </c>
      <c r="I1607" t="s">
        <v>72</v>
      </c>
      <c r="J1607" t="s">
        <v>96</v>
      </c>
      <c r="K1607" t="s">
        <v>77</v>
      </c>
      <c r="L1607" t="s">
        <v>45</v>
      </c>
      <c r="M1607">
        <v>3</v>
      </c>
    </row>
    <row r="1608" spans="1:13" x14ac:dyDescent="0.25">
      <c r="A1608">
        <v>1026</v>
      </c>
      <c r="B1608" t="s">
        <v>1312</v>
      </c>
      <c r="C1608" t="s">
        <v>61</v>
      </c>
      <c r="D1608">
        <v>2022</v>
      </c>
      <c r="E1608">
        <v>19522</v>
      </c>
      <c r="F1608" t="s">
        <v>83</v>
      </c>
      <c r="G1608">
        <v>25000</v>
      </c>
      <c r="H1608" t="s">
        <v>58</v>
      </c>
      <c r="I1608" t="s">
        <v>72</v>
      </c>
      <c r="K1608" t="s">
        <v>116</v>
      </c>
      <c r="L1608" t="s">
        <v>38</v>
      </c>
    </row>
    <row r="1609" spans="1:13" x14ac:dyDescent="0.25">
      <c r="A1609">
        <v>1085</v>
      </c>
      <c r="B1609" t="s">
        <v>613</v>
      </c>
      <c r="C1609" t="s">
        <v>75</v>
      </c>
      <c r="D1609">
        <v>2020</v>
      </c>
      <c r="E1609" t="s">
        <v>1313</v>
      </c>
      <c r="F1609">
        <v>9000</v>
      </c>
      <c r="G1609">
        <v>40000</v>
      </c>
      <c r="H1609" t="s">
        <v>53</v>
      </c>
      <c r="I1609" t="s">
        <v>59</v>
      </c>
      <c r="J1609" t="s">
        <v>36</v>
      </c>
      <c r="K1609" t="s">
        <v>73</v>
      </c>
      <c r="L1609" t="s">
        <v>38</v>
      </c>
      <c r="M1609">
        <v>0</v>
      </c>
    </row>
    <row r="1610" spans="1:13" x14ac:dyDescent="0.25">
      <c r="A1610">
        <v>1482</v>
      </c>
      <c r="B1610" t="s">
        <v>878</v>
      </c>
      <c r="C1610" t="s">
        <v>133</v>
      </c>
      <c r="D1610">
        <v>2017</v>
      </c>
      <c r="E1610">
        <v>26891</v>
      </c>
      <c r="F1610">
        <v>31000</v>
      </c>
      <c r="G1610">
        <v>25000</v>
      </c>
      <c r="H1610" t="s">
        <v>84</v>
      </c>
      <c r="I1610" t="s">
        <v>72</v>
      </c>
      <c r="K1610" t="s">
        <v>48</v>
      </c>
      <c r="L1610" t="s">
        <v>55</v>
      </c>
    </row>
    <row r="1611" spans="1:13" x14ac:dyDescent="0.25">
      <c r="A1611">
        <v>1587</v>
      </c>
      <c r="B1611" t="s">
        <v>986</v>
      </c>
      <c r="C1611" t="s">
        <v>40</v>
      </c>
      <c r="D1611">
        <v>2022</v>
      </c>
      <c r="E1611">
        <v>5005</v>
      </c>
      <c r="F1611" t="s">
        <v>204</v>
      </c>
      <c r="G1611" t="s">
        <v>92</v>
      </c>
      <c r="H1611" t="s">
        <v>69</v>
      </c>
      <c r="I1611" t="s">
        <v>59</v>
      </c>
      <c r="J1611" t="s">
        <v>66</v>
      </c>
      <c r="K1611" t="s">
        <v>54</v>
      </c>
      <c r="L1611" t="s">
        <v>55</v>
      </c>
      <c r="M1611">
        <v>3</v>
      </c>
    </row>
    <row r="1612" spans="1:13" x14ac:dyDescent="0.25">
      <c r="A1612">
        <v>1397</v>
      </c>
      <c r="B1612" t="s">
        <v>1314</v>
      </c>
      <c r="C1612" t="s">
        <v>57</v>
      </c>
      <c r="D1612">
        <v>2019</v>
      </c>
      <c r="E1612">
        <v>12264</v>
      </c>
      <c r="F1612">
        <v>18000</v>
      </c>
      <c r="G1612">
        <v>25000</v>
      </c>
      <c r="H1612" t="s">
        <v>53</v>
      </c>
      <c r="I1612" t="s">
        <v>42</v>
      </c>
      <c r="K1612" t="s">
        <v>37</v>
      </c>
      <c r="L1612" t="s">
        <v>55</v>
      </c>
      <c r="M1612">
        <v>1</v>
      </c>
    </row>
    <row r="1613" spans="1:13" x14ac:dyDescent="0.25">
      <c r="A1613">
        <v>1517</v>
      </c>
      <c r="B1613" t="s">
        <v>1315</v>
      </c>
      <c r="C1613" t="s">
        <v>51</v>
      </c>
      <c r="D1613">
        <v>2014</v>
      </c>
      <c r="E1613">
        <v>9309</v>
      </c>
      <c r="F1613" t="s">
        <v>89</v>
      </c>
      <c r="G1613">
        <v>60000</v>
      </c>
      <c r="H1613" t="s">
        <v>58</v>
      </c>
      <c r="I1613" t="s">
        <v>59</v>
      </c>
      <c r="J1613" t="s">
        <v>43</v>
      </c>
      <c r="K1613" t="s">
        <v>54</v>
      </c>
      <c r="L1613" t="s">
        <v>55</v>
      </c>
      <c r="M1613">
        <v>0</v>
      </c>
    </row>
    <row r="1614" spans="1:13" x14ac:dyDescent="0.25">
      <c r="A1614">
        <v>1229</v>
      </c>
      <c r="B1614" t="s">
        <v>1202</v>
      </c>
      <c r="C1614" t="s">
        <v>103</v>
      </c>
      <c r="D1614">
        <v>2021</v>
      </c>
      <c r="E1614">
        <v>414</v>
      </c>
      <c r="F1614">
        <v>7000</v>
      </c>
      <c r="G1614" t="s">
        <v>92</v>
      </c>
      <c r="H1614" t="s">
        <v>84</v>
      </c>
      <c r="I1614" t="s">
        <v>59</v>
      </c>
      <c r="J1614" t="s">
        <v>36</v>
      </c>
      <c r="K1614" t="s">
        <v>100</v>
      </c>
      <c r="L1614" t="s">
        <v>109</v>
      </c>
    </row>
    <row r="1615" spans="1:13" x14ac:dyDescent="0.25">
      <c r="A1615">
        <v>1278</v>
      </c>
      <c r="B1615" t="s">
        <v>311</v>
      </c>
      <c r="C1615" t="s">
        <v>40</v>
      </c>
      <c r="D1615">
        <v>2015</v>
      </c>
      <c r="E1615">
        <v>22978</v>
      </c>
      <c r="F1615" t="s">
        <v>83</v>
      </c>
      <c r="G1615">
        <v>120000</v>
      </c>
      <c r="H1615" t="s">
        <v>53</v>
      </c>
      <c r="I1615" t="s">
        <v>42</v>
      </c>
      <c r="J1615" t="s">
        <v>66</v>
      </c>
      <c r="K1615" t="s">
        <v>54</v>
      </c>
      <c r="L1615" t="s">
        <v>45</v>
      </c>
      <c r="M1615">
        <v>1</v>
      </c>
    </row>
    <row r="1616" spans="1:13" x14ac:dyDescent="0.25">
      <c r="A1616">
        <v>1280</v>
      </c>
      <c r="B1616" t="s">
        <v>520</v>
      </c>
      <c r="C1616" t="s">
        <v>133</v>
      </c>
      <c r="D1616" t="s">
        <v>52</v>
      </c>
      <c r="E1616">
        <v>19620</v>
      </c>
      <c r="F1616" t="s">
        <v>83</v>
      </c>
      <c r="G1616" t="s">
        <v>92</v>
      </c>
      <c r="H1616" t="s">
        <v>69</v>
      </c>
      <c r="I1616" t="s">
        <v>35</v>
      </c>
      <c r="J1616" t="s">
        <v>36</v>
      </c>
      <c r="K1616" t="s">
        <v>37</v>
      </c>
      <c r="L1616" t="s">
        <v>98</v>
      </c>
      <c r="M1616">
        <v>3</v>
      </c>
    </row>
    <row r="1617" spans="1:13" x14ac:dyDescent="0.25">
      <c r="A1617">
        <v>1106</v>
      </c>
      <c r="B1617" t="s">
        <v>1316</v>
      </c>
      <c r="C1617" t="s">
        <v>47</v>
      </c>
      <c r="D1617">
        <v>2014</v>
      </c>
      <c r="E1617">
        <v>3541</v>
      </c>
      <c r="F1617">
        <v>9000</v>
      </c>
      <c r="G1617">
        <v>40000</v>
      </c>
      <c r="H1617" t="s">
        <v>84</v>
      </c>
      <c r="I1617" t="s">
        <v>35</v>
      </c>
      <c r="J1617" t="s">
        <v>36</v>
      </c>
      <c r="K1617" t="s">
        <v>54</v>
      </c>
      <c r="L1617" t="s">
        <v>90</v>
      </c>
      <c r="M1617">
        <v>0</v>
      </c>
    </row>
    <row r="1618" spans="1:13" x14ac:dyDescent="0.25">
      <c r="A1618">
        <v>1557</v>
      </c>
      <c r="B1618" t="s">
        <v>637</v>
      </c>
      <c r="C1618" t="s">
        <v>164</v>
      </c>
      <c r="D1618">
        <v>2022</v>
      </c>
      <c r="E1618">
        <v>24025</v>
      </c>
      <c r="F1618">
        <v>26000</v>
      </c>
      <c r="G1618" t="s">
        <v>92</v>
      </c>
      <c r="H1618" t="s">
        <v>41</v>
      </c>
      <c r="I1618" t="s">
        <v>42</v>
      </c>
      <c r="J1618" t="s">
        <v>96</v>
      </c>
      <c r="K1618" t="s">
        <v>100</v>
      </c>
      <c r="L1618" t="s">
        <v>49</v>
      </c>
      <c r="M1618">
        <v>1</v>
      </c>
    </row>
    <row r="1619" spans="1:13" x14ac:dyDescent="0.25">
      <c r="A1619">
        <v>1159</v>
      </c>
      <c r="B1619" t="s">
        <v>1317</v>
      </c>
      <c r="C1619" t="s">
        <v>65</v>
      </c>
      <c r="D1619">
        <v>2022</v>
      </c>
      <c r="E1619">
        <v>16466</v>
      </c>
      <c r="F1619">
        <v>22000</v>
      </c>
      <c r="G1619" t="s">
        <v>130</v>
      </c>
      <c r="H1619" t="s">
        <v>34</v>
      </c>
      <c r="I1619" t="s">
        <v>35</v>
      </c>
      <c r="J1619" t="s">
        <v>43</v>
      </c>
      <c r="K1619" t="s">
        <v>37</v>
      </c>
      <c r="L1619" t="s">
        <v>55</v>
      </c>
    </row>
    <row r="1620" spans="1:13" x14ac:dyDescent="0.25">
      <c r="A1620">
        <v>1492</v>
      </c>
      <c r="B1620" t="s">
        <v>1318</v>
      </c>
      <c r="C1620" t="s">
        <v>32</v>
      </c>
      <c r="D1620">
        <v>2017</v>
      </c>
      <c r="E1620" t="s">
        <v>1319</v>
      </c>
      <c r="F1620">
        <v>26000</v>
      </c>
      <c r="G1620" t="s">
        <v>76</v>
      </c>
      <c r="I1620" t="s">
        <v>35</v>
      </c>
      <c r="J1620" t="s">
        <v>66</v>
      </c>
      <c r="K1620" t="s">
        <v>100</v>
      </c>
      <c r="L1620" t="s">
        <v>49</v>
      </c>
    </row>
    <row r="1621" spans="1:13" x14ac:dyDescent="0.25">
      <c r="A1621">
        <v>1165</v>
      </c>
      <c r="B1621" t="s">
        <v>1320</v>
      </c>
      <c r="C1621" t="s">
        <v>51</v>
      </c>
      <c r="D1621">
        <v>2014</v>
      </c>
      <c r="E1621">
        <v>7200</v>
      </c>
      <c r="F1621">
        <v>12000</v>
      </c>
      <c r="G1621">
        <v>40000</v>
      </c>
      <c r="H1621" t="s">
        <v>84</v>
      </c>
      <c r="I1621" t="s">
        <v>72</v>
      </c>
      <c r="J1621" t="s">
        <v>36</v>
      </c>
      <c r="K1621" t="s">
        <v>37</v>
      </c>
      <c r="L1621" t="s">
        <v>90</v>
      </c>
    </row>
    <row r="1622" spans="1:13" x14ac:dyDescent="0.25">
      <c r="A1622">
        <v>1076</v>
      </c>
      <c r="B1622" t="s">
        <v>671</v>
      </c>
      <c r="C1622" t="s">
        <v>138</v>
      </c>
      <c r="D1622" t="s">
        <v>52</v>
      </c>
      <c r="E1622">
        <v>15881</v>
      </c>
      <c r="F1622">
        <v>18000</v>
      </c>
      <c r="G1622">
        <v>40000</v>
      </c>
      <c r="J1622" t="s">
        <v>96</v>
      </c>
      <c r="K1622" t="s">
        <v>116</v>
      </c>
      <c r="L1622" t="s">
        <v>98</v>
      </c>
      <c r="M1622">
        <v>2</v>
      </c>
    </row>
    <row r="1623" spans="1:13" x14ac:dyDescent="0.25">
      <c r="A1623">
        <v>1038</v>
      </c>
      <c r="B1623" t="s">
        <v>211</v>
      </c>
      <c r="C1623" t="s">
        <v>103</v>
      </c>
      <c r="D1623">
        <v>2017</v>
      </c>
      <c r="E1623">
        <v>3461</v>
      </c>
      <c r="F1623">
        <v>9000</v>
      </c>
      <c r="G1623">
        <v>25000</v>
      </c>
      <c r="H1623" t="s">
        <v>84</v>
      </c>
      <c r="I1623" t="s">
        <v>59</v>
      </c>
      <c r="J1623" t="s">
        <v>36</v>
      </c>
      <c r="K1623" t="s">
        <v>54</v>
      </c>
      <c r="L1623" t="s">
        <v>90</v>
      </c>
      <c r="M1623">
        <v>1</v>
      </c>
    </row>
    <row r="1624" spans="1:13" x14ac:dyDescent="0.25">
      <c r="A1624">
        <v>1243</v>
      </c>
      <c r="B1624" t="s">
        <v>1321</v>
      </c>
      <c r="C1624" t="s">
        <v>164</v>
      </c>
      <c r="D1624">
        <v>2015</v>
      </c>
      <c r="E1624" t="s">
        <v>107</v>
      </c>
      <c r="F1624">
        <v>22000</v>
      </c>
      <c r="G1624">
        <v>40000</v>
      </c>
      <c r="H1624" t="s">
        <v>34</v>
      </c>
      <c r="J1624" t="s">
        <v>43</v>
      </c>
      <c r="K1624" t="s">
        <v>100</v>
      </c>
      <c r="L1624" t="s">
        <v>98</v>
      </c>
      <c r="M1624">
        <v>0</v>
      </c>
    </row>
    <row r="1625" spans="1:13" x14ac:dyDescent="0.25">
      <c r="A1625">
        <v>1330</v>
      </c>
      <c r="B1625" t="s">
        <v>614</v>
      </c>
      <c r="C1625" t="s">
        <v>103</v>
      </c>
      <c r="D1625">
        <v>2022</v>
      </c>
      <c r="E1625" t="s">
        <v>1322</v>
      </c>
      <c r="F1625">
        <v>18000</v>
      </c>
      <c r="G1625">
        <v>40000</v>
      </c>
      <c r="H1625" t="s">
        <v>84</v>
      </c>
      <c r="I1625" t="s">
        <v>35</v>
      </c>
      <c r="J1625" t="s">
        <v>66</v>
      </c>
      <c r="K1625" t="s">
        <v>44</v>
      </c>
      <c r="L1625" t="s">
        <v>45</v>
      </c>
      <c r="M1625">
        <v>3</v>
      </c>
    </row>
    <row r="1626" spans="1:13" x14ac:dyDescent="0.25">
      <c r="A1626">
        <v>1436</v>
      </c>
      <c r="B1626" t="s">
        <v>255</v>
      </c>
      <c r="C1626" t="s">
        <v>75</v>
      </c>
      <c r="D1626">
        <v>2021</v>
      </c>
      <c r="E1626">
        <v>12694</v>
      </c>
      <c r="F1626">
        <v>18000</v>
      </c>
      <c r="G1626">
        <v>80000</v>
      </c>
      <c r="H1626" t="s">
        <v>53</v>
      </c>
      <c r="I1626" t="s">
        <v>35</v>
      </c>
      <c r="J1626" t="s">
        <v>36</v>
      </c>
      <c r="K1626" t="s">
        <v>44</v>
      </c>
      <c r="L1626" t="s">
        <v>49</v>
      </c>
    </row>
    <row r="1627" spans="1:13" x14ac:dyDescent="0.25">
      <c r="A1627">
        <v>1213</v>
      </c>
      <c r="B1627" t="s">
        <v>1252</v>
      </c>
      <c r="C1627" t="s">
        <v>61</v>
      </c>
      <c r="D1627">
        <v>2020</v>
      </c>
      <c r="E1627">
        <v>24566</v>
      </c>
      <c r="F1627">
        <v>31000</v>
      </c>
      <c r="G1627">
        <v>40000</v>
      </c>
      <c r="H1627" t="s">
        <v>58</v>
      </c>
      <c r="I1627" t="s">
        <v>42</v>
      </c>
      <c r="J1627" t="s">
        <v>43</v>
      </c>
      <c r="K1627" t="s">
        <v>37</v>
      </c>
      <c r="L1627" t="s">
        <v>55</v>
      </c>
      <c r="M1627">
        <v>1</v>
      </c>
    </row>
    <row r="1628" spans="1:13" x14ac:dyDescent="0.25">
      <c r="A1628">
        <v>1375</v>
      </c>
      <c r="B1628" t="s">
        <v>385</v>
      </c>
      <c r="C1628" t="s">
        <v>94</v>
      </c>
      <c r="D1628">
        <v>2020</v>
      </c>
      <c r="E1628" t="s">
        <v>1323</v>
      </c>
      <c r="F1628">
        <v>12000</v>
      </c>
      <c r="G1628" t="s">
        <v>108</v>
      </c>
      <c r="H1628" t="s">
        <v>41</v>
      </c>
      <c r="I1628" t="s">
        <v>35</v>
      </c>
      <c r="J1628" t="s">
        <v>36</v>
      </c>
      <c r="K1628" t="s">
        <v>54</v>
      </c>
      <c r="L1628" t="s">
        <v>45</v>
      </c>
      <c r="M1628">
        <v>0</v>
      </c>
    </row>
    <row r="1629" spans="1:13" x14ac:dyDescent="0.25">
      <c r="A1629">
        <v>1184</v>
      </c>
      <c r="B1629" t="s">
        <v>1324</v>
      </c>
      <c r="C1629" t="s">
        <v>119</v>
      </c>
      <c r="D1629">
        <v>2014</v>
      </c>
      <c r="E1629">
        <v>19690</v>
      </c>
      <c r="F1629">
        <v>26000</v>
      </c>
      <c r="G1629">
        <v>80000</v>
      </c>
      <c r="H1629" t="s">
        <v>84</v>
      </c>
      <c r="I1629" t="s">
        <v>35</v>
      </c>
      <c r="J1629" t="s">
        <v>36</v>
      </c>
      <c r="K1629" t="s">
        <v>48</v>
      </c>
      <c r="L1629" t="s">
        <v>98</v>
      </c>
    </row>
    <row r="1630" spans="1:13" x14ac:dyDescent="0.25">
      <c r="A1630">
        <v>1549</v>
      </c>
      <c r="B1630" t="s">
        <v>879</v>
      </c>
      <c r="C1630" t="s">
        <v>68</v>
      </c>
      <c r="D1630" t="s">
        <v>52</v>
      </c>
      <c r="E1630" t="s">
        <v>1325</v>
      </c>
      <c r="F1630">
        <v>18000</v>
      </c>
      <c r="G1630" t="s">
        <v>76</v>
      </c>
      <c r="H1630" t="s">
        <v>84</v>
      </c>
      <c r="I1630" t="s">
        <v>35</v>
      </c>
      <c r="J1630" t="s">
        <v>96</v>
      </c>
      <c r="K1630" t="s">
        <v>100</v>
      </c>
      <c r="L1630" t="s">
        <v>90</v>
      </c>
      <c r="M1630">
        <v>1</v>
      </c>
    </row>
    <row r="1631" spans="1:13" x14ac:dyDescent="0.25">
      <c r="A1631">
        <v>1158</v>
      </c>
      <c r="B1631" t="s">
        <v>1097</v>
      </c>
      <c r="C1631" t="s">
        <v>164</v>
      </c>
      <c r="D1631">
        <v>2022</v>
      </c>
      <c r="E1631">
        <v>9567</v>
      </c>
      <c r="F1631">
        <v>12000</v>
      </c>
      <c r="G1631">
        <v>25000</v>
      </c>
      <c r="H1631" t="s">
        <v>58</v>
      </c>
      <c r="J1631" t="s">
        <v>66</v>
      </c>
      <c r="K1631" t="s">
        <v>44</v>
      </c>
      <c r="L1631" t="s">
        <v>45</v>
      </c>
      <c r="M1631">
        <v>0</v>
      </c>
    </row>
    <row r="1632" spans="1:13" x14ac:dyDescent="0.25">
      <c r="A1632">
        <v>1274</v>
      </c>
      <c r="B1632" t="s">
        <v>429</v>
      </c>
      <c r="C1632" t="s">
        <v>40</v>
      </c>
      <c r="D1632">
        <v>2018</v>
      </c>
      <c r="E1632">
        <v>2051</v>
      </c>
      <c r="F1632">
        <v>9000</v>
      </c>
      <c r="G1632" t="s">
        <v>76</v>
      </c>
      <c r="H1632" t="s">
        <v>84</v>
      </c>
      <c r="I1632" t="s">
        <v>35</v>
      </c>
      <c r="J1632" t="s">
        <v>66</v>
      </c>
      <c r="K1632" t="s">
        <v>44</v>
      </c>
      <c r="L1632" t="s">
        <v>126</v>
      </c>
      <c r="M1632">
        <v>2</v>
      </c>
    </row>
    <row r="1633" spans="1:13" x14ac:dyDescent="0.25">
      <c r="A1633">
        <v>1134</v>
      </c>
      <c r="B1633" t="s">
        <v>71</v>
      </c>
      <c r="C1633" t="s">
        <v>47</v>
      </c>
      <c r="D1633">
        <v>2019</v>
      </c>
      <c r="E1633">
        <v>28651</v>
      </c>
      <c r="F1633" t="s">
        <v>87</v>
      </c>
      <c r="G1633">
        <v>25000</v>
      </c>
      <c r="H1633" t="s">
        <v>69</v>
      </c>
      <c r="I1633" t="s">
        <v>35</v>
      </c>
      <c r="J1633" t="s">
        <v>96</v>
      </c>
      <c r="K1633" t="s">
        <v>116</v>
      </c>
      <c r="M1633">
        <v>0</v>
      </c>
    </row>
    <row r="1634" spans="1:13" x14ac:dyDescent="0.25">
      <c r="A1634">
        <v>1017</v>
      </c>
      <c r="B1634" t="s">
        <v>173</v>
      </c>
      <c r="C1634" t="s">
        <v>138</v>
      </c>
      <c r="D1634">
        <v>2022</v>
      </c>
      <c r="E1634">
        <v>12955</v>
      </c>
      <c r="F1634" t="s">
        <v>89</v>
      </c>
      <c r="G1634">
        <v>15000</v>
      </c>
      <c r="H1634" t="s">
        <v>69</v>
      </c>
      <c r="I1634" t="s">
        <v>72</v>
      </c>
      <c r="J1634" t="s">
        <v>66</v>
      </c>
      <c r="K1634" t="s">
        <v>54</v>
      </c>
      <c r="L1634" t="s">
        <v>49</v>
      </c>
    </row>
    <row r="1635" spans="1:13" x14ac:dyDescent="0.25">
      <c r="A1635">
        <v>1480</v>
      </c>
      <c r="B1635" t="s">
        <v>751</v>
      </c>
      <c r="C1635" t="s">
        <v>61</v>
      </c>
      <c r="D1635">
        <v>2016</v>
      </c>
      <c r="E1635">
        <v>5849</v>
      </c>
      <c r="F1635">
        <v>9000</v>
      </c>
      <c r="G1635">
        <v>120000</v>
      </c>
      <c r="H1635" t="s">
        <v>58</v>
      </c>
      <c r="J1635" t="s">
        <v>36</v>
      </c>
      <c r="K1635" t="s">
        <v>100</v>
      </c>
      <c r="L1635" t="s">
        <v>49</v>
      </c>
    </row>
    <row r="1636" spans="1:13" x14ac:dyDescent="0.25">
      <c r="A1636">
        <v>1572</v>
      </c>
      <c r="B1636" t="s">
        <v>460</v>
      </c>
      <c r="C1636" t="s">
        <v>119</v>
      </c>
      <c r="D1636">
        <v>2014</v>
      </c>
      <c r="E1636">
        <v>22180</v>
      </c>
      <c r="F1636">
        <v>26000</v>
      </c>
      <c r="G1636">
        <v>25000</v>
      </c>
      <c r="H1636" t="s">
        <v>53</v>
      </c>
      <c r="I1636" t="s">
        <v>59</v>
      </c>
      <c r="K1636" t="s">
        <v>37</v>
      </c>
      <c r="L1636" t="s">
        <v>90</v>
      </c>
      <c r="M1636">
        <v>0</v>
      </c>
    </row>
    <row r="1637" spans="1:13" x14ac:dyDescent="0.25">
      <c r="A1637">
        <v>1589</v>
      </c>
      <c r="B1637" t="s">
        <v>581</v>
      </c>
      <c r="C1637" t="s">
        <v>119</v>
      </c>
      <c r="D1637" t="s">
        <v>52</v>
      </c>
      <c r="E1637" t="s">
        <v>1326</v>
      </c>
      <c r="F1637">
        <v>31000</v>
      </c>
      <c r="G1637">
        <v>40000</v>
      </c>
      <c r="H1637" t="s">
        <v>63</v>
      </c>
      <c r="I1637" t="s">
        <v>59</v>
      </c>
      <c r="J1637" t="s">
        <v>96</v>
      </c>
      <c r="K1637" t="s">
        <v>54</v>
      </c>
      <c r="L1637" t="s">
        <v>126</v>
      </c>
    </row>
    <row r="1638" spans="1:13" x14ac:dyDescent="0.25">
      <c r="A1638">
        <v>1580</v>
      </c>
      <c r="B1638" t="s">
        <v>926</v>
      </c>
      <c r="C1638" t="s">
        <v>65</v>
      </c>
      <c r="D1638">
        <v>2016</v>
      </c>
      <c r="E1638">
        <v>1063</v>
      </c>
      <c r="F1638">
        <v>7000</v>
      </c>
      <c r="G1638">
        <v>60000</v>
      </c>
      <c r="H1638" t="s">
        <v>58</v>
      </c>
      <c r="L1638" t="s">
        <v>98</v>
      </c>
      <c r="M1638">
        <v>0</v>
      </c>
    </row>
    <row r="1639" spans="1:13" x14ac:dyDescent="0.25">
      <c r="A1639">
        <v>1470</v>
      </c>
      <c r="B1639" t="s">
        <v>1291</v>
      </c>
      <c r="C1639" t="s">
        <v>94</v>
      </c>
      <c r="D1639">
        <v>2015</v>
      </c>
      <c r="E1639">
        <v>3284</v>
      </c>
      <c r="F1639">
        <v>7000</v>
      </c>
      <c r="G1639">
        <v>60000</v>
      </c>
      <c r="I1639" t="s">
        <v>35</v>
      </c>
      <c r="J1639" t="s">
        <v>36</v>
      </c>
      <c r="K1639" t="s">
        <v>48</v>
      </c>
      <c r="L1639" t="s">
        <v>109</v>
      </c>
      <c r="M1639">
        <v>1</v>
      </c>
    </row>
    <row r="1640" spans="1:13" x14ac:dyDescent="0.25">
      <c r="A1640">
        <v>1070</v>
      </c>
      <c r="B1640" t="s">
        <v>1327</v>
      </c>
      <c r="C1640" t="s">
        <v>138</v>
      </c>
      <c r="D1640">
        <v>2020</v>
      </c>
      <c r="E1640">
        <v>4574</v>
      </c>
      <c r="F1640">
        <v>9000</v>
      </c>
      <c r="G1640" t="s">
        <v>33</v>
      </c>
      <c r="H1640" t="s">
        <v>63</v>
      </c>
      <c r="I1640" t="s">
        <v>42</v>
      </c>
      <c r="J1640" t="s">
        <v>36</v>
      </c>
      <c r="L1640" t="s">
        <v>45</v>
      </c>
      <c r="M1640">
        <v>1</v>
      </c>
    </row>
    <row r="1641" spans="1:13" x14ac:dyDescent="0.25">
      <c r="A1641">
        <v>1302</v>
      </c>
      <c r="B1641" t="s">
        <v>998</v>
      </c>
      <c r="C1641" t="s">
        <v>133</v>
      </c>
      <c r="D1641">
        <v>2020</v>
      </c>
      <c r="E1641">
        <v>5980</v>
      </c>
      <c r="F1641">
        <v>12000</v>
      </c>
      <c r="G1641">
        <v>120000</v>
      </c>
      <c r="H1641" t="s">
        <v>58</v>
      </c>
      <c r="I1641" t="s">
        <v>72</v>
      </c>
      <c r="J1641" t="s">
        <v>36</v>
      </c>
      <c r="L1641" t="s">
        <v>45</v>
      </c>
      <c r="M1641">
        <v>1</v>
      </c>
    </row>
    <row r="1642" spans="1:13" x14ac:dyDescent="0.25">
      <c r="A1642">
        <v>1524</v>
      </c>
      <c r="B1642" t="s">
        <v>652</v>
      </c>
      <c r="C1642" t="s">
        <v>119</v>
      </c>
      <c r="D1642">
        <v>2016</v>
      </c>
      <c r="E1642" t="s">
        <v>1328</v>
      </c>
      <c r="F1642" t="s">
        <v>129</v>
      </c>
      <c r="G1642" t="s">
        <v>33</v>
      </c>
      <c r="H1642" t="s">
        <v>58</v>
      </c>
      <c r="I1642" t="s">
        <v>72</v>
      </c>
      <c r="J1642" t="s">
        <v>36</v>
      </c>
      <c r="K1642" t="s">
        <v>44</v>
      </c>
      <c r="L1642" t="s">
        <v>109</v>
      </c>
      <c r="M1642">
        <v>1</v>
      </c>
    </row>
    <row r="1643" spans="1:13" x14ac:dyDescent="0.25">
      <c r="A1643">
        <v>1322</v>
      </c>
      <c r="B1643" t="s">
        <v>1329</v>
      </c>
      <c r="C1643" t="s">
        <v>94</v>
      </c>
      <c r="E1643">
        <v>3621</v>
      </c>
      <c r="F1643">
        <v>9000</v>
      </c>
      <c r="G1643">
        <v>40000</v>
      </c>
      <c r="H1643" t="s">
        <v>41</v>
      </c>
      <c r="I1643" t="s">
        <v>59</v>
      </c>
      <c r="J1643" t="s">
        <v>66</v>
      </c>
      <c r="K1643" t="s">
        <v>116</v>
      </c>
      <c r="L1643" t="s">
        <v>98</v>
      </c>
      <c r="M1643">
        <v>0</v>
      </c>
    </row>
    <row r="1644" spans="1:13" x14ac:dyDescent="0.25">
      <c r="A1644">
        <v>1244</v>
      </c>
      <c r="B1644" t="s">
        <v>485</v>
      </c>
      <c r="C1644" t="s">
        <v>57</v>
      </c>
      <c r="D1644">
        <v>2018</v>
      </c>
      <c r="E1644">
        <v>7296</v>
      </c>
      <c r="F1644">
        <v>12000</v>
      </c>
      <c r="G1644">
        <v>40000</v>
      </c>
      <c r="H1644" t="s">
        <v>63</v>
      </c>
      <c r="J1644" t="s">
        <v>96</v>
      </c>
      <c r="K1644" t="s">
        <v>44</v>
      </c>
      <c r="L1644" t="s">
        <v>90</v>
      </c>
      <c r="M1644">
        <v>1</v>
      </c>
    </row>
    <row r="1645" spans="1:13" x14ac:dyDescent="0.25">
      <c r="A1645">
        <v>1047</v>
      </c>
      <c r="B1645" t="s">
        <v>1330</v>
      </c>
      <c r="C1645" t="s">
        <v>75</v>
      </c>
      <c r="D1645">
        <v>2019</v>
      </c>
      <c r="E1645">
        <v>7831</v>
      </c>
      <c r="F1645">
        <v>12000</v>
      </c>
      <c r="G1645" t="s">
        <v>121</v>
      </c>
      <c r="H1645" t="s">
        <v>34</v>
      </c>
      <c r="I1645" t="s">
        <v>59</v>
      </c>
      <c r="J1645" t="s">
        <v>66</v>
      </c>
      <c r="K1645" t="s">
        <v>37</v>
      </c>
      <c r="L1645" t="s">
        <v>55</v>
      </c>
      <c r="M1645">
        <v>1</v>
      </c>
    </row>
    <row r="1646" spans="1:13" x14ac:dyDescent="0.25">
      <c r="A1646">
        <v>1134</v>
      </c>
      <c r="B1646" t="s">
        <v>1331</v>
      </c>
      <c r="C1646" t="s">
        <v>32</v>
      </c>
      <c r="D1646">
        <v>2021</v>
      </c>
      <c r="E1646" t="s">
        <v>1332</v>
      </c>
      <c r="F1646" t="s">
        <v>129</v>
      </c>
      <c r="G1646">
        <v>25000</v>
      </c>
      <c r="H1646" t="s">
        <v>58</v>
      </c>
      <c r="I1646" t="s">
        <v>35</v>
      </c>
      <c r="J1646" t="s">
        <v>96</v>
      </c>
      <c r="K1646" t="s">
        <v>77</v>
      </c>
      <c r="L1646" t="s">
        <v>90</v>
      </c>
      <c r="M1646">
        <v>3</v>
      </c>
    </row>
    <row r="1647" spans="1:13" x14ac:dyDescent="0.25">
      <c r="A1647">
        <v>1226</v>
      </c>
      <c r="B1647" t="s">
        <v>1333</v>
      </c>
      <c r="C1647" t="s">
        <v>94</v>
      </c>
      <c r="E1647">
        <v>13960</v>
      </c>
      <c r="F1647">
        <v>15000</v>
      </c>
      <c r="G1647">
        <v>60000</v>
      </c>
      <c r="H1647" t="s">
        <v>53</v>
      </c>
      <c r="I1647" t="s">
        <v>35</v>
      </c>
      <c r="J1647" t="s">
        <v>66</v>
      </c>
      <c r="K1647" t="s">
        <v>100</v>
      </c>
      <c r="M1647">
        <v>0</v>
      </c>
    </row>
    <row r="1648" spans="1:13" x14ac:dyDescent="0.25">
      <c r="A1648">
        <v>1046</v>
      </c>
      <c r="B1648" t="s">
        <v>572</v>
      </c>
      <c r="C1648" t="s">
        <v>51</v>
      </c>
      <c r="D1648">
        <v>2022</v>
      </c>
      <c r="E1648">
        <v>19485</v>
      </c>
      <c r="F1648">
        <v>22000</v>
      </c>
      <c r="G1648" t="s">
        <v>76</v>
      </c>
      <c r="H1648" t="s">
        <v>53</v>
      </c>
      <c r="I1648" t="s">
        <v>42</v>
      </c>
      <c r="J1648" t="s">
        <v>66</v>
      </c>
      <c r="K1648" t="s">
        <v>44</v>
      </c>
      <c r="L1648" t="s">
        <v>38</v>
      </c>
      <c r="M1648">
        <v>3</v>
      </c>
    </row>
    <row r="1649" spans="1:13" x14ac:dyDescent="0.25">
      <c r="A1649">
        <v>1188</v>
      </c>
      <c r="B1649" t="s">
        <v>676</v>
      </c>
      <c r="C1649" t="s">
        <v>133</v>
      </c>
      <c r="D1649">
        <v>2015</v>
      </c>
      <c r="E1649">
        <v>5524</v>
      </c>
      <c r="F1649">
        <v>7000</v>
      </c>
      <c r="G1649">
        <v>15000</v>
      </c>
      <c r="H1649" t="s">
        <v>34</v>
      </c>
      <c r="I1649" t="s">
        <v>42</v>
      </c>
      <c r="J1649" t="s">
        <v>66</v>
      </c>
      <c r="K1649" t="s">
        <v>44</v>
      </c>
      <c r="L1649" t="s">
        <v>98</v>
      </c>
      <c r="M1649">
        <v>2</v>
      </c>
    </row>
    <row r="1650" spans="1:13" x14ac:dyDescent="0.25">
      <c r="A1650">
        <v>1002</v>
      </c>
      <c r="B1650" t="s">
        <v>1133</v>
      </c>
      <c r="C1650" t="s">
        <v>133</v>
      </c>
      <c r="D1650">
        <v>2015</v>
      </c>
      <c r="E1650">
        <v>16088</v>
      </c>
      <c r="F1650">
        <v>22000</v>
      </c>
      <c r="G1650">
        <v>40000</v>
      </c>
      <c r="H1650" t="s">
        <v>58</v>
      </c>
      <c r="I1650" t="s">
        <v>42</v>
      </c>
      <c r="J1650" t="s">
        <v>36</v>
      </c>
      <c r="K1650" t="s">
        <v>54</v>
      </c>
      <c r="L1650" t="s">
        <v>109</v>
      </c>
      <c r="M1650">
        <v>1</v>
      </c>
    </row>
    <row r="1651" spans="1:13" x14ac:dyDescent="0.25">
      <c r="A1651">
        <v>1476</v>
      </c>
      <c r="B1651" t="s">
        <v>1334</v>
      </c>
      <c r="C1651" t="s">
        <v>164</v>
      </c>
      <c r="D1651">
        <v>2017</v>
      </c>
      <c r="E1651">
        <v>2668</v>
      </c>
      <c r="F1651">
        <v>9000</v>
      </c>
      <c r="G1651" t="s">
        <v>92</v>
      </c>
      <c r="H1651" t="s">
        <v>63</v>
      </c>
      <c r="I1651" t="s">
        <v>59</v>
      </c>
      <c r="J1651" t="s">
        <v>96</v>
      </c>
      <c r="K1651" t="s">
        <v>116</v>
      </c>
      <c r="L1651" t="s">
        <v>45</v>
      </c>
      <c r="M1651">
        <v>1</v>
      </c>
    </row>
    <row r="1652" spans="1:13" x14ac:dyDescent="0.25">
      <c r="A1652">
        <v>1200</v>
      </c>
      <c r="B1652" t="s">
        <v>206</v>
      </c>
      <c r="C1652" t="s">
        <v>138</v>
      </c>
      <c r="D1652">
        <v>2014</v>
      </c>
      <c r="E1652">
        <v>5578</v>
      </c>
      <c r="F1652">
        <v>9000</v>
      </c>
      <c r="G1652" t="s">
        <v>121</v>
      </c>
      <c r="H1652" t="s">
        <v>84</v>
      </c>
      <c r="I1652" t="s">
        <v>59</v>
      </c>
      <c r="J1652" t="s">
        <v>43</v>
      </c>
      <c r="K1652" t="s">
        <v>48</v>
      </c>
      <c r="L1652" t="s">
        <v>98</v>
      </c>
      <c r="M1652">
        <v>3</v>
      </c>
    </row>
    <row r="1653" spans="1:13" x14ac:dyDescent="0.25">
      <c r="A1653">
        <v>1428</v>
      </c>
      <c r="B1653" t="s">
        <v>1335</v>
      </c>
      <c r="C1653" t="s">
        <v>61</v>
      </c>
      <c r="D1653">
        <v>2014</v>
      </c>
      <c r="E1653" t="s">
        <v>1336</v>
      </c>
      <c r="F1653" t="s">
        <v>115</v>
      </c>
      <c r="G1653">
        <v>25000</v>
      </c>
      <c r="H1653" t="s">
        <v>84</v>
      </c>
      <c r="I1653" t="s">
        <v>72</v>
      </c>
      <c r="J1653" t="s">
        <v>43</v>
      </c>
      <c r="L1653" t="s">
        <v>126</v>
      </c>
      <c r="M1653">
        <v>3</v>
      </c>
    </row>
    <row r="1654" spans="1:13" x14ac:dyDescent="0.25">
      <c r="A1654">
        <v>1070</v>
      </c>
      <c r="B1654" t="s">
        <v>318</v>
      </c>
      <c r="C1654" t="s">
        <v>75</v>
      </c>
      <c r="E1654">
        <v>4919</v>
      </c>
      <c r="F1654">
        <v>7000</v>
      </c>
      <c r="G1654">
        <v>25000</v>
      </c>
      <c r="I1654" t="s">
        <v>35</v>
      </c>
      <c r="J1654" t="s">
        <v>43</v>
      </c>
      <c r="K1654" t="s">
        <v>116</v>
      </c>
      <c r="L1654" t="s">
        <v>98</v>
      </c>
      <c r="M1654">
        <v>1</v>
      </c>
    </row>
    <row r="1655" spans="1:13" x14ac:dyDescent="0.25">
      <c r="A1655">
        <v>1126</v>
      </c>
      <c r="B1655" t="s">
        <v>1337</v>
      </c>
      <c r="C1655" t="s">
        <v>61</v>
      </c>
      <c r="D1655">
        <v>2017</v>
      </c>
      <c r="E1655">
        <v>9375</v>
      </c>
      <c r="F1655">
        <v>12000</v>
      </c>
      <c r="G1655" t="s">
        <v>33</v>
      </c>
      <c r="H1655" t="s">
        <v>58</v>
      </c>
      <c r="I1655" t="s">
        <v>59</v>
      </c>
      <c r="K1655" t="s">
        <v>54</v>
      </c>
      <c r="M1655">
        <v>2</v>
      </c>
    </row>
    <row r="1656" spans="1:13" x14ac:dyDescent="0.25">
      <c r="A1656">
        <v>1155</v>
      </c>
      <c r="B1656" t="s">
        <v>766</v>
      </c>
      <c r="C1656" t="s">
        <v>103</v>
      </c>
      <c r="D1656">
        <v>2017</v>
      </c>
      <c r="E1656">
        <v>29320</v>
      </c>
      <c r="F1656">
        <v>31000</v>
      </c>
      <c r="G1656" t="s">
        <v>76</v>
      </c>
      <c r="H1656" t="s">
        <v>53</v>
      </c>
      <c r="I1656" t="s">
        <v>59</v>
      </c>
      <c r="J1656" t="s">
        <v>96</v>
      </c>
      <c r="K1656" t="s">
        <v>77</v>
      </c>
    </row>
    <row r="1657" spans="1:13" x14ac:dyDescent="0.25">
      <c r="A1657">
        <v>1447</v>
      </c>
      <c r="B1657" t="s">
        <v>1212</v>
      </c>
      <c r="C1657" t="s">
        <v>164</v>
      </c>
      <c r="D1657">
        <v>2017</v>
      </c>
      <c r="E1657">
        <v>6827</v>
      </c>
      <c r="F1657">
        <v>9000</v>
      </c>
      <c r="G1657">
        <v>25000</v>
      </c>
      <c r="H1657" t="s">
        <v>34</v>
      </c>
      <c r="I1657" t="s">
        <v>59</v>
      </c>
      <c r="K1657" t="s">
        <v>77</v>
      </c>
      <c r="L1657" t="s">
        <v>90</v>
      </c>
      <c r="M1657">
        <v>3</v>
      </c>
    </row>
    <row r="1658" spans="1:13" x14ac:dyDescent="0.25">
      <c r="A1658">
        <v>1508</v>
      </c>
      <c r="B1658" t="s">
        <v>650</v>
      </c>
      <c r="C1658" t="s">
        <v>65</v>
      </c>
      <c r="D1658">
        <v>2015</v>
      </c>
      <c r="E1658">
        <v>25464</v>
      </c>
      <c r="F1658">
        <v>31000</v>
      </c>
      <c r="G1658">
        <v>120000</v>
      </c>
      <c r="H1658" t="s">
        <v>63</v>
      </c>
      <c r="I1658" t="s">
        <v>42</v>
      </c>
      <c r="K1658" t="s">
        <v>100</v>
      </c>
      <c r="L1658" t="s">
        <v>126</v>
      </c>
      <c r="M1658">
        <v>0</v>
      </c>
    </row>
    <row r="1659" spans="1:13" x14ac:dyDescent="0.25">
      <c r="A1659">
        <v>1438</v>
      </c>
      <c r="B1659" t="s">
        <v>963</v>
      </c>
      <c r="C1659" t="s">
        <v>32</v>
      </c>
      <c r="D1659">
        <v>2018</v>
      </c>
      <c r="E1659">
        <v>3108</v>
      </c>
      <c r="F1659">
        <v>7000</v>
      </c>
      <c r="G1659">
        <v>60000</v>
      </c>
      <c r="H1659" t="s">
        <v>53</v>
      </c>
      <c r="I1659" t="s">
        <v>72</v>
      </c>
      <c r="J1659" t="s">
        <v>36</v>
      </c>
      <c r="K1659" t="s">
        <v>100</v>
      </c>
      <c r="L1659" t="s">
        <v>55</v>
      </c>
      <c r="M1659">
        <v>1</v>
      </c>
    </row>
    <row r="1660" spans="1:13" x14ac:dyDescent="0.25">
      <c r="A1660">
        <v>1374</v>
      </c>
      <c r="B1660" t="s">
        <v>340</v>
      </c>
      <c r="C1660" t="s">
        <v>65</v>
      </c>
      <c r="D1660">
        <v>2019</v>
      </c>
      <c r="E1660">
        <v>18961</v>
      </c>
      <c r="F1660">
        <v>22000</v>
      </c>
      <c r="G1660">
        <v>25000</v>
      </c>
      <c r="I1660" t="s">
        <v>59</v>
      </c>
      <c r="J1660" t="s">
        <v>96</v>
      </c>
      <c r="L1660" t="s">
        <v>55</v>
      </c>
    </row>
    <row r="1661" spans="1:13" x14ac:dyDescent="0.25">
      <c r="A1661">
        <v>1591</v>
      </c>
      <c r="B1661" t="s">
        <v>80</v>
      </c>
      <c r="C1661" t="s">
        <v>51</v>
      </c>
      <c r="E1661">
        <v>23651</v>
      </c>
      <c r="F1661">
        <v>26000</v>
      </c>
      <c r="G1661" t="s">
        <v>33</v>
      </c>
      <c r="H1661" t="s">
        <v>69</v>
      </c>
      <c r="I1661" t="s">
        <v>59</v>
      </c>
      <c r="J1661" t="s">
        <v>66</v>
      </c>
      <c r="K1661" t="s">
        <v>44</v>
      </c>
      <c r="L1661" t="s">
        <v>126</v>
      </c>
      <c r="M1661">
        <v>3</v>
      </c>
    </row>
    <row r="1662" spans="1:13" x14ac:dyDescent="0.25">
      <c r="A1662">
        <v>1341</v>
      </c>
      <c r="B1662" t="s">
        <v>124</v>
      </c>
      <c r="C1662" t="s">
        <v>164</v>
      </c>
      <c r="E1662">
        <v>21862</v>
      </c>
      <c r="F1662" t="s">
        <v>83</v>
      </c>
      <c r="G1662">
        <v>40000</v>
      </c>
      <c r="H1662" t="s">
        <v>34</v>
      </c>
      <c r="I1662" t="s">
        <v>42</v>
      </c>
      <c r="J1662" t="s">
        <v>43</v>
      </c>
      <c r="K1662" t="s">
        <v>48</v>
      </c>
      <c r="L1662" t="s">
        <v>55</v>
      </c>
      <c r="M1662">
        <v>1</v>
      </c>
    </row>
    <row r="1663" spans="1:13" x14ac:dyDescent="0.25">
      <c r="A1663">
        <v>1220</v>
      </c>
      <c r="B1663" t="s">
        <v>1338</v>
      </c>
      <c r="C1663" t="s">
        <v>119</v>
      </c>
      <c r="D1663">
        <v>2019</v>
      </c>
      <c r="E1663">
        <v>2389</v>
      </c>
      <c r="F1663">
        <v>7000</v>
      </c>
      <c r="G1663">
        <v>80000</v>
      </c>
      <c r="H1663" t="s">
        <v>84</v>
      </c>
      <c r="I1663" t="s">
        <v>42</v>
      </c>
      <c r="K1663" t="s">
        <v>37</v>
      </c>
      <c r="L1663" t="s">
        <v>45</v>
      </c>
      <c r="M1663">
        <v>3</v>
      </c>
    </row>
    <row r="1664" spans="1:13" x14ac:dyDescent="0.25">
      <c r="A1664">
        <v>1505</v>
      </c>
      <c r="B1664" t="s">
        <v>1219</v>
      </c>
      <c r="C1664" t="s">
        <v>79</v>
      </c>
      <c r="D1664">
        <v>2014</v>
      </c>
      <c r="E1664">
        <v>9396</v>
      </c>
      <c r="F1664">
        <v>12000</v>
      </c>
      <c r="G1664">
        <v>25000</v>
      </c>
      <c r="H1664" t="s">
        <v>41</v>
      </c>
      <c r="I1664" t="s">
        <v>72</v>
      </c>
      <c r="J1664" t="s">
        <v>96</v>
      </c>
      <c r="K1664" t="s">
        <v>116</v>
      </c>
      <c r="L1664" t="s">
        <v>55</v>
      </c>
      <c r="M1664">
        <v>1</v>
      </c>
    </row>
    <row r="1665" spans="1:13" x14ac:dyDescent="0.25">
      <c r="A1665">
        <v>1469</v>
      </c>
      <c r="B1665" t="s">
        <v>400</v>
      </c>
      <c r="C1665" t="s">
        <v>79</v>
      </c>
      <c r="D1665">
        <v>2015</v>
      </c>
      <c r="E1665" t="s">
        <v>1339</v>
      </c>
      <c r="F1665">
        <v>18000</v>
      </c>
      <c r="G1665">
        <v>120000</v>
      </c>
      <c r="H1665" t="s">
        <v>58</v>
      </c>
      <c r="I1665" t="s">
        <v>35</v>
      </c>
      <c r="J1665" t="s">
        <v>96</v>
      </c>
      <c r="K1665" t="s">
        <v>116</v>
      </c>
      <c r="M1665">
        <v>1</v>
      </c>
    </row>
    <row r="1666" spans="1:13" x14ac:dyDescent="0.25">
      <c r="A1666">
        <v>1057</v>
      </c>
      <c r="B1666" t="s">
        <v>437</v>
      </c>
      <c r="C1666" t="s">
        <v>119</v>
      </c>
      <c r="D1666">
        <v>2017</v>
      </c>
      <c r="E1666">
        <v>24011</v>
      </c>
      <c r="F1666">
        <v>31000</v>
      </c>
      <c r="G1666">
        <v>120000</v>
      </c>
      <c r="H1666" t="s">
        <v>84</v>
      </c>
      <c r="I1666" t="s">
        <v>59</v>
      </c>
      <c r="J1666" t="s">
        <v>43</v>
      </c>
      <c r="K1666" t="s">
        <v>48</v>
      </c>
      <c r="L1666" t="s">
        <v>55</v>
      </c>
      <c r="M1666">
        <v>0</v>
      </c>
    </row>
    <row r="1667" spans="1:13" x14ac:dyDescent="0.25">
      <c r="A1667">
        <v>1532</v>
      </c>
      <c r="B1667" t="s">
        <v>759</v>
      </c>
      <c r="C1667" t="s">
        <v>94</v>
      </c>
      <c r="D1667">
        <v>2017</v>
      </c>
      <c r="E1667">
        <v>23201</v>
      </c>
      <c r="F1667" t="s">
        <v>83</v>
      </c>
      <c r="G1667" t="s">
        <v>108</v>
      </c>
      <c r="H1667" t="s">
        <v>58</v>
      </c>
      <c r="I1667" t="s">
        <v>42</v>
      </c>
      <c r="J1667" t="s">
        <v>36</v>
      </c>
      <c r="K1667" t="s">
        <v>73</v>
      </c>
      <c r="M1667">
        <v>2</v>
      </c>
    </row>
    <row r="1668" spans="1:13" x14ac:dyDescent="0.25">
      <c r="A1668">
        <v>1209</v>
      </c>
      <c r="B1668" t="s">
        <v>1340</v>
      </c>
      <c r="C1668" t="s">
        <v>65</v>
      </c>
      <c r="D1668">
        <v>2016</v>
      </c>
      <c r="E1668">
        <v>20551</v>
      </c>
      <c r="F1668">
        <v>26000</v>
      </c>
      <c r="G1668">
        <v>40000</v>
      </c>
      <c r="H1668" t="s">
        <v>34</v>
      </c>
      <c r="I1668" t="s">
        <v>35</v>
      </c>
      <c r="K1668" t="s">
        <v>100</v>
      </c>
    </row>
    <row r="1669" spans="1:13" x14ac:dyDescent="0.25">
      <c r="A1669">
        <v>1008</v>
      </c>
      <c r="B1669" t="s">
        <v>158</v>
      </c>
      <c r="C1669" t="s">
        <v>94</v>
      </c>
      <c r="D1669">
        <v>2021</v>
      </c>
      <c r="E1669">
        <v>6306</v>
      </c>
      <c r="F1669">
        <v>9000</v>
      </c>
      <c r="G1669">
        <v>120000</v>
      </c>
      <c r="H1669" t="s">
        <v>69</v>
      </c>
      <c r="I1669" t="s">
        <v>59</v>
      </c>
      <c r="K1669" t="s">
        <v>100</v>
      </c>
      <c r="L1669" t="s">
        <v>126</v>
      </c>
    </row>
    <row r="1670" spans="1:13" x14ac:dyDescent="0.25">
      <c r="A1670">
        <v>1116</v>
      </c>
      <c r="B1670" t="s">
        <v>400</v>
      </c>
      <c r="C1670" t="s">
        <v>79</v>
      </c>
      <c r="D1670">
        <v>2020</v>
      </c>
      <c r="E1670">
        <v>11142</v>
      </c>
      <c r="F1670" t="s">
        <v>129</v>
      </c>
      <c r="G1670">
        <v>80000</v>
      </c>
      <c r="H1670" t="s">
        <v>84</v>
      </c>
      <c r="J1670" t="s">
        <v>66</v>
      </c>
      <c r="K1670" t="s">
        <v>44</v>
      </c>
      <c r="L1670" t="s">
        <v>126</v>
      </c>
      <c r="M1670">
        <v>0</v>
      </c>
    </row>
    <row r="1671" spans="1:13" x14ac:dyDescent="0.25">
      <c r="A1671">
        <v>1486</v>
      </c>
      <c r="B1671" t="s">
        <v>1153</v>
      </c>
      <c r="C1671" t="s">
        <v>75</v>
      </c>
      <c r="D1671">
        <v>2015</v>
      </c>
      <c r="E1671">
        <v>17793</v>
      </c>
      <c r="F1671">
        <v>22000</v>
      </c>
      <c r="G1671">
        <v>40000</v>
      </c>
      <c r="H1671" t="s">
        <v>41</v>
      </c>
      <c r="J1671" t="s">
        <v>36</v>
      </c>
      <c r="K1671" t="s">
        <v>77</v>
      </c>
    </row>
    <row r="1672" spans="1:13" x14ac:dyDescent="0.25">
      <c r="A1672">
        <v>1288</v>
      </c>
      <c r="B1672" t="s">
        <v>485</v>
      </c>
      <c r="C1672" t="s">
        <v>68</v>
      </c>
      <c r="D1672">
        <v>2018</v>
      </c>
      <c r="E1672" t="s">
        <v>1341</v>
      </c>
      <c r="F1672">
        <v>18000</v>
      </c>
      <c r="G1672">
        <v>120000</v>
      </c>
      <c r="H1672" t="s">
        <v>34</v>
      </c>
      <c r="J1672" t="s">
        <v>96</v>
      </c>
      <c r="K1672" t="s">
        <v>37</v>
      </c>
      <c r="L1672" t="s">
        <v>38</v>
      </c>
      <c r="M1672">
        <v>2</v>
      </c>
    </row>
    <row r="1673" spans="1:13" x14ac:dyDescent="0.25">
      <c r="A1673">
        <v>1488</v>
      </c>
      <c r="B1673" t="s">
        <v>1342</v>
      </c>
      <c r="C1673" t="s">
        <v>47</v>
      </c>
      <c r="D1673">
        <v>2022</v>
      </c>
      <c r="E1673">
        <v>3781</v>
      </c>
      <c r="F1673">
        <v>9000</v>
      </c>
      <c r="G1673">
        <v>40000</v>
      </c>
      <c r="H1673" t="s">
        <v>53</v>
      </c>
      <c r="I1673" t="s">
        <v>35</v>
      </c>
      <c r="K1673" t="s">
        <v>73</v>
      </c>
      <c r="L1673" t="s">
        <v>49</v>
      </c>
      <c r="M1673">
        <v>3</v>
      </c>
    </row>
    <row r="1674" spans="1:13" x14ac:dyDescent="0.25">
      <c r="A1674">
        <v>1461</v>
      </c>
      <c r="B1674" t="s">
        <v>321</v>
      </c>
      <c r="C1674" t="s">
        <v>61</v>
      </c>
      <c r="D1674">
        <v>2020</v>
      </c>
      <c r="E1674">
        <v>16099</v>
      </c>
      <c r="F1674" t="s">
        <v>129</v>
      </c>
      <c r="G1674">
        <v>60000</v>
      </c>
      <c r="H1674" t="s">
        <v>41</v>
      </c>
      <c r="I1674" t="s">
        <v>42</v>
      </c>
      <c r="J1674" t="s">
        <v>43</v>
      </c>
      <c r="K1674" t="s">
        <v>37</v>
      </c>
      <c r="L1674" t="s">
        <v>98</v>
      </c>
    </row>
    <row r="1675" spans="1:13" x14ac:dyDescent="0.25">
      <c r="A1675">
        <v>1374</v>
      </c>
      <c r="B1675" t="s">
        <v>967</v>
      </c>
      <c r="C1675" t="s">
        <v>47</v>
      </c>
      <c r="D1675">
        <v>2021</v>
      </c>
      <c r="E1675">
        <v>7235</v>
      </c>
      <c r="F1675">
        <v>9000</v>
      </c>
      <c r="G1675">
        <v>60000</v>
      </c>
      <c r="H1675" t="s">
        <v>34</v>
      </c>
      <c r="I1675" t="s">
        <v>35</v>
      </c>
      <c r="J1675" t="s">
        <v>36</v>
      </c>
      <c r="K1675" t="s">
        <v>116</v>
      </c>
      <c r="L1675" t="s">
        <v>98</v>
      </c>
      <c r="M1675">
        <v>3</v>
      </c>
    </row>
    <row r="1676" spans="1:13" x14ac:dyDescent="0.25">
      <c r="A1676">
        <v>1423</v>
      </c>
      <c r="B1676" t="s">
        <v>915</v>
      </c>
      <c r="C1676" t="s">
        <v>79</v>
      </c>
      <c r="E1676" t="s">
        <v>1343</v>
      </c>
      <c r="F1676">
        <v>15000</v>
      </c>
      <c r="G1676">
        <v>120000</v>
      </c>
      <c r="H1676" t="s">
        <v>41</v>
      </c>
      <c r="I1676" t="s">
        <v>72</v>
      </c>
      <c r="K1676" t="s">
        <v>77</v>
      </c>
      <c r="L1676" t="s">
        <v>109</v>
      </c>
      <c r="M1676">
        <v>1</v>
      </c>
    </row>
    <row r="1677" spans="1:13" x14ac:dyDescent="0.25">
      <c r="A1677">
        <v>1335</v>
      </c>
      <c r="B1677" t="s">
        <v>67</v>
      </c>
      <c r="C1677" t="s">
        <v>65</v>
      </c>
      <c r="D1677">
        <v>2019</v>
      </c>
      <c r="E1677">
        <v>5152</v>
      </c>
      <c r="F1677" t="s">
        <v>81</v>
      </c>
      <c r="G1677">
        <v>80000</v>
      </c>
      <c r="H1677" t="s">
        <v>63</v>
      </c>
      <c r="I1677" t="s">
        <v>42</v>
      </c>
      <c r="J1677" t="s">
        <v>66</v>
      </c>
      <c r="L1677" t="s">
        <v>90</v>
      </c>
      <c r="M1677">
        <v>2</v>
      </c>
    </row>
    <row r="1678" spans="1:13" x14ac:dyDescent="0.25">
      <c r="A1678">
        <v>1479</v>
      </c>
      <c r="B1678" t="s">
        <v>577</v>
      </c>
      <c r="C1678" t="s">
        <v>57</v>
      </c>
      <c r="D1678">
        <v>2020</v>
      </c>
      <c r="E1678">
        <v>23837</v>
      </c>
      <c r="F1678">
        <v>26000</v>
      </c>
      <c r="G1678">
        <v>120000</v>
      </c>
      <c r="H1678" t="s">
        <v>41</v>
      </c>
      <c r="I1678" t="s">
        <v>35</v>
      </c>
      <c r="J1678" t="s">
        <v>96</v>
      </c>
      <c r="L1678" t="s">
        <v>45</v>
      </c>
      <c r="M1678">
        <v>3</v>
      </c>
    </row>
    <row r="1679" spans="1:13" x14ac:dyDescent="0.25">
      <c r="A1679">
        <v>1207</v>
      </c>
      <c r="B1679" t="s">
        <v>1320</v>
      </c>
      <c r="C1679" t="s">
        <v>103</v>
      </c>
      <c r="D1679">
        <v>2022</v>
      </c>
      <c r="E1679" t="s">
        <v>1344</v>
      </c>
      <c r="F1679">
        <v>31000</v>
      </c>
      <c r="G1679">
        <v>80000</v>
      </c>
      <c r="H1679" t="s">
        <v>58</v>
      </c>
      <c r="I1679" t="s">
        <v>59</v>
      </c>
      <c r="J1679" t="s">
        <v>66</v>
      </c>
      <c r="K1679" t="s">
        <v>116</v>
      </c>
      <c r="L1679" t="s">
        <v>98</v>
      </c>
      <c r="M1679">
        <v>3</v>
      </c>
    </row>
    <row r="1680" spans="1:13" x14ac:dyDescent="0.25">
      <c r="A1680">
        <v>1062</v>
      </c>
      <c r="B1680" t="s">
        <v>1311</v>
      </c>
      <c r="C1680" t="s">
        <v>119</v>
      </c>
      <c r="D1680">
        <v>2018</v>
      </c>
      <c r="E1680" t="s">
        <v>1345</v>
      </c>
      <c r="F1680" t="s">
        <v>115</v>
      </c>
      <c r="G1680">
        <v>15000</v>
      </c>
      <c r="H1680" t="s">
        <v>69</v>
      </c>
      <c r="I1680" t="s">
        <v>59</v>
      </c>
      <c r="J1680" t="s">
        <v>36</v>
      </c>
      <c r="K1680" t="s">
        <v>77</v>
      </c>
      <c r="L1680" t="s">
        <v>126</v>
      </c>
    </row>
    <row r="1681" spans="1:13" x14ac:dyDescent="0.25">
      <c r="A1681">
        <v>1128</v>
      </c>
      <c r="B1681" t="s">
        <v>1310</v>
      </c>
      <c r="C1681" t="s">
        <v>138</v>
      </c>
      <c r="D1681">
        <v>2017</v>
      </c>
      <c r="E1681">
        <v>1378</v>
      </c>
      <c r="F1681">
        <v>7000</v>
      </c>
      <c r="G1681">
        <v>80000</v>
      </c>
      <c r="H1681" t="s">
        <v>53</v>
      </c>
      <c r="J1681" t="s">
        <v>66</v>
      </c>
      <c r="K1681" t="s">
        <v>116</v>
      </c>
      <c r="L1681" t="s">
        <v>55</v>
      </c>
      <c r="M1681">
        <v>3</v>
      </c>
    </row>
    <row r="1682" spans="1:13" x14ac:dyDescent="0.25">
      <c r="A1682">
        <v>1326</v>
      </c>
      <c r="B1682" t="s">
        <v>759</v>
      </c>
      <c r="C1682" t="s">
        <v>138</v>
      </c>
      <c r="D1682">
        <v>2015</v>
      </c>
      <c r="E1682" t="s">
        <v>1346</v>
      </c>
      <c r="F1682">
        <v>9000</v>
      </c>
      <c r="G1682">
        <v>80000</v>
      </c>
      <c r="H1682" t="s">
        <v>34</v>
      </c>
      <c r="I1682" t="s">
        <v>42</v>
      </c>
      <c r="J1682" t="s">
        <v>36</v>
      </c>
      <c r="K1682" t="s">
        <v>73</v>
      </c>
      <c r="L1682" t="s">
        <v>126</v>
      </c>
      <c r="M1682">
        <v>3</v>
      </c>
    </row>
    <row r="1683" spans="1:13" x14ac:dyDescent="0.25">
      <c r="A1683">
        <v>1144</v>
      </c>
      <c r="B1683" t="s">
        <v>80</v>
      </c>
      <c r="C1683" t="s">
        <v>75</v>
      </c>
      <c r="D1683">
        <v>2016</v>
      </c>
      <c r="E1683" t="s">
        <v>1347</v>
      </c>
      <c r="F1683">
        <v>9000</v>
      </c>
      <c r="G1683">
        <v>15000</v>
      </c>
      <c r="H1683" t="s">
        <v>41</v>
      </c>
      <c r="I1683" t="s">
        <v>72</v>
      </c>
      <c r="J1683" t="s">
        <v>43</v>
      </c>
      <c r="K1683" t="s">
        <v>116</v>
      </c>
      <c r="L1683" t="s">
        <v>55</v>
      </c>
      <c r="M1683">
        <v>0</v>
      </c>
    </row>
    <row r="1684" spans="1:13" x14ac:dyDescent="0.25">
      <c r="A1684">
        <v>1444</v>
      </c>
      <c r="B1684" t="s">
        <v>1348</v>
      </c>
      <c r="C1684" t="s">
        <v>103</v>
      </c>
      <c r="D1684">
        <v>2015</v>
      </c>
      <c r="E1684">
        <v>26919</v>
      </c>
      <c r="F1684">
        <v>31000</v>
      </c>
      <c r="G1684">
        <v>15000</v>
      </c>
      <c r="H1684" t="s">
        <v>34</v>
      </c>
      <c r="I1684" t="s">
        <v>72</v>
      </c>
      <c r="J1684" t="s">
        <v>36</v>
      </c>
      <c r="K1684" t="s">
        <v>48</v>
      </c>
      <c r="M1684">
        <v>1</v>
      </c>
    </row>
    <row r="1685" spans="1:13" x14ac:dyDescent="0.25">
      <c r="A1685">
        <v>1155</v>
      </c>
      <c r="B1685" t="s">
        <v>1349</v>
      </c>
      <c r="C1685" t="s">
        <v>47</v>
      </c>
      <c r="D1685">
        <v>2018</v>
      </c>
      <c r="E1685" t="s">
        <v>1350</v>
      </c>
      <c r="F1685">
        <v>18000</v>
      </c>
      <c r="G1685">
        <v>15000</v>
      </c>
      <c r="H1685" t="s">
        <v>58</v>
      </c>
      <c r="I1685" t="s">
        <v>59</v>
      </c>
      <c r="J1685" t="s">
        <v>96</v>
      </c>
      <c r="K1685" t="s">
        <v>77</v>
      </c>
      <c r="L1685" t="s">
        <v>55</v>
      </c>
    </row>
    <row r="1686" spans="1:13" x14ac:dyDescent="0.25">
      <c r="A1686">
        <v>1264</v>
      </c>
      <c r="B1686" t="s">
        <v>1321</v>
      </c>
      <c r="C1686" t="s">
        <v>47</v>
      </c>
      <c r="D1686">
        <v>2016</v>
      </c>
      <c r="E1686">
        <v>6254</v>
      </c>
      <c r="F1686">
        <v>12000</v>
      </c>
      <c r="G1686" t="s">
        <v>76</v>
      </c>
      <c r="H1686" t="s">
        <v>41</v>
      </c>
      <c r="I1686" t="s">
        <v>72</v>
      </c>
      <c r="J1686" t="s">
        <v>96</v>
      </c>
      <c r="K1686" t="s">
        <v>116</v>
      </c>
      <c r="L1686" t="s">
        <v>38</v>
      </c>
      <c r="M1686">
        <v>3</v>
      </c>
    </row>
    <row r="1687" spans="1:13" x14ac:dyDescent="0.25">
      <c r="A1687">
        <v>1084</v>
      </c>
      <c r="B1687" t="s">
        <v>128</v>
      </c>
      <c r="C1687" t="s">
        <v>68</v>
      </c>
      <c r="D1687">
        <v>2015</v>
      </c>
      <c r="E1687">
        <v>15753</v>
      </c>
      <c r="F1687">
        <v>22000</v>
      </c>
      <c r="G1687">
        <v>60000</v>
      </c>
      <c r="H1687" t="s">
        <v>84</v>
      </c>
      <c r="I1687" t="s">
        <v>35</v>
      </c>
      <c r="J1687" t="s">
        <v>36</v>
      </c>
      <c r="K1687" t="s">
        <v>48</v>
      </c>
      <c r="L1687" t="s">
        <v>90</v>
      </c>
      <c r="M1687">
        <v>3</v>
      </c>
    </row>
    <row r="1688" spans="1:13" x14ac:dyDescent="0.25">
      <c r="A1688">
        <v>1573</v>
      </c>
      <c r="B1688" t="s">
        <v>1351</v>
      </c>
      <c r="C1688" t="s">
        <v>40</v>
      </c>
      <c r="D1688">
        <v>2014</v>
      </c>
      <c r="E1688">
        <v>2713</v>
      </c>
      <c r="F1688">
        <v>7000</v>
      </c>
      <c r="G1688">
        <v>25000</v>
      </c>
      <c r="I1688" t="s">
        <v>72</v>
      </c>
      <c r="K1688" t="s">
        <v>116</v>
      </c>
      <c r="M1688">
        <v>1</v>
      </c>
    </row>
    <row r="1689" spans="1:13" x14ac:dyDescent="0.25">
      <c r="A1689">
        <v>1366</v>
      </c>
      <c r="B1689" t="s">
        <v>1352</v>
      </c>
      <c r="C1689" t="s">
        <v>119</v>
      </c>
      <c r="D1689">
        <v>2019</v>
      </c>
      <c r="E1689">
        <v>12901</v>
      </c>
      <c r="F1689" t="s">
        <v>129</v>
      </c>
      <c r="G1689" t="s">
        <v>121</v>
      </c>
      <c r="H1689" t="s">
        <v>69</v>
      </c>
      <c r="J1689" t="s">
        <v>43</v>
      </c>
      <c r="K1689" t="s">
        <v>116</v>
      </c>
      <c r="L1689" t="s">
        <v>49</v>
      </c>
      <c r="M1689">
        <v>2</v>
      </c>
    </row>
    <row r="1690" spans="1:13" x14ac:dyDescent="0.25">
      <c r="A1690">
        <v>1245</v>
      </c>
      <c r="B1690" t="s">
        <v>662</v>
      </c>
      <c r="C1690" t="s">
        <v>94</v>
      </c>
      <c r="D1690">
        <v>2017</v>
      </c>
      <c r="E1690">
        <v>21827</v>
      </c>
      <c r="F1690" t="s">
        <v>83</v>
      </c>
      <c r="G1690" t="s">
        <v>108</v>
      </c>
      <c r="I1690" t="s">
        <v>42</v>
      </c>
      <c r="J1690" t="s">
        <v>43</v>
      </c>
      <c r="K1690" t="s">
        <v>48</v>
      </c>
      <c r="L1690" t="s">
        <v>109</v>
      </c>
      <c r="M1690">
        <v>1</v>
      </c>
    </row>
    <row r="1691" spans="1:13" x14ac:dyDescent="0.25">
      <c r="A1691">
        <v>1170</v>
      </c>
      <c r="B1691" t="s">
        <v>1353</v>
      </c>
      <c r="C1691" t="s">
        <v>164</v>
      </c>
      <c r="D1691">
        <v>2018</v>
      </c>
      <c r="E1691">
        <v>22272</v>
      </c>
      <c r="F1691">
        <v>26000</v>
      </c>
      <c r="G1691" t="s">
        <v>121</v>
      </c>
      <c r="H1691" t="s">
        <v>41</v>
      </c>
      <c r="I1691" t="s">
        <v>35</v>
      </c>
      <c r="J1691" t="s">
        <v>36</v>
      </c>
      <c r="K1691" t="s">
        <v>100</v>
      </c>
      <c r="L1691" t="s">
        <v>126</v>
      </c>
    </row>
    <row r="1692" spans="1:13" x14ac:dyDescent="0.25">
      <c r="A1692">
        <v>1017</v>
      </c>
      <c r="B1692" t="s">
        <v>404</v>
      </c>
      <c r="C1692" t="s">
        <v>94</v>
      </c>
      <c r="D1692" t="s">
        <v>52</v>
      </c>
      <c r="E1692">
        <v>3509</v>
      </c>
      <c r="F1692">
        <v>7000</v>
      </c>
      <c r="G1692">
        <v>15000</v>
      </c>
      <c r="H1692" t="s">
        <v>63</v>
      </c>
      <c r="I1692" t="s">
        <v>72</v>
      </c>
      <c r="J1692" t="s">
        <v>66</v>
      </c>
      <c r="K1692" t="s">
        <v>100</v>
      </c>
      <c r="L1692" t="s">
        <v>55</v>
      </c>
      <c r="M1692">
        <v>0</v>
      </c>
    </row>
    <row r="1693" spans="1:13" x14ac:dyDescent="0.25">
      <c r="A1693">
        <v>1240</v>
      </c>
      <c r="B1693" t="s">
        <v>443</v>
      </c>
      <c r="C1693" t="s">
        <v>94</v>
      </c>
      <c r="D1693" t="s">
        <v>52</v>
      </c>
      <c r="E1693">
        <v>13533</v>
      </c>
      <c r="F1693">
        <v>15000</v>
      </c>
      <c r="G1693">
        <v>120000</v>
      </c>
      <c r="H1693" t="s">
        <v>53</v>
      </c>
      <c r="I1693" t="s">
        <v>59</v>
      </c>
      <c r="K1693" t="s">
        <v>77</v>
      </c>
      <c r="L1693" t="s">
        <v>126</v>
      </c>
      <c r="M1693">
        <v>0</v>
      </c>
    </row>
    <row r="1694" spans="1:13" x14ac:dyDescent="0.25">
      <c r="A1694">
        <v>1240</v>
      </c>
      <c r="B1694" t="s">
        <v>1354</v>
      </c>
      <c r="C1694" t="s">
        <v>68</v>
      </c>
      <c r="D1694">
        <v>2014</v>
      </c>
      <c r="E1694" t="s">
        <v>1355</v>
      </c>
      <c r="F1694">
        <v>7000</v>
      </c>
      <c r="G1694" t="s">
        <v>121</v>
      </c>
      <c r="H1694" t="s">
        <v>41</v>
      </c>
      <c r="I1694" t="s">
        <v>72</v>
      </c>
      <c r="K1694" t="s">
        <v>73</v>
      </c>
      <c r="L1694" t="s">
        <v>90</v>
      </c>
    </row>
    <row r="1695" spans="1:13" x14ac:dyDescent="0.25">
      <c r="A1695">
        <v>1184</v>
      </c>
      <c r="B1695" t="s">
        <v>396</v>
      </c>
      <c r="C1695" t="s">
        <v>119</v>
      </c>
      <c r="D1695">
        <v>2019</v>
      </c>
      <c r="E1695">
        <v>14255</v>
      </c>
      <c r="F1695" t="s">
        <v>129</v>
      </c>
      <c r="G1695">
        <v>15000</v>
      </c>
      <c r="H1695" t="s">
        <v>41</v>
      </c>
      <c r="I1695" t="s">
        <v>72</v>
      </c>
      <c r="J1695" t="s">
        <v>66</v>
      </c>
      <c r="K1695" t="s">
        <v>116</v>
      </c>
      <c r="L1695" t="s">
        <v>98</v>
      </c>
      <c r="M1695">
        <v>3</v>
      </c>
    </row>
    <row r="1696" spans="1:13" x14ac:dyDescent="0.25">
      <c r="A1696">
        <v>1025</v>
      </c>
      <c r="B1696" t="s">
        <v>124</v>
      </c>
      <c r="C1696" t="s">
        <v>75</v>
      </c>
      <c r="D1696">
        <v>2017</v>
      </c>
      <c r="E1696">
        <v>23605</v>
      </c>
      <c r="F1696">
        <v>26000</v>
      </c>
      <c r="G1696" t="s">
        <v>92</v>
      </c>
      <c r="H1696" t="s">
        <v>58</v>
      </c>
      <c r="I1696" t="s">
        <v>59</v>
      </c>
      <c r="K1696" t="s">
        <v>37</v>
      </c>
      <c r="L1696" t="s">
        <v>109</v>
      </c>
    </row>
    <row r="1697" spans="1:13" x14ac:dyDescent="0.25">
      <c r="A1697">
        <v>1225</v>
      </c>
      <c r="B1697" t="s">
        <v>550</v>
      </c>
      <c r="C1697" t="s">
        <v>51</v>
      </c>
      <c r="D1697">
        <v>2021</v>
      </c>
      <c r="E1697" t="s">
        <v>1356</v>
      </c>
      <c r="F1697">
        <v>18000</v>
      </c>
      <c r="G1697">
        <v>60000</v>
      </c>
      <c r="H1697" t="s">
        <v>41</v>
      </c>
      <c r="I1697" t="s">
        <v>72</v>
      </c>
      <c r="K1697" t="s">
        <v>77</v>
      </c>
      <c r="L1697" t="s">
        <v>38</v>
      </c>
      <c r="M1697">
        <v>0</v>
      </c>
    </row>
    <row r="1698" spans="1:13" x14ac:dyDescent="0.25">
      <c r="A1698">
        <v>1297</v>
      </c>
      <c r="B1698" t="s">
        <v>1357</v>
      </c>
      <c r="C1698" t="s">
        <v>103</v>
      </c>
      <c r="D1698">
        <v>2021</v>
      </c>
      <c r="E1698">
        <v>10332</v>
      </c>
      <c r="F1698" t="s">
        <v>89</v>
      </c>
      <c r="G1698">
        <v>80000</v>
      </c>
      <c r="H1698" t="s">
        <v>84</v>
      </c>
      <c r="I1698" t="s">
        <v>72</v>
      </c>
      <c r="J1698" t="s">
        <v>66</v>
      </c>
      <c r="K1698" t="s">
        <v>48</v>
      </c>
      <c r="L1698" t="s">
        <v>38</v>
      </c>
      <c r="M1698">
        <v>3</v>
      </c>
    </row>
    <row r="1699" spans="1:13" x14ac:dyDescent="0.25">
      <c r="A1699">
        <v>1497</v>
      </c>
      <c r="B1699" t="s">
        <v>951</v>
      </c>
      <c r="C1699" t="s">
        <v>103</v>
      </c>
      <c r="D1699">
        <v>2019</v>
      </c>
      <c r="E1699">
        <v>5150</v>
      </c>
      <c r="F1699">
        <v>7000</v>
      </c>
      <c r="G1699" t="s">
        <v>108</v>
      </c>
      <c r="I1699" t="s">
        <v>59</v>
      </c>
      <c r="J1699" t="s">
        <v>43</v>
      </c>
      <c r="K1699" t="s">
        <v>100</v>
      </c>
    </row>
    <row r="1700" spans="1:13" x14ac:dyDescent="0.25">
      <c r="A1700">
        <v>1366</v>
      </c>
      <c r="B1700" t="s">
        <v>1354</v>
      </c>
      <c r="C1700" t="s">
        <v>47</v>
      </c>
      <c r="D1700">
        <v>2020</v>
      </c>
      <c r="E1700" t="s">
        <v>1358</v>
      </c>
      <c r="F1700">
        <v>15000</v>
      </c>
      <c r="G1700">
        <v>60000</v>
      </c>
      <c r="H1700" t="s">
        <v>58</v>
      </c>
      <c r="I1700" t="s">
        <v>59</v>
      </c>
      <c r="J1700" t="s">
        <v>43</v>
      </c>
      <c r="K1700" t="s">
        <v>100</v>
      </c>
      <c r="L1700" t="s">
        <v>90</v>
      </c>
      <c r="M1700">
        <v>1</v>
      </c>
    </row>
    <row r="1701" spans="1:13" x14ac:dyDescent="0.25">
      <c r="A1701">
        <v>1011</v>
      </c>
      <c r="B1701" t="s">
        <v>1086</v>
      </c>
      <c r="C1701" t="s">
        <v>103</v>
      </c>
      <c r="D1701">
        <v>2020</v>
      </c>
      <c r="E1701">
        <v>20784</v>
      </c>
      <c r="F1701">
        <v>26000</v>
      </c>
      <c r="G1701">
        <v>60000</v>
      </c>
      <c r="H1701" t="s">
        <v>34</v>
      </c>
      <c r="I1701" t="s">
        <v>35</v>
      </c>
      <c r="J1701" t="s">
        <v>43</v>
      </c>
      <c r="K1701" t="s">
        <v>44</v>
      </c>
      <c r="L1701" t="s">
        <v>90</v>
      </c>
      <c r="M1701">
        <v>1</v>
      </c>
    </row>
    <row r="1702" spans="1:13" x14ac:dyDescent="0.25">
      <c r="A1702">
        <v>1325</v>
      </c>
      <c r="B1702" t="s">
        <v>498</v>
      </c>
      <c r="C1702" t="s">
        <v>40</v>
      </c>
      <c r="D1702">
        <v>2021</v>
      </c>
      <c r="E1702">
        <v>12219</v>
      </c>
      <c r="F1702" t="s">
        <v>129</v>
      </c>
      <c r="G1702">
        <v>80000</v>
      </c>
      <c r="I1702" t="s">
        <v>59</v>
      </c>
      <c r="J1702" t="s">
        <v>43</v>
      </c>
      <c r="K1702" t="s">
        <v>100</v>
      </c>
      <c r="L1702" t="s">
        <v>98</v>
      </c>
      <c r="M1702">
        <v>2</v>
      </c>
    </row>
    <row r="1703" spans="1:13" x14ac:dyDescent="0.25">
      <c r="A1703">
        <v>1570</v>
      </c>
      <c r="B1703" t="s">
        <v>731</v>
      </c>
      <c r="C1703" t="s">
        <v>133</v>
      </c>
      <c r="D1703">
        <v>2020</v>
      </c>
      <c r="E1703">
        <v>12503</v>
      </c>
      <c r="F1703">
        <v>18000</v>
      </c>
      <c r="G1703" t="s">
        <v>76</v>
      </c>
      <c r="H1703" t="s">
        <v>41</v>
      </c>
      <c r="I1703" t="s">
        <v>35</v>
      </c>
      <c r="J1703" t="s">
        <v>96</v>
      </c>
      <c r="K1703" t="s">
        <v>37</v>
      </c>
      <c r="L1703" t="s">
        <v>55</v>
      </c>
      <c r="M1703">
        <v>0</v>
      </c>
    </row>
    <row r="1704" spans="1:13" x14ac:dyDescent="0.25">
      <c r="A1704">
        <v>1585</v>
      </c>
      <c r="B1704" t="s">
        <v>193</v>
      </c>
      <c r="C1704" t="s">
        <v>94</v>
      </c>
      <c r="D1704">
        <v>2019</v>
      </c>
      <c r="E1704" t="s">
        <v>1359</v>
      </c>
      <c r="F1704">
        <v>31000</v>
      </c>
      <c r="G1704">
        <v>80000</v>
      </c>
      <c r="H1704" t="s">
        <v>63</v>
      </c>
      <c r="I1704" t="s">
        <v>59</v>
      </c>
      <c r="J1704" t="s">
        <v>96</v>
      </c>
      <c r="K1704" t="s">
        <v>37</v>
      </c>
    </row>
    <row r="1705" spans="1:13" x14ac:dyDescent="0.25">
      <c r="A1705">
        <v>1040</v>
      </c>
      <c r="B1705" t="s">
        <v>1360</v>
      </c>
      <c r="C1705" t="s">
        <v>138</v>
      </c>
      <c r="D1705">
        <v>2015</v>
      </c>
      <c r="E1705" t="s">
        <v>1361</v>
      </c>
      <c r="F1705">
        <v>9000</v>
      </c>
      <c r="G1705">
        <v>40000</v>
      </c>
      <c r="H1705" t="s">
        <v>41</v>
      </c>
      <c r="J1705" t="s">
        <v>66</v>
      </c>
      <c r="K1705" t="s">
        <v>54</v>
      </c>
      <c r="L1705" t="s">
        <v>45</v>
      </c>
    </row>
    <row r="1706" spans="1:13" x14ac:dyDescent="0.25">
      <c r="A1706">
        <v>1474</v>
      </c>
      <c r="B1706" t="s">
        <v>1156</v>
      </c>
      <c r="C1706" t="s">
        <v>57</v>
      </c>
      <c r="D1706">
        <v>2022</v>
      </c>
      <c r="E1706">
        <v>25976</v>
      </c>
      <c r="F1706">
        <v>31000</v>
      </c>
      <c r="G1706">
        <v>80000</v>
      </c>
      <c r="H1706" t="s">
        <v>58</v>
      </c>
      <c r="J1706" t="s">
        <v>66</v>
      </c>
      <c r="K1706" t="s">
        <v>73</v>
      </c>
      <c r="L1706" t="s">
        <v>49</v>
      </c>
      <c r="M1706">
        <v>0</v>
      </c>
    </row>
    <row r="1707" spans="1:13" x14ac:dyDescent="0.25">
      <c r="A1707">
        <v>1400</v>
      </c>
      <c r="B1707" t="s">
        <v>112</v>
      </c>
      <c r="C1707" t="s">
        <v>164</v>
      </c>
      <c r="D1707">
        <v>2019</v>
      </c>
      <c r="E1707">
        <v>727</v>
      </c>
      <c r="F1707" t="s">
        <v>147</v>
      </c>
      <c r="G1707">
        <v>15000</v>
      </c>
      <c r="H1707" t="s">
        <v>41</v>
      </c>
      <c r="I1707" t="s">
        <v>59</v>
      </c>
      <c r="K1707" t="s">
        <v>44</v>
      </c>
      <c r="L1707" t="s">
        <v>90</v>
      </c>
      <c r="M1707">
        <v>1</v>
      </c>
    </row>
    <row r="1708" spans="1:13" x14ac:dyDescent="0.25">
      <c r="A1708">
        <v>1121</v>
      </c>
      <c r="B1708" t="s">
        <v>97</v>
      </c>
      <c r="C1708" t="s">
        <v>57</v>
      </c>
      <c r="D1708">
        <v>2017</v>
      </c>
      <c r="E1708">
        <v>9047</v>
      </c>
      <c r="F1708" t="s">
        <v>89</v>
      </c>
      <c r="G1708" t="s">
        <v>92</v>
      </c>
      <c r="H1708" t="s">
        <v>41</v>
      </c>
      <c r="I1708" t="s">
        <v>35</v>
      </c>
      <c r="J1708" t="s">
        <v>43</v>
      </c>
      <c r="K1708" t="s">
        <v>77</v>
      </c>
      <c r="L1708" t="s">
        <v>126</v>
      </c>
      <c r="M1708">
        <v>1</v>
      </c>
    </row>
    <row r="1709" spans="1:13" x14ac:dyDescent="0.25">
      <c r="A1709">
        <v>1142</v>
      </c>
      <c r="B1709" t="s">
        <v>1362</v>
      </c>
      <c r="C1709" t="s">
        <v>65</v>
      </c>
      <c r="D1709">
        <v>2016</v>
      </c>
      <c r="E1709">
        <v>19179</v>
      </c>
      <c r="F1709">
        <v>26000</v>
      </c>
      <c r="G1709">
        <v>120000</v>
      </c>
      <c r="H1709" t="s">
        <v>53</v>
      </c>
      <c r="I1709" t="s">
        <v>59</v>
      </c>
      <c r="J1709" t="s">
        <v>96</v>
      </c>
      <c r="K1709" t="s">
        <v>73</v>
      </c>
      <c r="L1709" t="s">
        <v>109</v>
      </c>
      <c r="M1709">
        <v>3</v>
      </c>
    </row>
    <row r="1710" spans="1:13" x14ac:dyDescent="0.25">
      <c r="A1710">
        <v>1417</v>
      </c>
      <c r="B1710" t="s">
        <v>539</v>
      </c>
      <c r="C1710" t="s">
        <v>75</v>
      </c>
      <c r="D1710" t="s">
        <v>52</v>
      </c>
      <c r="E1710">
        <v>13797</v>
      </c>
      <c r="F1710">
        <v>18000</v>
      </c>
      <c r="G1710">
        <v>40000</v>
      </c>
      <c r="H1710" t="s">
        <v>34</v>
      </c>
      <c r="J1710" t="s">
        <v>43</v>
      </c>
      <c r="K1710" t="s">
        <v>77</v>
      </c>
      <c r="L1710" t="s">
        <v>109</v>
      </c>
      <c r="M1710">
        <v>2</v>
      </c>
    </row>
    <row r="1711" spans="1:13" x14ac:dyDescent="0.25">
      <c r="A1711">
        <v>1287</v>
      </c>
      <c r="B1711" t="s">
        <v>179</v>
      </c>
      <c r="C1711" t="s">
        <v>65</v>
      </c>
      <c r="D1711">
        <v>2019</v>
      </c>
      <c r="E1711">
        <v>11295</v>
      </c>
      <c r="F1711">
        <v>15000</v>
      </c>
      <c r="G1711">
        <v>40000</v>
      </c>
      <c r="H1711" t="s">
        <v>34</v>
      </c>
      <c r="I1711" t="s">
        <v>72</v>
      </c>
      <c r="K1711" t="s">
        <v>77</v>
      </c>
      <c r="L1711" t="s">
        <v>45</v>
      </c>
    </row>
    <row r="1712" spans="1:13" x14ac:dyDescent="0.25">
      <c r="A1712">
        <v>1439</v>
      </c>
      <c r="B1712" t="s">
        <v>354</v>
      </c>
      <c r="C1712" t="s">
        <v>47</v>
      </c>
      <c r="D1712">
        <v>2018</v>
      </c>
      <c r="E1712">
        <v>11107</v>
      </c>
      <c r="F1712">
        <v>15000</v>
      </c>
      <c r="G1712">
        <v>120000</v>
      </c>
      <c r="H1712" t="s">
        <v>53</v>
      </c>
      <c r="I1712" t="s">
        <v>59</v>
      </c>
      <c r="J1712" t="s">
        <v>43</v>
      </c>
      <c r="K1712" t="s">
        <v>54</v>
      </c>
      <c r="M1712">
        <v>2</v>
      </c>
    </row>
    <row r="1713" spans="1:13" x14ac:dyDescent="0.25">
      <c r="A1713">
        <v>1373</v>
      </c>
      <c r="B1713" t="s">
        <v>1363</v>
      </c>
      <c r="C1713" t="s">
        <v>119</v>
      </c>
      <c r="D1713">
        <v>2016</v>
      </c>
      <c r="E1713">
        <v>2226</v>
      </c>
      <c r="F1713" t="s">
        <v>147</v>
      </c>
      <c r="G1713">
        <v>120000</v>
      </c>
      <c r="H1713" t="s">
        <v>69</v>
      </c>
      <c r="I1713" t="s">
        <v>42</v>
      </c>
      <c r="J1713" t="s">
        <v>66</v>
      </c>
      <c r="K1713" t="s">
        <v>48</v>
      </c>
      <c r="M1713">
        <v>1</v>
      </c>
    </row>
    <row r="1714" spans="1:13" x14ac:dyDescent="0.25">
      <c r="A1714">
        <v>1548</v>
      </c>
      <c r="B1714" t="s">
        <v>853</v>
      </c>
      <c r="C1714" t="s">
        <v>65</v>
      </c>
      <c r="D1714">
        <v>2018</v>
      </c>
      <c r="E1714" t="s">
        <v>1364</v>
      </c>
      <c r="F1714" t="s">
        <v>89</v>
      </c>
      <c r="G1714">
        <v>120000</v>
      </c>
      <c r="H1714" t="s">
        <v>69</v>
      </c>
      <c r="I1714" t="s">
        <v>72</v>
      </c>
      <c r="J1714" t="s">
        <v>36</v>
      </c>
      <c r="K1714" t="s">
        <v>44</v>
      </c>
      <c r="L1714" t="s">
        <v>126</v>
      </c>
    </row>
    <row r="1715" spans="1:13" x14ac:dyDescent="0.25">
      <c r="A1715">
        <v>1008</v>
      </c>
      <c r="B1715" t="s">
        <v>1365</v>
      </c>
      <c r="C1715" t="s">
        <v>57</v>
      </c>
      <c r="D1715">
        <v>2022</v>
      </c>
      <c r="E1715" t="s">
        <v>1366</v>
      </c>
      <c r="F1715">
        <v>18000</v>
      </c>
      <c r="G1715" t="s">
        <v>92</v>
      </c>
      <c r="H1715" t="s">
        <v>53</v>
      </c>
      <c r="J1715" t="s">
        <v>36</v>
      </c>
      <c r="K1715" t="s">
        <v>116</v>
      </c>
      <c r="L1715" t="s">
        <v>55</v>
      </c>
      <c r="M1715">
        <v>1</v>
      </c>
    </row>
    <row r="1716" spans="1:13" x14ac:dyDescent="0.25">
      <c r="A1716">
        <v>1004</v>
      </c>
      <c r="B1716" t="s">
        <v>818</v>
      </c>
      <c r="C1716" t="s">
        <v>133</v>
      </c>
      <c r="D1716">
        <v>2016</v>
      </c>
      <c r="E1716">
        <v>15799</v>
      </c>
      <c r="F1716">
        <v>22000</v>
      </c>
      <c r="G1716" t="s">
        <v>130</v>
      </c>
      <c r="H1716" t="s">
        <v>58</v>
      </c>
      <c r="I1716" t="s">
        <v>72</v>
      </c>
      <c r="K1716" t="s">
        <v>44</v>
      </c>
      <c r="L1716" t="s">
        <v>49</v>
      </c>
      <c r="M1716">
        <v>2</v>
      </c>
    </row>
    <row r="1717" spans="1:13" x14ac:dyDescent="0.25">
      <c r="A1717">
        <v>1307</v>
      </c>
      <c r="B1717" t="s">
        <v>1218</v>
      </c>
      <c r="C1717" t="s">
        <v>68</v>
      </c>
      <c r="D1717" t="s">
        <v>52</v>
      </c>
      <c r="E1717">
        <v>5289</v>
      </c>
      <c r="F1717" t="s">
        <v>204</v>
      </c>
      <c r="G1717" t="s">
        <v>108</v>
      </c>
      <c r="H1717" t="s">
        <v>84</v>
      </c>
      <c r="I1717" t="s">
        <v>72</v>
      </c>
      <c r="J1717" t="s">
        <v>66</v>
      </c>
      <c r="K1717" t="s">
        <v>44</v>
      </c>
      <c r="L1717" t="s">
        <v>38</v>
      </c>
      <c r="M1717">
        <v>0</v>
      </c>
    </row>
    <row r="1718" spans="1:13" x14ac:dyDescent="0.25">
      <c r="A1718">
        <v>1229</v>
      </c>
      <c r="B1718" t="s">
        <v>1229</v>
      </c>
      <c r="C1718" t="s">
        <v>164</v>
      </c>
      <c r="D1718">
        <v>2021</v>
      </c>
      <c r="E1718">
        <v>11375</v>
      </c>
      <c r="F1718">
        <v>18000</v>
      </c>
      <c r="G1718">
        <v>120000</v>
      </c>
      <c r="H1718" t="s">
        <v>63</v>
      </c>
      <c r="I1718" t="s">
        <v>42</v>
      </c>
      <c r="J1718" t="s">
        <v>36</v>
      </c>
      <c r="K1718" t="s">
        <v>37</v>
      </c>
      <c r="L1718" t="s">
        <v>49</v>
      </c>
      <c r="M1718">
        <v>1</v>
      </c>
    </row>
    <row r="1719" spans="1:13" x14ac:dyDescent="0.25">
      <c r="A1719">
        <v>1170</v>
      </c>
      <c r="B1719" t="s">
        <v>219</v>
      </c>
      <c r="C1719" t="s">
        <v>119</v>
      </c>
      <c r="D1719" t="s">
        <v>52</v>
      </c>
      <c r="E1719">
        <v>20761</v>
      </c>
      <c r="F1719">
        <v>22000</v>
      </c>
      <c r="G1719">
        <v>80000</v>
      </c>
      <c r="H1719" t="s">
        <v>69</v>
      </c>
      <c r="I1719" t="s">
        <v>42</v>
      </c>
      <c r="K1719" t="s">
        <v>48</v>
      </c>
      <c r="L1719" t="s">
        <v>98</v>
      </c>
      <c r="M1719">
        <v>1</v>
      </c>
    </row>
    <row r="1720" spans="1:13" x14ac:dyDescent="0.25">
      <c r="A1720">
        <v>1228</v>
      </c>
      <c r="B1720" t="s">
        <v>1367</v>
      </c>
      <c r="C1720" t="s">
        <v>79</v>
      </c>
      <c r="D1720">
        <v>2015</v>
      </c>
      <c r="E1720">
        <v>3023</v>
      </c>
      <c r="F1720">
        <v>7000</v>
      </c>
      <c r="G1720">
        <v>80000</v>
      </c>
      <c r="H1720" t="s">
        <v>63</v>
      </c>
      <c r="I1720" t="s">
        <v>72</v>
      </c>
      <c r="J1720" t="s">
        <v>96</v>
      </c>
      <c r="K1720" t="s">
        <v>37</v>
      </c>
      <c r="L1720" t="s">
        <v>45</v>
      </c>
      <c r="M1720">
        <v>3</v>
      </c>
    </row>
    <row r="1721" spans="1:13" x14ac:dyDescent="0.25">
      <c r="A1721">
        <v>1096</v>
      </c>
      <c r="B1721" t="s">
        <v>1318</v>
      </c>
      <c r="C1721" t="s">
        <v>68</v>
      </c>
      <c r="E1721" t="s">
        <v>1368</v>
      </c>
      <c r="F1721">
        <v>9000</v>
      </c>
      <c r="G1721">
        <v>80000</v>
      </c>
      <c r="H1721" t="s">
        <v>63</v>
      </c>
      <c r="I1721" t="s">
        <v>72</v>
      </c>
      <c r="J1721" t="s">
        <v>96</v>
      </c>
      <c r="K1721" t="s">
        <v>77</v>
      </c>
      <c r="L1721" t="s">
        <v>55</v>
      </c>
      <c r="M1721">
        <v>0</v>
      </c>
    </row>
    <row r="1722" spans="1:13" x14ac:dyDescent="0.25">
      <c r="A1722">
        <v>1425</v>
      </c>
      <c r="B1722" t="s">
        <v>954</v>
      </c>
      <c r="C1722" t="s">
        <v>103</v>
      </c>
      <c r="D1722">
        <v>2016</v>
      </c>
      <c r="E1722">
        <v>25546</v>
      </c>
      <c r="F1722">
        <v>31000</v>
      </c>
      <c r="G1722">
        <v>25000</v>
      </c>
      <c r="H1722" t="s">
        <v>84</v>
      </c>
      <c r="I1722" t="s">
        <v>42</v>
      </c>
      <c r="J1722" t="s">
        <v>36</v>
      </c>
      <c r="K1722" t="s">
        <v>44</v>
      </c>
      <c r="L1722" t="s">
        <v>55</v>
      </c>
      <c r="M1722">
        <v>2</v>
      </c>
    </row>
    <row r="1723" spans="1:13" x14ac:dyDescent="0.25">
      <c r="A1723">
        <v>1434</v>
      </c>
      <c r="B1723" t="s">
        <v>935</v>
      </c>
      <c r="C1723" t="s">
        <v>103</v>
      </c>
      <c r="D1723">
        <v>2016</v>
      </c>
      <c r="E1723" t="s">
        <v>1369</v>
      </c>
      <c r="F1723">
        <v>26000</v>
      </c>
      <c r="G1723" t="s">
        <v>130</v>
      </c>
      <c r="I1723" t="s">
        <v>59</v>
      </c>
      <c r="J1723" t="s">
        <v>66</v>
      </c>
      <c r="K1723" t="s">
        <v>73</v>
      </c>
      <c r="L1723" t="s">
        <v>126</v>
      </c>
      <c r="M1723">
        <v>3</v>
      </c>
    </row>
    <row r="1724" spans="1:13" x14ac:dyDescent="0.25">
      <c r="A1724">
        <v>1344</v>
      </c>
      <c r="B1724" t="s">
        <v>1370</v>
      </c>
      <c r="C1724" t="s">
        <v>119</v>
      </c>
      <c r="D1724">
        <v>2015</v>
      </c>
      <c r="E1724">
        <v>24835</v>
      </c>
      <c r="F1724">
        <v>26000</v>
      </c>
      <c r="G1724">
        <v>25000</v>
      </c>
      <c r="H1724" t="s">
        <v>41</v>
      </c>
      <c r="I1724" t="s">
        <v>72</v>
      </c>
      <c r="J1724" t="s">
        <v>96</v>
      </c>
      <c r="K1724" t="s">
        <v>73</v>
      </c>
      <c r="L1724" t="s">
        <v>109</v>
      </c>
    </row>
    <row r="1725" spans="1:13" x14ac:dyDescent="0.25">
      <c r="A1725">
        <v>1177</v>
      </c>
      <c r="B1725" t="s">
        <v>813</v>
      </c>
      <c r="C1725" t="s">
        <v>164</v>
      </c>
      <c r="D1725">
        <v>2016</v>
      </c>
      <c r="E1725">
        <v>23136</v>
      </c>
      <c r="F1725">
        <v>26000</v>
      </c>
      <c r="G1725">
        <v>60000</v>
      </c>
      <c r="H1725" t="s">
        <v>41</v>
      </c>
      <c r="I1725" t="s">
        <v>72</v>
      </c>
      <c r="K1725" t="s">
        <v>44</v>
      </c>
      <c r="L1725" t="s">
        <v>49</v>
      </c>
      <c r="M1725">
        <v>2</v>
      </c>
    </row>
    <row r="1726" spans="1:13" x14ac:dyDescent="0.25">
      <c r="A1726">
        <v>1410</v>
      </c>
      <c r="B1726" t="s">
        <v>1371</v>
      </c>
      <c r="C1726" t="s">
        <v>164</v>
      </c>
      <c r="D1726">
        <v>2014</v>
      </c>
      <c r="E1726">
        <v>6021</v>
      </c>
      <c r="F1726" t="s">
        <v>204</v>
      </c>
      <c r="G1726">
        <v>40000</v>
      </c>
      <c r="H1726" t="s">
        <v>58</v>
      </c>
      <c r="I1726" t="s">
        <v>42</v>
      </c>
      <c r="J1726" t="s">
        <v>36</v>
      </c>
      <c r="K1726" t="s">
        <v>77</v>
      </c>
      <c r="L1726" t="s">
        <v>45</v>
      </c>
      <c r="M1726">
        <v>1</v>
      </c>
    </row>
    <row r="1727" spans="1:13" x14ac:dyDescent="0.25">
      <c r="A1727">
        <v>1189</v>
      </c>
      <c r="B1727" t="s">
        <v>1301</v>
      </c>
      <c r="C1727" t="s">
        <v>133</v>
      </c>
      <c r="D1727">
        <v>2019</v>
      </c>
      <c r="E1727">
        <v>17899</v>
      </c>
      <c r="F1727" t="s">
        <v>115</v>
      </c>
      <c r="G1727">
        <v>60000</v>
      </c>
      <c r="H1727" t="s">
        <v>69</v>
      </c>
      <c r="J1727" t="s">
        <v>36</v>
      </c>
      <c r="K1727" t="s">
        <v>54</v>
      </c>
      <c r="L1727" t="s">
        <v>45</v>
      </c>
      <c r="M1727">
        <v>1</v>
      </c>
    </row>
    <row r="1728" spans="1:13" x14ac:dyDescent="0.25">
      <c r="A1728">
        <v>1446</v>
      </c>
      <c r="B1728" t="s">
        <v>583</v>
      </c>
      <c r="C1728" t="s">
        <v>75</v>
      </c>
      <c r="D1728">
        <v>2022</v>
      </c>
      <c r="E1728">
        <v>11550</v>
      </c>
      <c r="F1728">
        <v>15000</v>
      </c>
      <c r="G1728">
        <v>120000</v>
      </c>
      <c r="H1728" t="s">
        <v>84</v>
      </c>
      <c r="I1728" t="s">
        <v>35</v>
      </c>
      <c r="J1728" t="s">
        <v>66</v>
      </c>
      <c r="K1728" t="s">
        <v>116</v>
      </c>
      <c r="L1728" t="s">
        <v>55</v>
      </c>
      <c r="M1728">
        <v>0</v>
      </c>
    </row>
    <row r="1729" spans="1:13" x14ac:dyDescent="0.25">
      <c r="A1729">
        <v>1117</v>
      </c>
      <c r="B1729" t="s">
        <v>312</v>
      </c>
      <c r="C1729" t="s">
        <v>32</v>
      </c>
      <c r="D1729">
        <v>2019</v>
      </c>
      <c r="E1729">
        <v>4796</v>
      </c>
      <c r="F1729">
        <v>7000</v>
      </c>
      <c r="G1729">
        <v>60000</v>
      </c>
      <c r="H1729" t="s">
        <v>34</v>
      </c>
      <c r="I1729" t="s">
        <v>72</v>
      </c>
      <c r="J1729" t="s">
        <v>36</v>
      </c>
      <c r="K1729" t="s">
        <v>116</v>
      </c>
      <c r="L1729" t="s">
        <v>38</v>
      </c>
      <c r="M1729">
        <v>1</v>
      </c>
    </row>
    <row r="1730" spans="1:13" x14ac:dyDescent="0.25">
      <c r="A1730">
        <v>1054</v>
      </c>
      <c r="B1730" t="s">
        <v>1372</v>
      </c>
      <c r="C1730" t="s">
        <v>32</v>
      </c>
      <c r="D1730">
        <v>2020</v>
      </c>
      <c r="E1730">
        <v>5967</v>
      </c>
      <c r="F1730">
        <v>12000</v>
      </c>
      <c r="G1730">
        <v>120000</v>
      </c>
      <c r="H1730" t="s">
        <v>58</v>
      </c>
      <c r="I1730" t="s">
        <v>42</v>
      </c>
      <c r="J1730" t="s">
        <v>36</v>
      </c>
      <c r="L1730" t="s">
        <v>38</v>
      </c>
      <c r="M1730">
        <v>3</v>
      </c>
    </row>
    <row r="1731" spans="1:13" x14ac:dyDescent="0.25">
      <c r="A1731">
        <v>1445</v>
      </c>
      <c r="B1731" t="s">
        <v>468</v>
      </c>
      <c r="C1731" t="s">
        <v>75</v>
      </c>
      <c r="D1731">
        <v>2019</v>
      </c>
      <c r="E1731">
        <v>24435</v>
      </c>
      <c r="F1731" t="s">
        <v>87</v>
      </c>
      <c r="G1731" t="s">
        <v>33</v>
      </c>
      <c r="H1731" t="s">
        <v>58</v>
      </c>
      <c r="K1731" t="s">
        <v>116</v>
      </c>
      <c r="L1731" t="s">
        <v>55</v>
      </c>
      <c r="M1731">
        <v>0</v>
      </c>
    </row>
    <row r="1732" spans="1:13" x14ac:dyDescent="0.25">
      <c r="A1732">
        <v>1382</v>
      </c>
      <c r="B1732" t="s">
        <v>1373</v>
      </c>
      <c r="C1732" t="s">
        <v>138</v>
      </c>
      <c r="D1732" t="s">
        <v>52</v>
      </c>
      <c r="E1732">
        <v>12127</v>
      </c>
      <c r="F1732" t="s">
        <v>129</v>
      </c>
      <c r="G1732">
        <v>40000</v>
      </c>
      <c r="H1732" t="s">
        <v>41</v>
      </c>
      <c r="I1732" t="s">
        <v>35</v>
      </c>
      <c r="J1732" t="s">
        <v>66</v>
      </c>
      <c r="K1732" t="s">
        <v>73</v>
      </c>
      <c r="L1732" t="s">
        <v>90</v>
      </c>
      <c r="M1732">
        <v>3</v>
      </c>
    </row>
    <row r="1733" spans="1:13" x14ac:dyDescent="0.25">
      <c r="A1733">
        <v>1218</v>
      </c>
      <c r="B1733" t="s">
        <v>1374</v>
      </c>
      <c r="C1733" t="s">
        <v>119</v>
      </c>
      <c r="D1733">
        <v>2022</v>
      </c>
      <c r="E1733">
        <v>24979</v>
      </c>
      <c r="F1733">
        <v>31000</v>
      </c>
      <c r="G1733">
        <v>80000</v>
      </c>
      <c r="H1733" t="s">
        <v>41</v>
      </c>
      <c r="I1733" t="s">
        <v>42</v>
      </c>
      <c r="K1733" t="s">
        <v>44</v>
      </c>
      <c r="M1733">
        <v>3</v>
      </c>
    </row>
    <row r="1734" spans="1:13" x14ac:dyDescent="0.25">
      <c r="A1734">
        <v>1278</v>
      </c>
      <c r="B1734" t="s">
        <v>866</v>
      </c>
      <c r="C1734" t="s">
        <v>138</v>
      </c>
      <c r="D1734">
        <v>2020</v>
      </c>
      <c r="E1734" t="s">
        <v>1375</v>
      </c>
      <c r="F1734">
        <v>7000</v>
      </c>
      <c r="G1734">
        <v>25000</v>
      </c>
      <c r="H1734" t="s">
        <v>69</v>
      </c>
      <c r="I1734" t="s">
        <v>59</v>
      </c>
      <c r="J1734" t="s">
        <v>43</v>
      </c>
      <c r="K1734" t="s">
        <v>44</v>
      </c>
      <c r="L1734" t="s">
        <v>45</v>
      </c>
      <c r="M1734">
        <v>0</v>
      </c>
    </row>
    <row r="1735" spans="1:13" x14ac:dyDescent="0.25">
      <c r="A1735">
        <v>1045</v>
      </c>
      <c r="B1735" t="s">
        <v>394</v>
      </c>
      <c r="C1735" t="s">
        <v>164</v>
      </c>
      <c r="D1735">
        <v>2017</v>
      </c>
      <c r="E1735" t="s">
        <v>1376</v>
      </c>
      <c r="F1735">
        <v>26000</v>
      </c>
      <c r="G1735">
        <v>80000</v>
      </c>
      <c r="H1735" t="s">
        <v>58</v>
      </c>
      <c r="I1735" t="s">
        <v>59</v>
      </c>
      <c r="J1735" t="s">
        <v>66</v>
      </c>
      <c r="K1735" t="s">
        <v>37</v>
      </c>
      <c r="L1735" t="s">
        <v>126</v>
      </c>
      <c r="M1735">
        <v>2</v>
      </c>
    </row>
    <row r="1736" spans="1:13" x14ac:dyDescent="0.25">
      <c r="A1736">
        <v>1102</v>
      </c>
      <c r="B1736" t="s">
        <v>1377</v>
      </c>
      <c r="C1736" t="s">
        <v>32</v>
      </c>
      <c r="D1736">
        <v>2017</v>
      </c>
      <c r="E1736">
        <v>10926</v>
      </c>
      <c r="F1736">
        <v>15000</v>
      </c>
      <c r="G1736" t="s">
        <v>130</v>
      </c>
      <c r="H1736" t="s">
        <v>53</v>
      </c>
      <c r="K1736" t="s">
        <v>100</v>
      </c>
      <c r="L1736" t="s">
        <v>109</v>
      </c>
      <c r="M1736">
        <v>1</v>
      </c>
    </row>
    <row r="1737" spans="1:13" x14ac:dyDescent="0.25">
      <c r="A1737">
        <v>1396</v>
      </c>
      <c r="B1737" t="s">
        <v>1214</v>
      </c>
      <c r="C1737" t="s">
        <v>57</v>
      </c>
      <c r="D1737">
        <v>2014</v>
      </c>
      <c r="E1737">
        <v>8010</v>
      </c>
      <c r="F1737">
        <v>15000</v>
      </c>
      <c r="G1737">
        <v>120000</v>
      </c>
      <c r="H1737" t="s">
        <v>53</v>
      </c>
      <c r="I1737" t="s">
        <v>59</v>
      </c>
      <c r="J1737" t="s">
        <v>36</v>
      </c>
      <c r="K1737" t="s">
        <v>77</v>
      </c>
    </row>
    <row r="1738" spans="1:13" x14ac:dyDescent="0.25">
      <c r="A1738">
        <v>1477</v>
      </c>
      <c r="B1738" t="s">
        <v>815</v>
      </c>
      <c r="C1738" t="s">
        <v>75</v>
      </c>
      <c r="D1738" t="s">
        <v>52</v>
      </c>
      <c r="E1738">
        <v>26884</v>
      </c>
      <c r="F1738">
        <v>31000</v>
      </c>
      <c r="G1738">
        <v>25000</v>
      </c>
      <c r="I1738" t="s">
        <v>59</v>
      </c>
      <c r="J1738" t="s">
        <v>43</v>
      </c>
      <c r="K1738" t="s">
        <v>100</v>
      </c>
      <c r="L1738" t="s">
        <v>126</v>
      </c>
      <c r="M1738">
        <v>0</v>
      </c>
    </row>
    <row r="1739" spans="1:13" x14ac:dyDescent="0.25">
      <c r="A1739">
        <v>1051</v>
      </c>
      <c r="B1739" t="s">
        <v>813</v>
      </c>
      <c r="C1739" t="s">
        <v>40</v>
      </c>
      <c r="D1739">
        <v>2019</v>
      </c>
      <c r="E1739">
        <v>8895</v>
      </c>
      <c r="F1739">
        <v>12000</v>
      </c>
      <c r="G1739">
        <v>15000</v>
      </c>
      <c r="H1739" t="s">
        <v>34</v>
      </c>
      <c r="I1739" t="s">
        <v>42</v>
      </c>
      <c r="J1739" t="s">
        <v>96</v>
      </c>
      <c r="L1739" t="s">
        <v>109</v>
      </c>
      <c r="M1739">
        <v>0</v>
      </c>
    </row>
    <row r="1740" spans="1:13" x14ac:dyDescent="0.25">
      <c r="A1740">
        <v>1541</v>
      </c>
      <c r="B1740" t="s">
        <v>273</v>
      </c>
      <c r="C1740" t="s">
        <v>61</v>
      </c>
      <c r="D1740">
        <v>2015</v>
      </c>
      <c r="E1740">
        <v>7242</v>
      </c>
      <c r="F1740">
        <v>12000</v>
      </c>
      <c r="G1740">
        <v>25000</v>
      </c>
      <c r="H1740" t="s">
        <v>84</v>
      </c>
      <c r="J1740" t="s">
        <v>96</v>
      </c>
      <c r="K1740" t="s">
        <v>54</v>
      </c>
      <c r="L1740" t="s">
        <v>109</v>
      </c>
      <c r="M1740">
        <v>2</v>
      </c>
    </row>
    <row r="1741" spans="1:13" x14ac:dyDescent="0.25">
      <c r="A1741">
        <v>1352</v>
      </c>
      <c r="B1741" t="s">
        <v>414</v>
      </c>
      <c r="C1741" t="s">
        <v>79</v>
      </c>
      <c r="D1741">
        <v>2020</v>
      </c>
      <c r="E1741">
        <v>24947</v>
      </c>
      <c r="F1741">
        <v>31000</v>
      </c>
      <c r="G1741">
        <v>25000</v>
      </c>
      <c r="I1741" t="s">
        <v>59</v>
      </c>
      <c r="J1741" t="s">
        <v>43</v>
      </c>
      <c r="K1741" t="s">
        <v>37</v>
      </c>
      <c r="L1741" t="s">
        <v>38</v>
      </c>
      <c r="M1741">
        <v>3</v>
      </c>
    </row>
    <row r="1742" spans="1:13" x14ac:dyDescent="0.25">
      <c r="A1742">
        <v>1512</v>
      </c>
      <c r="B1742" t="s">
        <v>1378</v>
      </c>
      <c r="C1742" t="s">
        <v>138</v>
      </c>
      <c r="D1742" t="s">
        <v>52</v>
      </c>
      <c r="E1742">
        <v>2465</v>
      </c>
      <c r="F1742" t="s">
        <v>81</v>
      </c>
      <c r="G1742">
        <v>120000</v>
      </c>
      <c r="H1742" t="s">
        <v>63</v>
      </c>
      <c r="I1742" t="s">
        <v>59</v>
      </c>
      <c r="J1742" t="s">
        <v>36</v>
      </c>
      <c r="K1742" t="s">
        <v>100</v>
      </c>
      <c r="L1742" t="s">
        <v>98</v>
      </c>
      <c r="M1742">
        <v>3</v>
      </c>
    </row>
    <row r="1743" spans="1:13" x14ac:dyDescent="0.25">
      <c r="A1743">
        <v>1506</v>
      </c>
      <c r="B1743" t="s">
        <v>557</v>
      </c>
      <c r="C1743" t="s">
        <v>138</v>
      </c>
      <c r="D1743">
        <v>2022</v>
      </c>
      <c r="E1743">
        <v>10951</v>
      </c>
      <c r="F1743" t="s">
        <v>89</v>
      </c>
      <c r="G1743">
        <v>15000</v>
      </c>
      <c r="I1743" t="s">
        <v>72</v>
      </c>
      <c r="J1743" t="s">
        <v>36</v>
      </c>
      <c r="K1743" t="s">
        <v>100</v>
      </c>
      <c r="L1743" t="s">
        <v>90</v>
      </c>
      <c r="M1743">
        <v>1</v>
      </c>
    </row>
    <row r="1744" spans="1:13" x14ac:dyDescent="0.25">
      <c r="A1744">
        <v>1400</v>
      </c>
      <c r="B1744" t="s">
        <v>1264</v>
      </c>
      <c r="C1744" t="s">
        <v>51</v>
      </c>
      <c r="D1744" t="s">
        <v>52</v>
      </c>
      <c r="E1744">
        <v>22527</v>
      </c>
      <c r="F1744">
        <v>26000</v>
      </c>
      <c r="G1744">
        <v>15000</v>
      </c>
      <c r="H1744" t="s">
        <v>53</v>
      </c>
      <c r="I1744" t="s">
        <v>35</v>
      </c>
      <c r="J1744" t="s">
        <v>96</v>
      </c>
      <c r="K1744" t="s">
        <v>37</v>
      </c>
      <c r="L1744" t="s">
        <v>49</v>
      </c>
      <c r="M1744">
        <v>3</v>
      </c>
    </row>
    <row r="1745" spans="1:13" x14ac:dyDescent="0.25">
      <c r="A1745">
        <v>1383</v>
      </c>
      <c r="B1745" t="s">
        <v>268</v>
      </c>
      <c r="C1745" t="s">
        <v>103</v>
      </c>
      <c r="D1745">
        <v>2015</v>
      </c>
      <c r="E1745" t="s">
        <v>1379</v>
      </c>
      <c r="F1745">
        <v>18000</v>
      </c>
      <c r="G1745" t="s">
        <v>33</v>
      </c>
      <c r="H1745" t="s">
        <v>34</v>
      </c>
      <c r="J1745" t="s">
        <v>43</v>
      </c>
      <c r="K1745" t="s">
        <v>77</v>
      </c>
      <c r="L1745" t="s">
        <v>98</v>
      </c>
      <c r="M1745">
        <v>2</v>
      </c>
    </row>
    <row r="1746" spans="1:13" x14ac:dyDescent="0.25">
      <c r="A1746">
        <v>1551</v>
      </c>
      <c r="B1746" t="s">
        <v>404</v>
      </c>
      <c r="C1746" t="s">
        <v>133</v>
      </c>
      <c r="D1746">
        <v>2014</v>
      </c>
      <c r="E1746">
        <v>14435</v>
      </c>
      <c r="F1746">
        <v>18000</v>
      </c>
      <c r="G1746">
        <v>60000</v>
      </c>
      <c r="I1746" t="s">
        <v>35</v>
      </c>
      <c r="J1746" t="s">
        <v>66</v>
      </c>
      <c r="K1746" t="s">
        <v>48</v>
      </c>
    </row>
    <row r="1747" spans="1:13" x14ac:dyDescent="0.25">
      <c r="A1747">
        <v>1498</v>
      </c>
      <c r="B1747" t="s">
        <v>1302</v>
      </c>
      <c r="C1747" t="s">
        <v>119</v>
      </c>
      <c r="D1747">
        <v>2014</v>
      </c>
      <c r="E1747">
        <v>1566</v>
      </c>
      <c r="F1747">
        <v>7000</v>
      </c>
      <c r="G1747" t="s">
        <v>130</v>
      </c>
      <c r="H1747" t="s">
        <v>53</v>
      </c>
      <c r="I1747" t="s">
        <v>35</v>
      </c>
      <c r="J1747" t="s">
        <v>96</v>
      </c>
      <c r="K1747" t="s">
        <v>100</v>
      </c>
      <c r="L1747" t="s">
        <v>90</v>
      </c>
    </row>
    <row r="1748" spans="1:13" x14ac:dyDescent="0.25">
      <c r="A1748">
        <v>1337</v>
      </c>
      <c r="B1748" t="s">
        <v>351</v>
      </c>
      <c r="C1748" t="s">
        <v>32</v>
      </c>
      <c r="D1748" t="s">
        <v>52</v>
      </c>
      <c r="E1748">
        <v>10528</v>
      </c>
      <c r="F1748">
        <v>12000</v>
      </c>
      <c r="G1748" t="s">
        <v>92</v>
      </c>
      <c r="H1748" t="s">
        <v>69</v>
      </c>
      <c r="I1748" t="s">
        <v>35</v>
      </c>
      <c r="J1748" t="s">
        <v>43</v>
      </c>
      <c r="K1748" t="s">
        <v>100</v>
      </c>
      <c r="L1748" t="s">
        <v>49</v>
      </c>
      <c r="M1748">
        <v>0</v>
      </c>
    </row>
    <row r="1749" spans="1:13" x14ac:dyDescent="0.25">
      <c r="A1749">
        <v>1491</v>
      </c>
      <c r="B1749" t="s">
        <v>1380</v>
      </c>
      <c r="C1749" t="s">
        <v>138</v>
      </c>
      <c r="D1749">
        <v>2016</v>
      </c>
      <c r="E1749" t="s">
        <v>1381</v>
      </c>
      <c r="F1749">
        <v>12000</v>
      </c>
      <c r="G1749" t="s">
        <v>121</v>
      </c>
      <c r="H1749" t="s">
        <v>84</v>
      </c>
      <c r="I1749" t="s">
        <v>59</v>
      </c>
      <c r="K1749" t="s">
        <v>48</v>
      </c>
      <c r="L1749" t="s">
        <v>126</v>
      </c>
      <c r="M1749">
        <v>3</v>
      </c>
    </row>
    <row r="1750" spans="1:13" x14ac:dyDescent="0.25">
      <c r="A1750">
        <v>1258</v>
      </c>
      <c r="B1750" t="s">
        <v>687</v>
      </c>
      <c r="C1750" t="s">
        <v>61</v>
      </c>
      <c r="D1750" t="s">
        <v>52</v>
      </c>
      <c r="E1750">
        <v>24980</v>
      </c>
      <c r="F1750">
        <v>31000</v>
      </c>
      <c r="G1750">
        <v>80000</v>
      </c>
      <c r="K1750" t="s">
        <v>73</v>
      </c>
      <c r="L1750" t="s">
        <v>109</v>
      </c>
      <c r="M1750">
        <v>1</v>
      </c>
    </row>
    <row r="1751" spans="1:13" x14ac:dyDescent="0.25">
      <c r="A1751">
        <v>1559</v>
      </c>
      <c r="B1751" t="s">
        <v>1007</v>
      </c>
      <c r="C1751" t="s">
        <v>164</v>
      </c>
      <c r="D1751">
        <v>2015</v>
      </c>
      <c r="E1751">
        <v>29096</v>
      </c>
      <c r="F1751">
        <v>31000</v>
      </c>
      <c r="G1751">
        <v>15000</v>
      </c>
      <c r="H1751" t="s">
        <v>63</v>
      </c>
      <c r="J1751" t="s">
        <v>36</v>
      </c>
      <c r="M1751">
        <v>0</v>
      </c>
    </row>
    <row r="1752" spans="1:13" x14ac:dyDescent="0.25">
      <c r="A1752">
        <v>1416</v>
      </c>
      <c r="B1752" t="s">
        <v>744</v>
      </c>
      <c r="C1752" t="s">
        <v>40</v>
      </c>
      <c r="D1752">
        <v>2020</v>
      </c>
      <c r="E1752">
        <v>6270</v>
      </c>
      <c r="F1752" t="s">
        <v>81</v>
      </c>
      <c r="G1752">
        <v>60000</v>
      </c>
      <c r="H1752" t="s">
        <v>84</v>
      </c>
      <c r="I1752" t="s">
        <v>42</v>
      </c>
      <c r="K1752" t="s">
        <v>116</v>
      </c>
      <c r="L1752" t="s">
        <v>109</v>
      </c>
      <c r="M1752">
        <v>2</v>
      </c>
    </row>
    <row r="1753" spans="1:13" x14ac:dyDescent="0.25">
      <c r="A1753">
        <v>1420</v>
      </c>
      <c r="B1753" t="s">
        <v>606</v>
      </c>
      <c r="C1753" t="s">
        <v>138</v>
      </c>
      <c r="D1753">
        <v>2016</v>
      </c>
      <c r="E1753">
        <v>21572</v>
      </c>
      <c r="F1753">
        <v>26000</v>
      </c>
      <c r="G1753">
        <v>15000</v>
      </c>
      <c r="H1753" t="s">
        <v>84</v>
      </c>
      <c r="J1753" t="s">
        <v>66</v>
      </c>
      <c r="L1753" t="s">
        <v>126</v>
      </c>
      <c r="M1753">
        <v>3</v>
      </c>
    </row>
    <row r="1754" spans="1:13" x14ac:dyDescent="0.25">
      <c r="A1754">
        <v>1511</v>
      </c>
      <c r="B1754" t="s">
        <v>366</v>
      </c>
      <c r="C1754" t="s">
        <v>57</v>
      </c>
      <c r="D1754">
        <v>2014</v>
      </c>
      <c r="E1754" t="s">
        <v>1382</v>
      </c>
      <c r="F1754">
        <v>9000</v>
      </c>
      <c r="G1754">
        <v>25000</v>
      </c>
      <c r="H1754" t="s">
        <v>58</v>
      </c>
      <c r="I1754" t="s">
        <v>35</v>
      </c>
      <c r="J1754" t="s">
        <v>43</v>
      </c>
      <c r="K1754" t="s">
        <v>77</v>
      </c>
      <c r="L1754" t="s">
        <v>38</v>
      </c>
      <c r="M1754">
        <v>3</v>
      </c>
    </row>
    <row r="1755" spans="1:13" x14ac:dyDescent="0.25">
      <c r="A1755">
        <v>1337</v>
      </c>
      <c r="B1755" t="s">
        <v>1383</v>
      </c>
      <c r="C1755" t="s">
        <v>32</v>
      </c>
      <c r="D1755">
        <v>2017</v>
      </c>
      <c r="E1755">
        <v>2971</v>
      </c>
      <c r="F1755" t="s">
        <v>81</v>
      </c>
      <c r="G1755">
        <v>60000</v>
      </c>
      <c r="H1755" t="s">
        <v>69</v>
      </c>
      <c r="J1755" t="s">
        <v>36</v>
      </c>
      <c r="K1755" t="s">
        <v>77</v>
      </c>
      <c r="L1755" t="s">
        <v>55</v>
      </c>
      <c r="M1755">
        <v>1</v>
      </c>
    </row>
    <row r="1756" spans="1:13" x14ac:dyDescent="0.25">
      <c r="A1756">
        <v>1230</v>
      </c>
      <c r="B1756" t="s">
        <v>1357</v>
      </c>
      <c r="C1756" t="s">
        <v>79</v>
      </c>
      <c r="D1756">
        <v>2018</v>
      </c>
      <c r="E1756">
        <v>18273</v>
      </c>
      <c r="F1756">
        <v>22000</v>
      </c>
      <c r="G1756">
        <v>80000</v>
      </c>
      <c r="H1756" t="s">
        <v>53</v>
      </c>
      <c r="L1756" t="s">
        <v>49</v>
      </c>
      <c r="M1756">
        <v>1</v>
      </c>
    </row>
    <row r="1757" spans="1:13" x14ac:dyDescent="0.25">
      <c r="A1757">
        <v>1148</v>
      </c>
      <c r="B1757" t="s">
        <v>276</v>
      </c>
      <c r="C1757" t="s">
        <v>133</v>
      </c>
      <c r="D1757">
        <v>2018</v>
      </c>
      <c r="E1757">
        <v>8822</v>
      </c>
      <c r="F1757">
        <v>15000</v>
      </c>
      <c r="G1757">
        <v>80000</v>
      </c>
      <c r="H1757" t="s">
        <v>84</v>
      </c>
      <c r="I1757" t="s">
        <v>59</v>
      </c>
      <c r="J1757" t="s">
        <v>96</v>
      </c>
      <c r="K1757" t="s">
        <v>37</v>
      </c>
      <c r="L1757" t="s">
        <v>90</v>
      </c>
      <c r="M1757">
        <v>2</v>
      </c>
    </row>
    <row r="1758" spans="1:13" x14ac:dyDescent="0.25">
      <c r="A1758">
        <v>1108</v>
      </c>
      <c r="B1758" t="s">
        <v>980</v>
      </c>
      <c r="C1758" t="s">
        <v>75</v>
      </c>
      <c r="D1758" t="s">
        <v>52</v>
      </c>
      <c r="E1758">
        <v>13552</v>
      </c>
      <c r="F1758">
        <v>18000</v>
      </c>
      <c r="G1758">
        <v>60000</v>
      </c>
      <c r="H1758" t="s">
        <v>34</v>
      </c>
      <c r="I1758" t="s">
        <v>35</v>
      </c>
      <c r="J1758" t="s">
        <v>36</v>
      </c>
      <c r="L1758" t="s">
        <v>98</v>
      </c>
      <c r="M1758">
        <v>1</v>
      </c>
    </row>
    <row r="1759" spans="1:13" x14ac:dyDescent="0.25">
      <c r="A1759">
        <v>1257</v>
      </c>
      <c r="B1759" t="s">
        <v>1384</v>
      </c>
      <c r="C1759" t="s">
        <v>65</v>
      </c>
      <c r="D1759">
        <v>2019</v>
      </c>
      <c r="E1759">
        <v>15297</v>
      </c>
      <c r="F1759" t="s">
        <v>129</v>
      </c>
      <c r="G1759">
        <v>15000</v>
      </c>
      <c r="H1759" t="s">
        <v>41</v>
      </c>
      <c r="J1759" t="s">
        <v>66</v>
      </c>
      <c r="K1759" t="s">
        <v>73</v>
      </c>
      <c r="L1759" t="s">
        <v>55</v>
      </c>
    </row>
    <row r="1760" spans="1:13" x14ac:dyDescent="0.25">
      <c r="A1760">
        <v>1313</v>
      </c>
      <c r="B1760" t="s">
        <v>1360</v>
      </c>
      <c r="C1760" t="s">
        <v>94</v>
      </c>
      <c r="D1760">
        <v>2022</v>
      </c>
      <c r="E1760">
        <v>20623</v>
      </c>
      <c r="F1760">
        <v>22000</v>
      </c>
      <c r="G1760">
        <v>80000</v>
      </c>
      <c r="H1760" t="s">
        <v>58</v>
      </c>
      <c r="I1760" t="s">
        <v>72</v>
      </c>
      <c r="J1760" t="s">
        <v>36</v>
      </c>
      <c r="L1760" t="s">
        <v>90</v>
      </c>
      <c r="M1760">
        <v>0</v>
      </c>
    </row>
    <row r="1761" spans="1:13" x14ac:dyDescent="0.25">
      <c r="A1761">
        <v>1428</v>
      </c>
      <c r="B1761" t="s">
        <v>1385</v>
      </c>
      <c r="C1761" t="s">
        <v>138</v>
      </c>
      <c r="D1761">
        <v>2021</v>
      </c>
      <c r="E1761">
        <v>8669</v>
      </c>
      <c r="F1761" t="s">
        <v>89</v>
      </c>
      <c r="G1761">
        <v>40000</v>
      </c>
      <c r="H1761" t="s">
        <v>53</v>
      </c>
      <c r="J1761" t="s">
        <v>43</v>
      </c>
      <c r="K1761" t="s">
        <v>77</v>
      </c>
      <c r="L1761" t="s">
        <v>98</v>
      </c>
      <c r="M1761">
        <v>3</v>
      </c>
    </row>
    <row r="1762" spans="1:13" x14ac:dyDescent="0.25">
      <c r="A1762">
        <v>1300</v>
      </c>
      <c r="B1762" t="s">
        <v>1330</v>
      </c>
      <c r="C1762" t="s">
        <v>40</v>
      </c>
      <c r="D1762">
        <v>2021</v>
      </c>
      <c r="E1762">
        <v>7078</v>
      </c>
      <c r="F1762">
        <v>12000</v>
      </c>
      <c r="G1762" t="s">
        <v>76</v>
      </c>
      <c r="H1762" t="s">
        <v>58</v>
      </c>
      <c r="I1762" t="s">
        <v>42</v>
      </c>
      <c r="J1762" t="s">
        <v>66</v>
      </c>
      <c r="K1762" t="s">
        <v>54</v>
      </c>
      <c r="L1762" t="s">
        <v>49</v>
      </c>
    </row>
    <row r="1763" spans="1:13" x14ac:dyDescent="0.25">
      <c r="A1763">
        <v>1240</v>
      </c>
      <c r="B1763" t="s">
        <v>1386</v>
      </c>
      <c r="C1763" t="s">
        <v>119</v>
      </c>
      <c r="D1763">
        <v>2014</v>
      </c>
      <c r="E1763">
        <v>22988</v>
      </c>
      <c r="F1763">
        <v>26000</v>
      </c>
      <c r="G1763" t="s">
        <v>108</v>
      </c>
      <c r="H1763" t="s">
        <v>84</v>
      </c>
      <c r="I1763" t="s">
        <v>72</v>
      </c>
      <c r="J1763" t="s">
        <v>96</v>
      </c>
      <c r="K1763" t="s">
        <v>54</v>
      </c>
      <c r="L1763" t="s">
        <v>90</v>
      </c>
      <c r="M1763">
        <v>2</v>
      </c>
    </row>
    <row r="1764" spans="1:13" x14ac:dyDescent="0.25">
      <c r="A1764">
        <v>1250</v>
      </c>
      <c r="B1764" t="s">
        <v>973</v>
      </c>
      <c r="C1764" t="s">
        <v>65</v>
      </c>
      <c r="D1764">
        <v>2016</v>
      </c>
      <c r="E1764">
        <v>322</v>
      </c>
      <c r="F1764">
        <v>7000</v>
      </c>
      <c r="G1764" t="s">
        <v>33</v>
      </c>
      <c r="H1764" t="s">
        <v>69</v>
      </c>
      <c r="I1764" t="s">
        <v>59</v>
      </c>
      <c r="J1764" t="s">
        <v>43</v>
      </c>
      <c r="K1764" t="s">
        <v>44</v>
      </c>
      <c r="L1764" t="s">
        <v>49</v>
      </c>
      <c r="M1764">
        <v>0</v>
      </c>
    </row>
    <row r="1765" spans="1:13" x14ac:dyDescent="0.25">
      <c r="A1765">
        <v>1008</v>
      </c>
      <c r="B1765" t="s">
        <v>938</v>
      </c>
      <c r="C1765" t="s">
        <v>103</v>
      </c>
      <c r="D1765" t="s">
        <v>52</v>
      </c>
      <c r="E1765">
        <v>4588</v>
      </c>
      <c r="F1765">
        <v>9000</v>
      </c>
      <c r="G1765" t="s">
        <v>130</v>
      </c>
      <c r="I1765" t="s">
        <v>72</v>
      </c>
      <c r="J1765" t="s">
        <v>66</v>
      </c>
      <c r="L1765" t="s">
        <v>49</v>
      </c>
      <c r="M1765">
        <v>1</v>
      </c>
    </row>
    <row r="1766" spans="1:13" x14ac:dyDescent="0.25">
      <c r="A1766">
        <v>1307</v>
      </c>
      <c r="B1766" t="s">
        <v>1387</v>
      </c>
      <c r="C1766" t="s">
        <v>138</v>
      </c>
      <c r="D1766">
        <v>2014</v>
      </c>
      <c r="E1766">
        <v>15788</v>
      </c>
      <c r="F1766">
        <v>22000</v>
      </c>
      <c r="G1766">
        <v>40000</v>
      </c>
      <c r="H1766" t="s">
        <v>41</v>
      </c>
      <c r="J1766" t="s">
        <v>66</v>
      </c>
      <c r="K1766" t="s">
        <v>48</v>
      </c>
      <c r="L1766" t="s">
        <v>49</v>
      </c>
      <c r="M1766">
        <v>0</v>
      </c>
    </row>
    <row r="1767" spans="1:13" x14ac:dyDescent="0.25">
      <c r="A1767">
        <v>1273</v>
      </c>
      <c r="B1767" t="s">
        <v>324</v>
      </c>
      <c r="C1767" t="s">
        <v>40</v>
      </c>
      <c r="D1767" t="s">
        <v>52</v>
      </c>
      <c r="E1767" t="s">
        <v>1388</v>
      </c>
      <c r="F1767">
        <v>15000</v>
      </c>
      <c r="G1767">
        <v>40000</v>
      </c>
      <c r="H1767" t="s">
        <v>41</v>
      </c>
      <c r="I1767" t="s">
        <v>42</v>
      </c>
      <c r="J1767" t="s">
        <v>66</v>
      </c>
      <c r="K1767" t="s">
        <v>116</v>
      </c>
      <c r="L1767" t="s">
        <v>98</v>
      </c>
      <c r="M1767">
        <v>3</v>
      </c>
    </row>
    <row r="1768" spans="1:13" x14ac:dyDescent="0.25">
      <c r="A1768">
        <v>1583</v>
      </c>
      <c r="B1768" t="s">
        <v>1389</v>
      </c>
      <c r="C1768" t="s">
        <v>103</v>
      </c>
      <c r="E1768">
        <v>23581</v>
      </c>
      <c r="F1768">
        <v>26000</v>
      </c>
      <c r="G1768">
        <v>80000</v>
      </c>
      <c r="H1768" t="s">
        <v>69</v>
      </c>
      <c r="I1768" t="s">
        <v>35</v>
      </c>
      <c r="J1768" t="s">
        <v>36</v>
      </c>
      <c r="L1768" t="s">
        <v>38</v>
      </c>
    </row>
    <row r="1769" spans="1:13" x14ac:dyDescent="0.25">
      <c r="A1769">
        <v>1152</v>
      </c>
      <c r="B1769" t="s">
        <v>674</v>
      </c>
      <c r="C1769" t="s">
        <v>40</v>
      </c>
      <c r="E1769">
        <v>12962</v>
      </c>
      <c r="F1769">
        <v>15000</v>
      </c>
      <c r="G1769">
        <v>40000</v>
      </c>
      <c r="H1769" t="s">
        <v>53</v>
      </c>
      <c r="I1769" t="s">
        <v>72</v>
      </c>
      <c r="J1769" t="s">
        <v>43</v>
      </c>
      <c r="K1769" t="s">
        <v>77</v>
      </c>
      <c r="L1769" t="s">
        <v>38</v>
      </c>
      <c r="M1769">
        <v>2</v>
      </c>
    </row>
    <row r="1770" spans="1:13" x14ac:dyDescent="0.25">
      <c r="A1770">
        <v>1104</v>
      </c>
      <c r="B1770" t="s">
        <v>1311</v>
      </c>
      <c r="C1770" t="s">
        <v>119</v>
      </c>
      <c r="D1770">
        <v>2017</v>
      </c>
      <c r="E1770">
        <v>13129</v>
      </c>
      <c r="F1770">
        <v>18000</v>
      </c>
      <c r="G1770">
        <v>25000</v>
      </c>
      <c r="H1770" t="s">
        <v>69</v>
      </c>
      <c r="I1770" t="s">
        <v>35</v>
      </c>
      <c r="K1770" t="s">
        <v>48</v>
      </c>
      <c r="L1770" t="s">
        <v>109</v>
      </c>
      <c r="M1770">
        <v>2</v>
      </c>
    </row>
    <row r="1771" spans="1:13" x14ac:dyDescent="0.25">
      <c r="A1771">
        <v>1392</v>
      </c>
      <c r="B1771" t="s">
        <v>410</v>
      </c>
      <c r="C1771" t="s">
        <v>57</v>
      </c>
      <c r="D1771">
        <v>2018</v>
      </c>
      <c r="E1771">
        <v>9396</v>
      </c>
      <c r="F1771">
        <v>15000</v>
      </c>
      <c r="G1771">
        <v>120000</v>
      </c>
      <c r="H1771" t="s">
        <v>63</v>
      </c>
      <c r="I1771" t="s">
        <v>35</v>
      </c>
      <c r="J1771" t="s">
        <v>43</v>
      </c>
      <c r="K1771" t="s">
        <v>54</v>
      </c>
      <c r="L1771" t="s">
        <v>38</v>
      </c>
      <c r="M1771">
        <v>2</v>
      </c>
    </row>
    <row r="1772" spans="1:13" x14ac:dyDescent="0.25">
      <c r="A1772">
        <v>1382</v>
      </c>
      <c r="B1772" t="s">
        <v>810</v>
      </c>
      <c r="C1772" t="s">
        <v>40</v>
      </c>
      <c r="E1772">
        <v>16418</v>
      </c>
      <c r="F1772">
        <v>22000</v>
      </c>
      <c r="G1772">
        <v>25000</v>
      </c>
      <c r="H1772" t="s">
        <v>41</v>
      </c>
      <c r="I1772" t="s">
        <v>42</v>
      </c>
      <c r="K1772" t="s">
        <v>48</v>
      </c>
      <c r="L1772" t="s">
        <v>98</v>
      </c>
      <c r="M1772">
        <v>2</v>
      </c>
    </row>
    <row r="1773" spans="1:13" x14ac:dyDescent="0.25">
      <c r="A1773">
        <v>1414</v>
      </c>
      <c r="B1773" t="s">
        <v>1268</v>
      </c>
      <c r="C1773" t="s">
        <v>61</v>
      </c>
      <c r="D1773">
        <v>2017</v>
      </c>
      <c r="E1773">
        <v>20213</v>
      </c>
      <c r="F1773">
        <v>22000</v>
      </c>
      <c r="G1773" t="s">
        <v>121</v>
      </c>
      <c r="H1773" t="s">
        <v>53</v>
      </c>
      <c r="I1773" t="s">
        <v>35</v>
      </c>
      <c r="J1773" t="s">
        <v>36</v>
      </c>
      <c r="K1773" t="s">
        <v>44</v>
      </c>
      <c r="L1773" t="s">
        <v>45</v>
      </c>
      <c r="M1773">
        <v>1</v>
      </c>
    </row>
    <row r="1774" spans="1:13" x14ac:dyDescent="0.25">
      <c r="A1774">
        <v>1386</v>
      </c>
      <c r="B1774" t="s">
        <v>1252</v>
      </c>
      <c r="C1774" t="s">
        <v>138</v>
      </c>
      <c r="D1774">
        <v>2017</v>
      </c>
      <c r="E1774">
        <v>11023</v>
      </c>
      <c r="F1774">
        <v>18000</v>
      </c>
      <c r="G1774">
        <v>40000</v>
      </c>
      <c r="H1774" t="s">
        <v>69</v>
      </c>
      <c r="I1774" t="s">
        <v>59</v>
      </c>
      <c r="J1774" t="s">
        <v>36</v>
      </c>
      <c r="K1774" t="s">
        <v>48</v>
      </c>
      <c r="L1774" t="s">
        <v>49</v>
      </c>
      <c r="M1774">
        <v>3</v>
      </c>
    </row>
    <row r="1775" spans="1:13" x14ac:dyDescent="0.25">
      <c r="A1775">
        <v>1084</v>
      </c>
      <c r="B1775" t="s">
        <v>1298</v>
      </c>
      <c r="C1775" t="s">
        <v>40</v>
      </c>
      <c r="D1775">
        <v>2020</v>
      </c>
      <c r="E1775" t="s">
        <v>1390</v>
      </c>
      <c r="F1775">
        <v>7000</v>
      </c>
      <c r="G1775" t="s">
        <v>76</v>
      </c>
      <c r="H1775" t="s">
        <v>69</v>
      </c>
      <c r="I1775" t="s">
        <v>59</v>
      </c>
      <c r="J1775" t="s">
        <v>36</v>
      </c>
      <c r="K1775" t="s">
        <v>44</v>
      </c>
      <c r="L1775" t="s">
        <v>98</v>
      </c>
      <c r="M1775">
        <v>3</v>
      </c>
    </row>
    <row r="1776" spans="1:13" x14ac:dyDescent="0.25">
      <c r="A1776">
        <v>1346</v>
      </c>
      <c r="B1776" t="s">
        <v>979</v>
      </c>
      <c r="C1776" t="s">
        <v>79</v>
      </c>
      <c r="D1776">
        <v>2020</v>
      </c>
      <c r="E1776" t="s">
        <v>1391</v>
      </c>
      <c r="F1776">
        <v>26000</v>
      </c>
      <c r="G1776">
        <v>120000</v>
      </c>
      <c r="H1776" t="s">
        <v>41</v>
      </c>
      <c r="I1776" t="s">
        <v>35</v>
      </c>
      <c r="J1776" t="s">
        <v>43</v>
      </c>
      <c r="K1776" t="s">
        <v>116</v>
      </c>
      <c r="L1776" t="s">
        <v>45</v>
      </c>
      <c r="M1776">
        <v>2</v>
      </c>
    </row>
    <row r="1777" spans="1:13" x14ac:dyDescent="0.25">
      <c r="A1777">
        <v>1445</v>
      </c>
      <c r="B1777" t="s">
        <v>305</v>
      </c>
      <c r="C1777" t="s">
        <v>57</v>
      </c>
      <c r="D1777">
        <v>2017</v>
      </c>
      <c r="E1777">
        <v>15301</v>
      </c>
      <c r="F1777">
        <v>18000</v>
      </c>
      <c r="G1777">
        <v>120000</v>
      </c>
      <c r="H1777" t="s">
        <v>69</v>
      </c>
      <c r="I1777" t="s">
        <v>72</v>
      </c>
      <c r="J1777" t="s">
        <v>36</v>
      </c>
      <c r="K1777" t="s">
        <v>44</v>
      </c>
      <c r="L1777" t="s">
        <v>98</v>
      </c>
      <c r="M1777">
        <v>3</v>
      </c>
    </row>
    <row r="1778" spans="1:13" x14ac:dyDescent="0.25">
      <c r="A1778">
        <v>1270</v>
      </c>
      <c r="B1778" t="s">
        <v>879</v>
      </c>
      <c r="C1778" t="s">
        <v>119</v>
      </c>
      <c r="D1778">
        <v>2021</v>
      </c>
      <c r="E1778">
        <v>20627</v>
      </c>
      <c r="F1778">
        <v>22000</v>
      </c>
      <c r="G1778">
        <v>40000</v>
      </c>
      <c r="K1778" t="s">
        <v>100</v>
      </c>
      <c r="L1778" t="s">
        <v>109</v>
      </c>
      <c r="M1778">
        <v>3</v>
      </c>
    </row>
    <row r="1779" spans="1:13" x14ac:dyDescent="0.25">
      <c r="A1779">
        <v>1246</v>
      </c>
      <c r="B1779" t="s">
        <v>559</v>
      </c>
      <c r="C1779" t="s">
        <v>32</v>
      </c>
      <c r="D1779">
        <v>2018</v>
      </c>
      <c r="E1779">
        <v>3294</v>
      </c>
      <c r="F1779">
        <v>7000</v>
      </c>
      <c r="G1779">
        <v>25000</v>
      </c>
      <c r="H1779" t="s">
        <v>34</v>
      </c>
      <c r="I1779" t="s">
        <v>42</v>
      </c>
      <c r="J1779" t="s">
        <v>43</v>
      </c>
      <c r="K1779" t="s">
        <v>54</v>
      </c>
      <c r="M1779">
        <v>0</v>
      </c>
    </row>
    <row r="1780" spans="1:13" x14ac:dyDescent="0.25">
      <c r="A1780">
        <v>1572</v>
      </c>
      <c r="B1780" t="s">
        <v>1392</v>
      </c>
      <c r="C1780" t="s">
        <v>103</v>
      </c>
      <c r="D1780">
        <v>2017</v>
      </c>
      <c r="E1780">
        <v>14998</v>
      </c>
      <c r="F1780">
        <v>18000</v>
      </c>
      <c r="G1780" t="s">
        <v>121</v>
      </c>
      <c r="H1780" t="s">
        <v>63</v>
      </c>
      <c r="I1780" t="s">
        <v>42</v>
      </c>
      <c r="J1780" t="s">
        <v>36</v>
      </c>
      <c r="K1780" t="s">
        <v>37</v>
      </c>
      <c r="L1780" t="s">
        <v>126</v>
      </c>
      <c r="M1780">
        <v>0</v>
      </c>
    </row>
    <row r="1781" spans="1:13" x14ac:dyDescent="0.25">
      <c r="A1781">
        <v>1213</v>
      </c>
      <c r="B1781" t="s">
        <v>416</v>
      </c>
      <c r="C1781" t="s">
        <v>164</v>
      </c>
      <c r="D1781">
        <v>2021</v>
      </c>
      <c r="E1781" t="s">
        <v>1393</v>
      </c>
      <c r="F1781">
        <v>26000</v>
      </c>
      <c r="G1781">
        <v>80000</v>
      </c>
      <c r="H1781" t="s">
        <v>63</v>
      </c>
      <c r="I1781" t="s">
        <v>42</v>
      </c>
      <c r="J1781" t="s">
        <v>43</v>
      </c>
      <c r="K1781" t="s">
        <v>116</v>
      </c>
      <c r="L1781" t="s">
        <v>109</v>
      </c>
    </row>
    <row r="1782" spans="1:13" x14ac:dyDescent="0.25">
      <c r="A1782">
        <v>1424</v>
      </c>
      <c r="B1782" t="s">
        <v>1176</v>
      </c>
      <c r="C1782" t="s">
        <v>94</v>
      </c>
      <c r="D1782">
        <v>2021</v>
      </c>
      <c r="E1782" t="s">
        <v>1394</v>
      </c>
      <c r="F1782">
        <v>7000</v>
      </c>
      <c r="G1782">
        <v>25000</v>
      </c>
      <c r="H1782" t="s">
        <v>53</v>
      </c>
      <c r="I1782" t="s">
        <v>72</v>
      </c>
      <c r="J1782" t="s">
        <v>96</v>
      </c>
      <c r="K1782" t="s">
        <v>54</v>
      </c>
      <c r="L1782" t="s">
        <v>38</v>
      </c>
    </row>
    <row r="1783" spans="1:13" x14ac:dyDescent="0.25">
      <c r="A1783">
        <v>1238</v>
      </c>
      <c r="B1783" t="s">
        <v>545</v>
      </c>
      <c r="C1783" t="s">
        <v>65</v>
      </c>
      <c r="D1783">
        <v>2020</v>
      </c>
      <c r="E1783" t="s">
        <v>1395</v>
      </c>
      <c r="F1783" t="s">
        <v>83</v>
      </c>
      <c r="G1783">
        <v>120000</v>
      </c>
      <c r="H1783" t="s">
        <v>53</v>
      </c>
      <c r="I1783" t="s">
        <v>42</v>
      </c>
      <c r="J1783" t="s">
        <v>96</v>
      </c>
      <c r="K1783" t="s">
        <v>116</v>
      </c>
      <c r="L1783" t="s">
        <v>98</v>
      </c>
      <c r="M1783">
        <v>0</v>
      </c>
    </row>
    <row r="1784" spans="1:13" x14ac:dyDescent="0.25">
      <c r="A1784">
        <v>1308</v>
      </c>
      <c r="B1784" t="s">
        <v>495</v>
      </c>
      <c r="C1784" t="s">
        <v>133</v>
      </c>
      <c r="D1784">
        <v>2014</v>
      </c>
      <c r="E1784">
        <v>28984</v>
      </c>
      <c r="F1784">
        <v>31000</v>
      </c>
      <c r="G1784">
        <v>25000</v>
      </c>
      <c r="H1784" t="s">
        <v>34</v>
      </c>
      <c r="I1784" t="s">
        <v>42</v>
      </c>
      <c r="J1784" t="s">
        <v>43</v>
      </c>
      <c r="K1784" t="s">
        <v>100</v>
      </c>
      <c r="L1784" t="s">
        <v>98</v>
      </c>
      <c r="M1784">
        <v>1</v>
      </c>
    </row>
    <row r="1785" spans="1:13" x14ac:dyDescent="0.25">
      <c r="A1785">
        <v>1567</v>
      </c>
      <c r="B1785" t="s">
        <v>299</v>
      </c>
      <c r="C1785" t="s">
        <v>94</v>
      </c>
      <c r="D1785">
        <v>2021</v>
      </c>
      <c r="E1785">
        <v>20663</v>
      </c>
      <c r="F1785">
        <v>22000</v>
      </c>
      <c r="G1785">
        <v>120000</v>
      </c>
      <c r="H1785" t="s">
        <v>69</v>
      </c>
      <c r="I1785" t="s">
        <v>59</v>
      </c>
      <c r="J1785" t="s">
        <v>96</v>
      </c>
      <c r="K1785" t="s">
        <v>54</v>
      </c>
      <c r="L1785" t="s">
        <v>45</v>
      </c>
      <c r="M1785">
        <v>1</v>
      </c>
    </row>
    <row r="1786" spans="1:13" x14ac:dyDescent="0.25">
      <c r="A1786">
        <v>1194</v>
      </c>
      <c r="B1786" t="s">
        <v>1296</v>
      </c>
      <c r="C1786" t="s">
        <v>51</v>
      </c>
      <c r="D1786">
        <v>2022</v>
      </c>
      <c r="E1786">
        <v>16188</v>
      </c>
      <c r="F1786">
        <v>22000</v>
      </c>
      <c r="G1786">
        <v>25000</v>
      </c>
      <c r="H1786" t="s">
        <v>41</v>
      </c>
      <c r="I1786" t="s">
        <v>42</v>
      </c>
      <c r="J1786" t="s">
        <v>43</v>
      </c>
      <c r="K1786" t="s">
        <v>48</v>
      </c>
      <c r="L1786" t="s">
        <v>55</v>
      </c>
      <c r="M1786">
        <v>3</v>
      </c>
    </row>
    <row r="1787" spans="1:13" x14ac:dyDescent="0.25">
      <c r="A1787">
        <v>1491</v>
      </c>
      <c r="B1787" t="s">
        <v>522</v>
      </c>
      <c r="C1787" t="s">
        <v>133</v>
      </c>
      <c r="D1787">
        <v>2018</v>
      </c>
      <c r="E1787">
        <v>4769</v>
      </c>
      <c r="F1787">
        <v>7000</v>
      </c>
      <c r="G1787">
        <v>40000</v>
      </c>
      <c r="I1787" t="s">
        <v>72</v>
      </c>
      <c r="J1787" t="s">
        <v>66</v>
      </c>
      <c r="K1787" t="s">
        <v>54</v>
      </c>
      <c r="L1787" t="s">
        <v>49</v>
      </c>
      <c r="M1787">
        <v>0</v>
      </c>
    </row>
    <row r="1788" spans="1:13" x14ac:dyDescent="0.25">
      <c r="A1788">
        <v>1059</v>
      </c>
      <c r="B1788" t="s">
        <v>533</v>
      </c>
      <c r="C1788" t="s">
        <v>61</v>
      </c>
      <c r="D1788">
        <v>2021</v>
      </c>
      <c r="E1788">
        <v>12297</v>
      </c>
      <c r="F1788">
        <v>15000</v>
      </c>
      <c r="G1788" t="s">
        <v>108</v>
      </c>
      <c r="H1788" t="s">
        <v>69</v>
      </c>
      <c r="I1788" t="s">
        <v>35</v>
      </c>
      <c r="J1788" t="s">
        <v>43</v>
      </c>
      <c r="K1788" t="s">
        <v>44</v>
      </c>
      <c r="L1788" t="s">
        <v>98</v>
      </c>
      <c r="M1788">
        <v>2</v>
      </c>
    </row>
    <row r="1789" spans="1:13" x14ac:dyDescent="0.25">
      <c r="A1789">
        <v>1250</v>
      </c>
      <c r="B1789" t="s">
        <v>1020</v>
      </c>
      <c r="C1789" t="s">
        <v>164</v>
      </c>
      <c r="D1789">
        <v>2017</v>
      </c>
      <c r="E1789">
        <v>14843</v>
      </c>
      <c r="F1789">
        <v>18000</v>
      </c>
      <c r="G1789">
        <v>120000</v>
      </c>
      <c r="H1789" t="s">
        <v>34</v>
      </c>
      <c r="I1789" t="s">
        <v>72</v>
      </c>
      <c r="J1789" t="s">
        <v>66</v>
      </c>
      <c r="K1789" t="s">
        <v>44</v>
      </c>
      <c r="L1789" t="s">
        <v>90</v>
      </c>
      <c r="M1789">
        <v>1</v>
      </c>
    </row>
    <row r="1790" spans="1:13" x14ac:dyDescent="0.25">
      <c r="A1790">
        <v>1037</v>
      </c>
      <c r="B1790" t="s">
        <v>716</v>
      </c>
      <c r="C1790" t="s">
        <v>164</v>
      </c>
      <c r="D1790">
        <v>2020</v>
      </c>
      <c r="E1790">
        <v>19829</v>
      </c>
      <c r="F1790" t="s">
        <v>83</v>
      </c>
      <c r="G1790">
        <v>15000</v>
      </c>
      <c r="H1790" t="s">
        <v>84</v>
      </c>
      <c r="I1790" t="s">
        <v>35</v>
      </c>
      <c r="J1790" t="s">
        <v>36</v>
      </c>
      <c r="K1790" t="s">
        <v>77</v>
      </c>
      <c r="L1790" t="s">
        <v>45</v>
      </c>
    </row>
    <row r="1791" spans="1:13" x14ac:dyDescent="0.25">
      <c r="A1791">
        <v>1581</v>
      </c>
      <c r="B1791" t="s">
        <v>807</v>
      </c>
      <c r="C1791" t="s">
        <v>79</v>
      </c>
      <c r="D1791">
        <v>2020</v>
      </c>
      <c r="E1791">
        <v>3085</v>
      </c>
      <c r="F1791">
        <v>9000</v>
      </c>
      <c r="G1791">
        <v>15000</v>
      </c>
      <c r="H1791" t="s">
        <v>84</v>
      </c>
      <c r="I1791" t="s">
        <v>35</v>
      </c>
      <c r="K1791" t="s">
        <v>37</v>
      </c>
      <c r="L1791" t="s">
        <v>109</v>
      </c>
    </row>
    <row r="1792" spans="1:13" x14ac:dyDescent="0.25">
      <c r="A1792">
        <v>1319</v>
      </c>
      <c r="B1792" t="s">
        <v>710</v>
      </c>
      <c r="C1792" t="s">
        <v>47</v>
      </c>
      <c r="D1792">
        <v>2021</v>
      </c>
      <c r="E1792">
        <v>13508</v>
      </c>
      <c r="F1792">
        <v>18000</v>
      </c>
      <c r="G1792">
        <v>60000</v>
      </c>
      <c r="H1792" t="s">
        <v>84</v>
      </c>
      <c r="J1792" t="s">
        <v>43</v>
      </c>
      <c r="L1792" t="s">
        <v>55</v>
      </c>
      <c r="M1792">
        <v>0</v>
      </c>
    </row>
    <row r="1793" spans="1:13" x14ac:dyDescent="0.25">
      <c r="A1793">
        <v>1560</v>
      </c>
      <c r="B1793" t="s">
        <v>351</v>
      </c>
      <c r="C1793" t="s">
        <v>65</v>
      </c>
      <c r="D1793">
        <v>2021</v>
      </c>
      <c r="E1793">
        <v>19502</v>
      </c>
      <c r="F1793">
        <v>26000</v>
      </c>
      <c r="G1793" t="s">
        <v>92</v>
      </c>
      <c r="H1793" t="s">
        <v>63</v>
      </c>
      <c r="I1793" t="s">
        <v>42</v>
      </c>
      <c r="J1793" t="s">
        <v>96</v>
      </c>
      <c r="K1793" t="s">
        <v>48</v>
      </c>
      <c r="L1793" t="s">
        <v>109</v>
      </c>
    </row>
    <row r="1794" spans="1:13" x14ac:dyDescent="0.25">
      <c r="A1794">
        <v>1238</v>
      </c>
      <c r="B1794" t="s">
        <v>1314</v>
      </c>
      <c r="C1794" t="s">
        <v>79</v>
      </c>
      <c r="D1794">
        <v>2014</v>
      </c>
      <c r="E1794">
        <v>2116</v>
      </c>
      <c r="F1794" t="s">
        <v>81</v>
      </c>
      <c r="G1794" t="s">
        <v>130</v>
      </c>
      <c r="H1794" t="s">
        <v>58</v>
      </c>
      <c r="I1794" t="s">
        <v>59</v>
      </c>
      <c r="J1794" t="s">
        <v>43</v>
      </c>
      <c r="K1794" t="s">
        <v>54</v>
      </c>
      <c r="L1794" t="s">
        <v>126</v>
      </c>
      <c r="M1794">
        <v>2</v>
      </c>
    </row>
    <row r="1795" spans="1:13" x14ac:dyDescent="0.25">
      <c r="A1795">
        <v>1178</v>
      </c>
      <c r="B1795" t="s">
        <v>67</v>
      </c>
      <c r="C1795" t="s">
        <v>65</v>
      </c>
      <c r="D1795">
        <v>2021</v>
      </c>
      <c r="E1795">
        <v>9618</v>
      </c>
      <c r="F1795" t="s">
        <v>89</v>
      </c>
      <c r="G1795" t="s">
        <v>121</v>
      </c>
      <c r="H1795" t="s">
        <v>84</v>
      </c>
      <c r="I1795" t="s">
        <v>42</v>
      </c>
      <c r="J1795" t="s">
        <v>36</v>
      </c>
      <c r="L1795" t="s">
        <v>98</v>
      </c>
      <c r="M1795">
        <v>3</v>
      </c>
    </row>
    <row r="1796" spans="1:13" x14ac:dyDescent="0.25">
      <c r="A1796">
        <v>1218</v>
      </c>
      <c r="B1796" t="s">
        <v>655</v>
      </c>
      <c r="C1796" t="s">
        <v>68</v>
      </c>
      <c r="D1796">
        <v>2018</v>
      </c>
      <c r="E1796">
        <v>26305</v>
      </c>
      <c r="F1796">
        <v>31000</v>
      </c>
      <c r="G1796">
        <v>40000</v>
      </c>
      <c r="H1796" t="s">
        <v>63</v>
      </c>
      <c r="I1796" t="s">
        <v>42</v>
      </c>
      <c r="J1796" t="s">
        <v>96</v>
      </c>
      <c r="K1796" t="s">
        <v>116</v>
      </c>
      <c r="L1796" t="s">
        <v>45</v>
      </c>
      <c r="M1796">
        <v>2</v>
      </c>
    </row>
    <row r="1797" spans="1:13" x14ac:dyDescent="0.25">
      <c r="A1797">
        <v>1288</v>
      </c>
      <c r="B1797" t="s">
        <v>1315</v>
      </c>
      <c r="C1797" t="s">
        <v>164</v>
      </c>
      <c r="D1797">
        <v>2014</v>
      </c>
      <c r="E1797" t="s">
        <v>1396</v>
      </c>
      <c r="F1797">
        <v>15000</v>
      </c>
      <c r="G1797">
        <v>40000</v>
      </c>
      <c r="H1797" t="s">
        <v>58</v>
      </c>
      <c r="I1797" t="s">
        <v>42</v>
      </c>
      <c r="K1797" t="s">
        <v>116</v>
      </c>
      <c r="L1797" t="s">
        <v>38</v>
      </c>
      <c r="M1797">
        <v>2</v>
      </c>
    </row>
    <row r="1798" spans="1:13" x14ac:dyDescent="0.25">
      <c r="A1798">
        <v>1490</v>
      </c>
      <c r="B1798" t="s">
        <v>1049</v>
      </c>
      <c r="C1798" t="s">
        <v>75</v>
      </c>
      <c r="D1798">
        <v>2022</v>
      </c>
      <c r="E1798">
        <v>22460</v>
      </c>
      <c r="F1798">
        <v>26000</v>
      </c>
      <c r="G1798">
        <v>60000</v>
      </c>
      <c r="H1798" t="s">
        <v>63</v>
      </c>
      <c r="I1798" t="s">
        <v>35</v>
      </c>
      <c r="K1798" t="s">
        <v>77</v>
      </c>
      <c r="L1798" t="s">
        <v>126</v>
      </c>
      <c r="M1798">
        <v>1</v>
      </c>
    </row>
    <row r="1799" spans="1:13" x14ac:dyDescent="0.25">
      <c r="A1799">
        <v>1325</v>
      </c>
      <c r="B1799" t="s">
        <v>1397</v>
      </c>
      <c r="C1799" t="s">
        <v>79</v>
      </c>
      <c r="D1799">
        <v>2022</v>
      </c>
      <c r="E1799">
        <v>18809</v>
      </c>
      <c r="F1799" t="s">
        <v>115</v>
      </c>
      <c r="G1799" t="s">
        <v>33</v>
      </c>
      <c r="H1799" t="s">
        <v>63</v>
      </c>
      <c r="I1799" t="s">
        <v>42</v>
      </c>
      <c r="J1799" t="s">
        <v>36</v>
      </c>
      <c r="K1799" t="s">
        <v>116</v>
      </c>
    </row>
    <row r="1800" spans="1:13" x14ac:dyDescent="0.25">
      <c r="A1800">
        <v>1077</v>
      </c>
      <c r="B1800" t="s">
        <v>1398</v>
      </c>
      <c r="C1800" t="s">
        <v>61</v>
      </c>
      <c r="D1800">
        <v>2019</v>
      </c>
      <c r="E1800">
        <v>1720</v>
      </c>
      <c r="F1800">
        <v>7000</v>
      </c>
      <c r="G1800">
        <v>80000</v>
      </c>
      <c r="H1800" t="s">
        <v>34</v>
      </c>
      <c r="I1800" t="s">
        <v>72</v>
      </c>
      <c r="J1800" t="s">
        <v>96</v>
      </c>
      <c r="L1800" t="s">
        <v>49</v>
      </c>
      <c r="M1800">
        <v>3</v>
      </c>
    </row>
    <row r="1801" spans="1:13" x14ac:dyDescent="0.25">
      <c r="A1801">
        <v>1099</v>
      </c>
      <c r="B1801" t="s">
        <v>520</v>
      </c>
      <c r="C1801" t="s">
        <v>138</v>
      </c>
      <c r="D1801">
        <v>2019</v>
      </c>
      <c r="E1801">
        <v>6593</v>
      </c>
      <c r="F1801">
        <v>12000</v>
      </c>
      <c r="G1801">
        <v>25000</v>
      </c>
      <c r="H1801" t="s">
        <v>84</v>
      </c>
      <c r="J1801" t="s">
        <v>36</v>
      </c>
      <c r="K1801" t="s">
        <v>73</v>
      </c>
      <c r="L1801" t="s">
        <v>38</v>
      </c>
    </row>
    <row r="1802" spans="1:13" x14ac:dyDescent="0.25">
      <c r="A1802">
        <v>1177</v>
      </c>
      <c r="B1802" t="s">
        <v>903</v>
      </c>
      <c r="C1802" t="s">
        <v>75</v>
      </c>
      <c r="D1802">
        <v>2018</v>
      </c>
      <c r="E1802">
        <v>22878</v>
      </c>
      <c r="F1802">
        <v>26000</v>
      </c>
      <c r="G1802">
        <v>25000</v>
      </c>
      <c r="H1802" t="s">
        <v>63</v>
      </c>
      <c r="J1802" t="s">
        <v>43</v>
      </c>
      <c r="K1802" t="s">
        <v>77</v>
      </c>
      <c r="L1802" t="s">
        <v>126</v>
      </c>
    </row>
    <row r="1803" spans="1:13" x14ac:dyDescent="0.25">
      <c r="A1803">
        <v>1483</v>
      </c>
      <c r="B1803" t="s">
        <v>708</v>
      </c>
      <c r="C1803" t="s">
        <v>32</v>
      </c>
      <c r="D1803">
        <v>2016</v>
      </c>
      <c r="E1803">
        <v>5425</v>
      </c>
      <c r="F1803">
        <v>9000</v>
      </c>
      <c r="G1803">
        <v>80000</v>
      </c>
      <c r="H1803" t="s">
        <v>69</v>
      </c>
      <c r="I1803" t="s">
        <v>59</v>
      </c>
      <c r="J1803" t="s">
        <v>36</v>
      </c>
      <c r="K1803" t="s">
        <v>77</v>
      </c>
      <c r="L1803" t="s">
        <v>38</v>
      </c>
      <c r="M1803">
        <v>0</v>
      </c>
    </row>
    <row r="1804" spans="1:13" x14ac:dyDescent="0.25">
      <c r="A1804">
        <v>1064</v>
      </c>
      <c r="B1804" t="s">
        <v>984</v>
      </c>
      <c r="C1804" t="s">
        <v>61</v>
      </c>
      <c r="D1804" t="s">
        <v>52</v>
      </c>
      <c r="E1804">
        <v>19397</v>
      </c>
      <c r="F1804" t="s">
        <v>115</v>
      </c>
      <c r="G1804" t="s">
        <v>130</v>
      </c>
      <c r="H1804" t="s">
        <v>69</v>
      </c>
      <c r="I1804" t="s">
        <v>72</v>
      </c>
      <c r="J1804" t="s">
        <v>36</v>
      </c>
      <c r="K1804" t="s">
        <v>116</v>
      </c>
      <c r="L1804" t="s">
        <v>55</v>
      </c>
    </row>
    <row r="1805" spans="1:13" x14ac:dyDescent="0.25">
      <c r="A1805">
        <v>1369</v>
      </c>
      <c r="B1805" t="s">
        <v>780</v>
      </c>
      <c r="C1805" t="s">
        <v>75</v>
      </c>
      <c r="D1805" t="s">
        <v>52</v>
      </c>
      <c r="E1805">
        <v>2949</v>
      </c>
      <c r="F1805">
        <v>9000</v>
      </c>
      <c r="G1805">
        <v>15000</v>
      </c>
      <c r="H1805" t="s">
        <v>63</v>
      </c>
      <c r="I1805" t="s">
        <v>59</v>
      </c>
      <c r="J1805" t="s">
        <v>43</v>
      </c>
      <c r="K1805" t="s">
        <v>48</v>
      </c>
      <c r="L1805" t="s">
        <v>38</v>
      </c>
      <c r="M1805">
        <v>2</v>
      </c>
    </row>
    <row r="1806" spans="1:13" x14ac:dyDescent="0.25">
      <c r="A1806">
        <v>1144</v>
      </c>
      <c r="B1806" t="s">
        <v>862</v>
      </c>
      <c r="C1806" t="s">
        <v>61</v>
      </c>
      <c r="D1806">
        <v>2018</v>
      </c>
      <c r="E1806">
        <v>6495</v>
      </c>
      <c r="F1806">
        <v>9000</v>
      </c>
      <c r="G1806">
        <v>80000</v>
      </c>
      <c r="H1806" t="s">
        <v>69</v>
      </c>
      <c r="I1806" t="s">
        <v>72</v>
      </c>
      <c r="J1806" t="s">
        <v>66</v>
      </c>
      <c r="K1806" t="s">
        <v>73</v>
      </c>
      <c r="L1806" t="s">
        <v>98</v>
      </c>
      <c r="M1806">
        <v>2</v>
      </c>
    </row>
    <row r="1807" spans="1:13" x14ac:dyDescent="0.25">
      <c r="A1807">
        <v>1391</v>
      </c>
      <c r="B1807" t="s">
        <v>1036</v>
      </c>
      <c r="C1807" t="s">
        <v>75</v>
      </c>
      <c r="E1807">
        <v>4565</v>
      </c>
      <c r="F1807">
        <v>9000</v>
      </c>
      <c r="G1807">
        <v>15000</v>
      </c>
      <c r="H1807" t="s">
        <v>41</v>
      </c>
      <c r="I1807" t="s">
        <v>35</v>
      </c>
      <c r="K1807" t="s">
        <v>100</v>
      </c>
      <c r="L1807" t="s">
        <v>90</v>
      </c>
      <c r="M1807">
        <v>2</v>
      </c>
    </row>
    <row r="1808" spans="1:13" x14ac:dyDescent="0.25">
      <c r="A1808">
        <v>1515</v>
      </c>
      <c r="B1808" t="s">
        <v>1160</v>
      </c>
      <c r="C1808" t="s">
        <v>164</v>
      </c>
      <c r="D1808">
        <v>2015</v>
      </c>
      <c r="E1808">
        <v>23842</v>
      </c>
      <c r="F1808">
        <v>26000</v>
      </c>
      <c r="G1808" t="s">
        <v>121</v>
      </c>
      <c r="I1808" t="s">
        <v>72</v>
      </c>
      <c r="J1808" t="s">
        <v>43</v>
      </c>
      <c r="K1808" t="s">
        <v>100</v>
      </c>
      <c r="L1808" t="s">
        <v>98</v>
      </c>
    </row>
    <row r="1809" spans="1:13" x14ac:dyDescent="0.25">
      <c r="A1809">
        <v>1508</v>
      </c>
      <c r="B1809" t="s">
        <v>1058</v>
      </c>
      <c r="C1809" t="s">
        <v>94</v>
      </c>
      <c r="D1809">
        <v>2016</v>
      </c>
      <c r="E1809">
        <v>4415</v>
      </c>
      <c r="F1809">
        <v>7000</v>
      </c>
      <c r="G1809" t="s">
        <v>121</v>
      </c>
      <c r="H1809" t="s">
        <v>41</v>
      </c>
      <c r="I1809" t="s">
        <v>35</v>
      </c>
      <c r="J1809" t="s">
        <v>96</v>
      </c>
      <c r="K1809" t="s">
        <v>77</v>
      </c>
      <c r="L1809" t="s">
        <v>90</v>
      </c>
      <c r="M1809">
        <v>2</v>
      </c>
    </row>
    <row r="1810" spans="1:13" x14ac:dyDescent="0.25">
      <c r="A1810">
        <v>1050</v>
      </c>
      <c r="B1810" t="s">
        <v>1399</v>
      </c>
      <c r="C1810" t="s">
        <v>133</v>
      </c>
      <c r="D1810">
        <v>2016</v>
      </c>
      <c r="E1810">
        <v>5862</v>
      </c>
      <c r="F1810">
        <v>12000</v>
      </c>
      <c r="G1810" t="s">
        <v>121</v>
      </c>
      <c r="I1810" t="s">
        <v>72</v>
      </c>
      <c r="K1810" t="s">
        <v>44</v>
      </c>
      <c r="L1810" t="s">
        <v>55</v>
      </c>
      <c r="M1810">
        <v>1</v>
      </c>
    </row>
    <row r="1811" spans="1:13" x14ac:dyDescent="0.25">
      <c r="A1811">
        <v>1090</v>
      </c>
      <c r="B1811" t="s">
        <v>105</v>
      </c>
      <c r="C1811" t="s">
        <v>65</v>
      </c>
      <c r="D1811">
        <v>2017</v>
      </c>
      <c r="E1811">
        <v>28815</v>
      </c>
      <c r="F1811">
        <v>31000</v>
      </c>
      <c r="G1811">
        <v>15000</v>
      </c>
      <c r="H1811" t="s">
        <v>41</v>
      </c>
      <c r="I1811" t="s">
        <v>72</v>
      </c>
      <c r="K1811" t="s">
        <v>73</v>
      </c>
      <c r="L1811" t="s">
        <v>90</v>
      </c>
    </row>
    <row r="1812" spans="1:13" x14ac:dyDescent="0.25">
      <c r="A1812">
        <v>1029</v>
      </c>
      <c r="B1812" t="s">
        <v>894</v>
      </c>
      <c r="C1812" t="s">
        <v>94</v>
      </c>
      <c r="D1812">
        <v>2014</v>
      </c>
      <c r="E1812" t="s">
        <v>1400</v>
      </c>
      <c r="F1812">
        <v>26000</v>
      </c>
      <c r="G1812" t="s">
        <v>76</v>
      </c>
      <c r="H1812" t="s">
        <v>41</v>
      </c>
      <c r="I1812" t="s">
        <v>59</v>
      </c>
      <c r="J1812" t="s">
        <v>96</v>
      </c>
      <c r="K1812" t="s">
        <v>54</v>
      </c>
      <c r="L1812" t="s">
        <v>55</v>
      </c>
      <c r="M1812">
        <v>2</v>
      </c>
    </row>
    <row r="1813" spans="1:13" x14ac:dyDescent="0.25">
      <c r="A1813">
        <v>1023</v>
      </c>
      <c r="B1813" t="s">
        <v>1401</v>
      </c>
      <c r="C1813" t="s">
        <v>138</v>
      </c>
      <c r="D1813">
        <v>2020</v>
      </c>
      <c r="E1813">
        <v>15119</v>
      </c>
      <c r="F1813" t="s">
        <v>115</v>
      </c>
      <c r="G1813">
        <v>15000</v>
      </c>
      <c r="H1813" t="s">
        <v>63</v>
      </c>
      <c r="I1813" t="s">
        <v>59</v>
      </c>
      <c r="J1813" t="s">
        <v>43</v>
      </c>
      <c r="K1813" t="s">
        <v>54</v>
      </c>
      <c r="L1813" t="s">
        <v>38</v>
      </c>
      <c r="M1813">
        <v>0</v>
      </c>
    </row>
    <row r="1814" spans="1:13" x14ac:dyDescent="0.25">
      <c r="A1814">
        <v>1137</v>
      </c>
      <c r="B1814" t="s">
        <v>327</v>
      </c>
      <c r="C1814" t="s">
        <v>32</v>
      </c>
      <c r="D1814">
        <v>2020</v>
      </c>
      <c r="E1814">
        <v>18097</v>
      </c>
      <c r="F1814">
        <v>22000</v>
      </c>
      <c r="G1814">
        <v>120000</v>
      </c>
      <c r="I1814" t="s">
        <v>59</v>
      </c>
      <c r="J1814" t="s">
        <v>96</v>
      </c>
      <c r="K1814" t="s">
        <v>48</v>
      </c>
      <c r="L1814" t="s">
        <v>38</v>
      </c>
      <c r="M1814">
        <v>0</v>
      </c>
    </row>
    <row r="1815" spans="1:13" x14ac:dyDescent="0.25">
      <c r="A1815">
        <v>1141</v>
      </c>
      <c r="B1815" t="s">
        <v>381</v>
      </c>
      <c r="C1815" t="s">
        <v>47</v>
      </c>
      <c r="D1815">
        <v>2020</v>
      </c>
      <c r="E1815">
        <v>699</v>
      </c>
      <c r="F1815" t="s">
        <v>147</v>
      </c>
      <c r="G1815" t="s">
        <v>92</v>
      </c>
      <c r="H1815" t="s">
        <v>84</v>
      </c>
      <c r="I1815" t="s">
        <v>42</v>
      </c>
      <c r="K1815" t="s">
        <v>48</v>
      </c>
      <c r="L1815" t="s">
        <v>126</v>
      </c>
      <c r="M1815">
        <v>2</v>
      </c>
    </row>
    <row r="1816" spans="1:13" x14ac:dyDescent="0.25">
      <c r="A1816">
        <v>1591</v>
      </c>
      <c r="B1816" t="s">
        <v>211</v>
      </c>
      <c r="C1816" t="s">
        <v>133</v>
      </c>
      <c r="E1816">
        <v>13337</v>
      </c>
      <c r="F1816">
        <v>18000</v>
      </c>
      <c r="G1816" t="s">
        <v>108</v>
      </c>
      <c r="H1816" t="s">
        <v>63</v>
      </c>
      <c r="I1816" t="s">
        <v>35</v>
      </c>
      <c r="J1816" t="s">
        <v>96</v>
      </c>
      <c r="L1816" t="s">
        <v>109</v>
      </c>
      <c r="M1816">
        <v>1</v>
      </c>
    </row>
    <row r="1817" spans="1:13" x14ac:dyDescent="0.25">
      <c r="A1817">
        <v>1265</v>
      </c>
      <c r="B1817" t="s">
        <v>896</v>
      </c>
      <c r="C1817" t="s">
        <v>57</v>
      </c>
      <c r="E1817">
        <v>16399</v>
      </c>
      <c r="F1817">
        <v>18000</v>
      </c>
      <c r="G1817" t="s">
        <v>130</v>
      </c>
      <c r="H1817" t="s">
        <v>63</v>
      </c>
      <c r="I1817" t="s">
        <v>42</v>
      </c>
      <c r="J1817" t="s">
        <v>96</v>
      </c>
      <c r="K1817" t="s">
        <v>116</v>
      </c>
      <c r="L1817" t="s">
        <v>90</v>
      </c>
    </row>
    <row r="1818" spans="1:13" x14ac:dyDescent="0.25">
      <c r="A1818">
        <v>1220</v>
      </c>
      <c r="B1818" t="s">
        <v>181</v>
      </c>
      <c r="C1818" t="s">
        <v>119</v>
      </c>
      <c r="E1818">
        <v>17651</v>
      </c>
      <c r="F1818">
        <v>22000</v>
      </c>
      <c r="G1818">
        <v>15000</v>
      </c>
      <c r="H1818" t="s">
        <v>53</v>
      </c>
      <c r="I1818" t="s">
        <v>42</v>
      </c>
      <c r="J1818" t="s">
        <v>43</v>
      </c>
      <c r="K1818" t="s">
        <v>116</v>
      </c>
      <c r="L1818" t="s">
        <v>126</v>
      </c>
    </row>
    <row r="1819" spans="1:13" x14ac:dyDescent="0.25">
      <c r="A1819">
        <v>1339</v>
      </c>
      <c r="B1819" t="s">
        <v>1402</v>
      </c>
      <c r="C1819" t="s">
        <v>65</v>
      </c>
      <c r="D1819">
        <v>2022</v>
      </c>
      <c r="E1819">
        <v>20669</v>
      </c>
      <c r="F1819">
        <v>26000</v>
      </c>
      <c r="G1819">
        <v>120000</v>
      </c>
      <c r="H1819" t="s">
        <v>58</v>
      </c>
      <c r="I1819" t="s">
        <v>72</v>
      </c>
      <c r="K1819" t="s">
        <v>100</v>
      </c>
      <c r="L1819" t="s">
        <v>90</v>
      </c>
    </row>
    <row r="1820" spans="1:13" x14ac:dyDescent="0.25">
      <c r="A1820">
        <v>1157</v>
      </c>
      <c r="B1820" t="s">
        <v>823</v>
      </c>
      <c r="C1820" t="s">
        <v>57</v>
      </c>
      <c r="D1820">
        <v>2022</v>
      </c>
      <c r="E1820">
        <v>1684</v>
      </c>
      <c r="F1820">
        <v>7000</v>
      </c>
      <c r="G1820">
        <v>15000</v>
      </c>
      <c r="H1820" t="s">
        <v>63</v>
      </c>
      <c r="I1820" t="s">
        <v>59</v>
      </c>
      <c r="K1820" t="s">
        <v>54</v>
      </c>
      <c r="L1820" t="s">
        <v>98</v>
      </c>
      <c r="M1820">
        <v>3</v>
      </c>
    </row>
    <row r="1821" spans="1:13" x14ac:dyDescent="0.25">
      <c r="A1821">
        <v>1285</v>
      </c>
      <c r="B1821" t="s">
        <v>1053</v>
      </c>
      <c r="C1821" t="s">
        <v>103</v>
      </c>
      <c r="D1821" t="s">
        <v>52</v>
      </c>
      <c r="E1821">
        <v>29849</v>
      </c>
      <c r="F1821">
        <v>31000</v>
      </c>
      <c r="G1821">
        <v>80000</v>
      </c>
      <c r="H1821" t="s">
        <v>69</v>
      </c>
      <c r="I1821" t="s">
        <v>72</v>
      </c>
      <c r="K1821" t="s">
        <v>44</v>
      </c>
      <c r="L1821" t="s">
        <v>55</v>
      </c>
      <c r="M1821">
        <v>2</v>
      </c>
    </row>
    <row r="1822" spans="1:13" x14ac:dyDescent="0.25">
      <c r="A1822">
        <v>1083</v>
      </c>
      <c r="B1822" t="s">
        <v>307</v>
      </c>
      <c r="C1822" t="s">
        <v>164</v>
      </c>
      <c r="D1822">
        <v>2015</v>
      </c>
      <c r="E1822">
        <v>8789</v>
      </c>
      <c r="F1822">
        <v>15000</v>
      </c>
      <c r="G1822">
        <v>40000</v>
      </c>
      <c r="H1822" t="s">
        <v>63</v>
      </c>
      <c r="J1822" t="s">
        <v>66</v>
      </c>
      <c r="L1822" t="s">
        <v>55</v>
      </c>
      <c r="M1822">
        <v>2</v>
      </c>
    </row>
    <row r="1823" spans="1:13" x14ac:dyDescent="0.25">
      <c r="A1823">
        <v>1539</v>
      </c>
      <c r="B1823" t="s">
        <v>1403</v>
      </c>
      <c r="C1823" t="s">
        <v>138</v>
      </c>
      <c r="D1823">
        <v>2018</v>
      </c>
      <c r="E1823">
        <v>7473</v>
      </c>
      <c r="F1823">
        <v>9000</v>
      </c>
      <c r="G1823">
        <v>120000</v>
      </c>
      <c r="H1823" t="s">
        <v>34</v>
      </c>
      <c r="I1823" t="s">
        <v>59</v>
      </c>
      <c r="J1823" t="s">
        <v>96</v>
      </c>
      <c r="K1823" t="s">
        <v>37</v>
      </c>
      <c r="L1823" t="s">
        <v>49</v>
      </c>
    </row>
    <row r="1824" spans="1:13" x14ac:dyDescent="0.25">
      <c r="A1824">
        <v>1416</v>
      </c>
      <c r="B1824" t="s">
        <v>1404</v>
      </c>
      <c r="C1824" t="s">
        <v>133</v>
      </c>
      <c r="D1824">
        <v>2020</v>
      </c>
      <c r="E1824">
        <v>15165</v>
      </c>
      <c r="F1824">
        <v>18000</v>
      </c>
      <c r="G1824">
        <v>40000</v>
      </c>
      <c r="H1824" t="s">
        <v>34</v>
      </c>
      <c r="I1824" t="s">
        <v>72</v>
      </c>
      <c r="J1824" t="s">
        <v>36</v>
      </c>
      <c r="K1824" t="s">
        <v>48</v>
      </c>
      <c r="L1824" t="s">
        <v>55</v>
      </c>
    </row>
    <row r="1825" spans="1:13" x14ac:dyDescent="0.25">
      <c r="A1825">
        <v>1359</v>
      </c>
      <c r="B1825" t="s">
        <v>1352</v>
      </c>
      <c r="C1825" t="s">
        <v>103</v>
      </c>
      <c r="D1825">
        <v>2017</v>
      </c>
      <c r="E1825">
        <v>1366</v>
      </c>
      <c r="F1825">
        <v>7000</v>
      </c>
      <c r="G1825" t="s">
        <v>76</v>
      </c>
      <c r="H1825" t="s">
        <v>84</v>
      </c>
      <c r="I1825" t="s">
        <v>59</v>
      </c>
      <c r="J1825" t="s">
        <v>66</v>
      </c>
      <c r="K1825" t="s">
        <v>73</v>
      </c>
      <c r="L1825" t="s">
        <v>49</v>
      </c>
      <c r="M1825">
        <v>2</v>
      </c>
    </row>
    <row r="1826" spans="1:13" x14ac:dyDescent="0.25">
      <c r="A1826">
        <v>1129</v>
      </c>
      <c r="B1826" t="s">
        <v>413</v>
      </c>
      <c r="C1826" t="s">
        <v>133</v>
      </c>
      <c r="D1826" t="s">
        <v>52</v>
      </c>
      <c r="E1826">
        <v>8700</v>
      </c>
      <c r="F1826">
        <v>12000</v>
      </c>
      <c r="G1826">
        <v>25000</v>
      </c>
      <c r="H1826" t="s">
        <v>53</v>
      </c>
      <c r="I1826" t="s">
        <v>72</v>
      </c>
      <c r="K1826" t="s">
        <v>100</v>
      </c>
      <c r="L1826" t="s">
        <v>55</v>
      </c>
      <c r="M1826">
        <v>3</v>
      </c>
    </row>
    <row r="1827" spans="1:13" x14ac:dyDescent="0.25">
      <c r="A1827">
        <v>1260</v>
      </c>
      <c r="B1827" t="s">
        <v>1405</v>
      </c>
      <c r="C1827" t="s">
        <v>103</v>
      </c>
      <c r="D1827">
        <v>2022</v>
      </c>
      <c r="E1827">
        <v>852</v>
      </c>
      <c r="F1827">
        <v>7000</v>
      </c>
      <c r="G1827">
        <v>80000</v>
      </c>
      <c r="H1827" t="s">
        <v>41</v>
      </c>
      <c r="I1827" t="s">
        <v>72</v>
      </c>
      <c r="J1827" t="s">
        <v>36</v>
      </c>
      <c r="K1827" t="s">
        <v>77</v>
      </c>
      <c r="L1827" t="s">
        <v>38</v>
      </c>
      <c r="M1827">
        <v>2</v>
      </c>
    </row>
    <row r="1828" spans="1:13" x14ac:dyDescent="0.25">
      <c r="A1828">
        <v>1383</v>
      </c>
      <c r="B1828" t="s">
        <v>498</v>
      </c>
      <c r="C1828" t="s">
        <v>40</v>
      </c>
      <c r="D1828">
        <v>2015</v>
      </c>
      <c r="E1828">
        <v>17407</v>
      </c>
      <c r="F1828">
        <v>22000</v>
      </c>
      <c r="G1828">
        <v>25000</v>
      </c>
      <c r="I1828" t="s">
        <v>35</v>
      </c>
      <c r="J1828" t="s">
        <v>96</v>
      </c>
      <c r="K1828" t="s">
        <v>44</v>
      </c>
      <c r="L1828" t="s">
        <v>45</v>
      </c>
      <c r="M1828">
        <v>2</v>
      </c>
    </row>
    <row r="1829" spans="1:13" x14ac:dyDescent="0.25">
      <c r="A1829">
        <v>1402</v>
      </c>
      <c r="B1829" t="s">
        <v>276</v>
      </c>
      <c r="C1829" t="s">
        <v>103</v>
      </c>
      <c r="D1829">
        <v>2014</v>
      </c>
      <c r="E1829" t="s">
        <v>1406</v>
      </c>
      <c r="F1829">
        <v>22000</v>
      </c>
      <c r="G1829">
        <v>25000</v>
      </c>
      <c r="H1829" t="s">
        <v>69</v>
      </c>
      <c r="I1829" t="s">
        <v>59</v>
      </c>
      <c r="J1829" t="s">
        <v>66</v>
      </c>
      <c r="K1829" t="s">
        <v>116</v>
      </c>
      <c r="L1829" t="s">
        <v>90</v>
      </c>
      <c r="M1829">
        <v>0</v>
      </c>
    </row>
    <row r="1830" spans="1:13" x14ac:dyDescent="0.25">
      <c r="A1830">
        <v>1064</v>
      </c>
      <c r="B1830" t="s">
        <v>1407</v>
      </c>
      <c r="C1830" t="s">
        <v>61</v>
      </c>
      <c r="D1830">
        <v>2017</v>
      </c>
      <c r="E1830" t="s">
        <v>1408</v>
      </c>
      <c r="F1830">
        <v>26000</v>
      </c>
      <c r="G1830">
        <v>120000</v>
      </c>
      <c r="H1830" t="s">
        <v>63</v>
      </c>
      <c r="I1830" t="s">
        <v>59</v>
      </c>
      <c r="J1830" t="s">
        <v>43</v>
      </c>
      <c r="K1830" t="s">
        <v>100</v>
      </c>
      <c r="M1830">
        <v>2</v>
      </c>
    </row>
    <row r="1831" spans="1:13" x14ac:dyDescent="0.25">
      <c r="A1831">
        <v>1570</v>
      </c>
      <c r="B1831" t="s">
        <v>808</v>
      </c>
      <c r="C1831" t="s">
        <v>68</v>
      </c>
      <c r="D1831">
        <v>2016</v>
      </c>
      <c r="E1831">
        <v>5371</v>
      </c>
      <c r="F1831" t="s">
        <v>81</v>
      </c>
      <c r="G1831">
        <v>40000</v>
      </c>
      <c r="H1831" t="s">
        <v>63</v>
      </c>
      <c r="I1831" t="s">
        <v>72</v>
      </c>
      <c r="K1831" t="s">
        <v>100</v>
      </c>
      <c r="L1831" t="s">
        <v>49</v>
      </c>
      <c r="M1831">
        <v>1</v>
      </c>
    </row>
    <row r="1832" spans="1:13" x14ac:dyDescent="0.25">
      <c r="A1832">
        <v>1407</v>
      </c>
      <c r="B1832" t="s">
        <v>1311</v>
      </c>
      <c r="C1832" t="s">
        <v>94</v>
      </c>
      <c r="D1832">
        <v>2016</v>
      </c>
      <c r="E1832">
        <v>23218</v>
      </c>
      <c r="F1832">
        <v>26000</v>
      </c>
      <c r="G1832">
        <v>40000</v>
      </c>
      <c r="H1832" t="s">
        <v>34</v>
      </c>
      <c r="I1832" t="s">
        <v>35</v>
      </c>
      <c r="J1832" t="s">
        <v>43</v>
      </c>
      <c r="L1832" t="s">
        <v>126</v>
      </c>
      <c r="M1832">
        <v>3</v>
      </c>
    </row>
    <row r="1833" spans="1:13" x14ac:dyDescent="0.25">
      <c r="A1833">
        <v>1467</v>
      </c>
      <c r="B1833" t="s">
        <v>541</v>
      </c>
      <c r="C1833" t="s">
        <v>61</v>
      </c>
      <c r="D1833">
        <v>2015</v>
      </c>
      <c r="E1833">
        <v>3865</v>
      </c>
      <c r="F1833">
        <v>9000</v>
      </c>
      <c r="G1833" t="s">
        <v>121</v>
      </c>
      <c r="H1833" t="s">
        <v>69</v>
      </c>
      <c r="I1833" t="s">
        <v>72</v>
      </c>
      <c r="J1833" t="s">
        <v>36</v>
      </c>
      <c r="K1833" t="s">
        <v>54</v>
      </c>
      <c r="L1833" t="s">
        <v>90</v>
      </c>
      <c r="M1833">
        <v>2</v>
      </c>
    </row>
    <row r="1834" spans="1:13" x14ac:dyDescent="0.25">
      <c r="A1834">
        <v>1182</v>
      </c>
      <c r="B1834" t="s">
        <v>1409</v>
      </c>
      <c r="C1834" t="s">
        <v>47</v>
      </c>
      <c r="D1834" t="s">
        <v>52</v>
      </c>
      <c r="E1834">
        <v>5743</v>
      </c>
      <c r="F1834">
        <v>9000</v>
      </c>
      <c r="G1834" t="s">
        <v>92</v>
      </c>
      <c r="H1834" t="s">
        <v>63</v>
      </c>
      <c r="J1834" t="s">
        <v>43</v>
      </c>
      <c r="K1834" t="s">
        <v>54</v>
      </c>
      <c r="L1834" t="s">
        <v>55</v>
      </c>
      <c r="M1834">
        <v>3</v>
      </c>
    </row>
    <row r="1835" spans="1:13" x14ac:dyDescent="0.25">
      <c r="A1835">
        <v>1492</v>
      </c>
      <c r="B1835" t="s">
        <v>743</v>
      </c>
      <c r="C1835" t="s">
        <v>103</v>
      </c>
      <c r="D1835">
        <v>2019</v>
      </c>
      <c r="E1835" t="s">
        <v>1410</v>
      </c>
      <c r="F1835">
        <v>26000</v>
      </c>
      <c r="G1835">
        <v>40000</v>
      </c>
      <c r="H1835" t="s">
        <v>69</v>
      </c>
      <c r="I1835" t="s">
        <v>42</v>
      </c>
      <c r="J1835" t="s">
        <v>96</v>
      </c>
      <c r="K1835" t="s">
        <v>77</v>
      </c>
      <c r="L1835" t="s">
        <v>98</v>
      </c>
    </row>
    <row r="1836" spans="1:13" x14ac:dyDescent="0.25">
      <c r="A1836">
        <v>1577</v>
      </c>
      <c r="B1836" t="s">
        <v>563</v>
      </c>
      <c r="C1836" t="s">
        <v>133</v>
      </c>
      <c r="D1836" t="s">
        <v>52</v>
      </c>
      <c r="E1836" t="s">
        <v>1411</v>
      </c>
      <c r="F1836" t="s">
        <v>87</v>
      </c>
      <c r="G1836" t="s">
        <v>76</v>
      </c>
      <c r="H1836" t="s">
        <v>69</v>
      </c>
      <c r="J1836" t="s">
        <v>36</v>
      </c>
      <c r="K1836" t="s">
        <v>116</v>
      </c>
      <c r="L1836" t="s">
        <v>98</v>
      </c>
      <c r="M1836">
        <v>1</v>
      </c>
    </row>
    <row r="1837" spans="1:13" x14ac:dyDescent="0.25">
      <c r="A1837">
        <v>1477</v>
      </c>
      <c r="B1837" t="s">
        <v>960</v>
      </c>
      <c r="C1837" t="s">
        <v>51</v>
      </c>
      <c r="D1837">
        <v>2015</v>
      </c>
      <c r="E1837" t="s">
        <v>1412</v>
      </c>
      <c r="F1837" t="s">
        <v>115</v>
      </c>
      <c r="G1837" t="s">
        <v>33</v>
      </c>
      <c r="H1837" t="s">
        <v>84</v>
      </c>
      <c r="I1837" t="s">
        <v>72</v>
      </c>
      <c r="J1837" t="s">
        <v>96</v>
      </c>
      <c r="K1837" t="s">
        <v>116</v>
      </c>
      <c r="L1837" t="s">
        <v>55</v>
      </c>
      <c r="M1837">
        <v>1</v>
      </c>
    </row>
    <row r="1838" spans="1:13" x14ac:dyDescent="0.25">
      <c r="A1838">
        <v>1268</v>
      </c>
      <c r="B1838" t="s">
        <v>1413</v>
      </c>
      <c r="C1838" t="s">
        <v>51</v>
      </c>
      <c r="E1838">
        <v>11567</v>
      </c>
      <c r="F1838">
        <v>18000</v>
      </c>
      <c r="G1838" t="s">
        <v>33</v>
      </c>
      <c r="H1838" t="s">
        <v>63</v>
      </c>
      <c r="I1838" t="s">
        <v>59</v>
      </c>
      <c r="K1838" t="s">
        <v>44</v>
      </c>
      <c r="L1838" t="s">
        <v>98</v>
      </c>
      <c r="M1838">
        <v>2</v>
      </c>
    </row>
    <row r="1839" spans="1:13" x14ac:dyDescent="0.25">
      <c r="A1839">
        <v>1316</v>
      </c>
      <c r="B1839" t="s">
        <v>591</v>
      </c>
      <c r="C1839" t="s">
        <v>32</v>
      </c>
      <c r="D1839">
        <v>2017</v>
      </c>
      <c r="E1839" t="s">
        <v>1414</v>
      </c>
      <c r="F1839">
        <v>22000</v>
      </c>
      <c r="G1839">
        <v>40000</v>
      </c>
      <c r="H1839" t="s">
        <v>63</v>
      </c>
      <c r="I1839" t="s">
        <v>59</v>
      </c>
      <c r="J1839" t="s">
        <v>66</v>
      </c>
      <c r="K1839" t="s">
        <v>44</v>
      </c>
      <c r="L1839" t="s">
        <v>90</v>
      </c>
      <c r="M1839">
        <v>1</v>
      </c>
    </row>
    <row r="1840" spans="1:13" x14ac:dyDescent="0.25">
      <c r="A1840">
        <v>1018</v>
      </c>
      <c r="B1840" t="s">
        <v>894</v>
      </c>
      <c r="C1840" t="s">
        <v>164</v>
      </c>
      <c r="D1840">
        <v>2022</v>
      </c>
      <c r="E1840">
        <v>18137</v>
      </c>
      <c r="F1840">
        <v>22000</v>
      </c>
      <c r="G1840">
        <v>40000</v>
      </c>
      <c r="H1840" t="s">
        <v>63</v>
      </c>
      <c r="I1840" t="s">
        <v>59</v>
      </c>
      <c r="K1840" t="s">
        <v>54</v>
      </c>
      <c r="L1840" t="s">
        <v>55</v>
      </c>
      <c r="M1840">
        <v>2</v>
      </c>
    </row>
    <row r="1841" spans="1:13" x14ac:dyDescent="0.25">
      <c r="A1841">
        <v>1543</v>
      </c>
      <c r="B1841" t="s">
        <v>302</v>
      </c>
      <c r="C1841" t="s">
        <v>32</v>
      </c>
      <c r="D1841" t="s">
        <v>52</v>
      </c>
      <c r="E1841">
        <v>24638</v>
      </c>
      <c r="F1841">
        <v>26000</v>
      </c>
      <c r="G1841">
        <v>60000</v>
      </c>
      <c r="H1841" t="s">
        <v>53</v>
      </c>
      <c r="I1841" t="s">
        <v>59</v>
      </c>
      <c r="J1841" t="s">
        <v>66</v>
      </c>
      <c r="K1841" t="s">
        <v>77</v>
      </c>
      <c r="L1841" t="s">
        <v>38</v>
      </c>
      <c r="M1841">
        <v>2</v>
      </c>
    </row>
    <row r="1842" spans="1:13" x14ac:dyDescent="0.25">
      <c r="A1842">
        <v>1257</v>
      </c>
      <c r="B1842" t="s">
        <v>1012</v>
      </c>
      <c r="C1842" t="s">
        <v>138</v>
      </c>
      <c r="D1842">
        <v>2014</v>
      </c>
      <c r="E1842">
        <v>13191</v>
      </c>
      <c r="F1842">
        <v>18000</v>
      </c>
      <c r="G1842">
        <v>15000</v>
      </c>
      <c r="H1842" t="s">
        <v>84</v>
      </c>
      <c r="I1842" t="s">
        <v>72</v>
      </c>
      <c r="J1842" t="s">
        <v>43</v>
      </c>
      <c r="K1842" t="s">
        <v>116</v>
      </c>
      <c r="L1842" t="s">
        <v>38</v>
      </c>
      <c r="M1842">
        <v>2</v>
      </c>
    </row>
    <row r="1843" spans="1:13" x14ac:dyDescent="0.25">
      <c r="A1843">
        <v>1348</v>
      </c>
      <c r="B1843" t="s">
        <v>1037</v>
      </c>
      <c r="C1843" t="s">
        <v>32</v>
      </c>
      <c r="D1843">
        <v>2022</v>
      </c>
      <c r="E1843">
        <v>18384</v>
      </c>
      <c r="F1843">
        <v>22000</v>
      </c>
      <c r="G1843" t="s">
        <v>108</v>
      </c>
      <c r="H1843" t="s">
        <v>69</v>
      </c>
      <c r="I1843" t="s">
        <v>72</v>
      </c>
      <c r="J1843" t="s">
        <v>43</v>
      </c>
      <c r="K1843" t="s">
        <v>73</v>
      </c>
      <c r="L1843" t="s">
        <v>49</v>
      </c>
      <c r="M1843">
        <v>3</v>
      </c>
    </row>
    <row r="1844" spans="1:13" x14ac:dyDescent="0.25">
      <c r="A1844">
        <v>1471</v>
      </c>
      <c r="B1844" t="s">
        <v>491</v>
      </c>
      <c r="C1844" t="s">
        <v>40</v>
      </c>
      <c r="D1844">
        <v>2017</v>
      </c>
      <c r="E1844">
        <v>24842</v>
      </c>
      <c r="F1844">
        <v>26000</v>
      </c>
      <c r="G1844">
        <v>15000</v>
      </c>
      <c r="H1844" t="s">
        <v>41</v>
      </c>
      <c r="I1844" t="s">
        <v>35</v>
      </c>
      <c r="J1844" t="s">
        <v>43</v>
      </c>
      <c r="K1844" t="s">
        <v>73</v>
      </c>
      <c r="L1844" t="s">
        <v>98</v>
      </c>
      <c r="M1844">
        <v>3</v>
      </c>
    </row>
    <row r="1845" spans="1:13" x14ac:dyDescent="0.25">
      <c r="A1845">
        <v>1182</v>
      </c>
      <c r="B1845" t="s">
        <v>281</v>
      </c>
      <c r="C1845" t="s">
        <v>65</v>
      </c>
      <c r="E1845">
        <v>1552</v>
      </c>
      <c r="F1845">
        <v>7000</v>
      </c>
      <c r="G1845">
        <v>60000</v>
      </c>
      <c r="H1845" t="s">
        <v>34</v>
      </c>
      <c r="I1845" t="s">
        <v>42</v>
      </c>
      <c r="J1845" t="s">
        <v>36</v>
      </c>
      <c r="K1845" t="s">
        <v>44</v>
      </c>
      <c r="L1845" t="s">
        <v>38</v>
      </c>
    </row>
    <row r="1846" spans="1:13" x14ac:dyDescent="0.25">
      <c r="A1846">
        <v>1202</v>
      </c>
      <c r="B1846" t="s">
        <v>206</v>
      </c>
      <c r="C1846" t="s">
        <v>103</v>
      </c>
      <c r="D1846">
        <v>2021</v>
      </c>
      <c r="E1846">
        <v>22953</v>
      </c>
      <c r="F1846">
        <v>26000</v>
      </c>
      <c r="G1846" t="s">
        <v>108</v>
      </c>
      <c r="H1846" t="s">
        <v>63</v>
      </c>
      <c r="K1846" t="s">
        <v>48</v>
      </c>
      <c r="L1846" t="s">
        <v>126</v>
      </c>
      <c r="M1846">
        <v>3</v>
      </c>
    </row>
    <row r="1847" spans="1:13" x14ac:dyDescent="0.25">
      <c r="A1847">
        <v>1219</v>
      </c>
      <c r="B1847" t="s">
        <v>123</v>
      </c>
      <c r="C1847" t="s">
        <v>68</v>
      </c>
      <c r="D1847">
        <v>2021</v>
      </c>
      <c r="E1847">
        <v>6626</v>
      </c>
      <c r="F1847" t="s">
        <v>204</v>
      </c>
      <c r="G1847" t="s">
        <v>33</v>
      </c>
      <c r="H1847" t="s">
        <v>63</v>
      </c>
      <c r="I1847" t="s">
        <v>35</v>
      </c>
      <c r="J1847" t="s">
        <v>66</v>
      </c>
      <c r="K1847" t="s">
        <v>73</v>
      </c>
      <c r="L1847" t="s">
        <v>49</v>
      </c>
      <c r="M1847">
        <v>2</v>
      </c>
    </row>
    <row r="1848" spans="1:13" x14ac:dyDescent="0.25">
      <c r="A1848">
        <v>1317</v>
      </c>
      <c r="B1848" t="s">
        <v>997</v>
      </c>
      <c r="C1848" t="s">
        <v>47</v>
      </c>
      <c r="D1848">
        <v>2014</v>
      </c>
      <c r="E1848">
        <v>28649</v>
      </c>
      <c r="F1848">
        <v>31000</v>
      </c>
      <c r="G1848">
        <v>40000</v>
      </c>
      <c r="H1848" t="s">
        <v>53</v>
      </c>
      <c r="I1848" t="s">
        <v>72</v>
      </c>
      <c r="J1848" t="s">
        <v>43</v>
      </c>
      <c r="K1848" t="s">
        <v>48</v>
      </c>
      <c r="L1848" t="s">
        <v>55</v>
      </c>
      <c r="M1848">
        <v>0</v>
      </c>
    </row>
    <row r="1849" spans="1:13" x14ac:dyDescent="0.25">
      <c r="A1849">
        <v>1052</v>
      </c>
      <c r="B1849" t="s">
        <v>764</v>
      </c>
      <c r="C1849" t="s">
        <v>65</v>
      </c>
      <c r="D1849">
        <v>2022</v>
      </c>
      <c r="E1849">
        <v>237</v>
      </c>
      <c r="F1849">
        <v>7000</v>
      </c>
      <c r="G1849" t="s">
        <v>33</v>
      </c>
      <c r="H1849" t="s">
        <v>63</v>
      </c>
      <c r="I1849" t="s">
        <v>59</v>
      </c>
      <c r="J1849" t="s">
        <v>96</v>
      </c>
      <c r="L1849" t="s">
        <v>90</v>
      </c>
      <c r="M1849">
        <v>3</v>
      </c>
    </row>
    <row r="1850" spans="1:13" x14ac:dyDescent="0.25">
      <c r="A1850">
        <v>1242</v>
      </c>
      <c r="B1850" t="s">
        <v>169</v>
      </c>
      <c r="C1850" t="s">
        <v>40</v>
      </c>
      <c r="D1850">
        <v>2022</v>
      </c>
      <c r="E1850">
        <v>9514</v>
      </c>
      <c r="F1850">
        <v>12000</v>
      </c>
      <c r="G1850">
        <v>40000</v>
      </c>
      <c r="H1850" t="s">
        <v>69</v>
      </c>
      <c r="I1850" t="s">
        <v>35</v>
      </c>
      <c r="J1850" t="s">
        <v>66</v>
      </c>
      <c r="M1850">
        <v>3</v>
      </c>
    </row>
    <row r="1851" spans="1:13" x14ac:dyDescent="0.25">
      <c r="A1851">
        <v>1200</v>
      </c>
      <c r="B1851" t="s">
        <v>1262</v>
      </c>
      <c r="C1851" t="s">
        <v>103</v>
      </c>
      <c r="E1851">
        <v>6966</v>
      </c>
      <c r="F1851">
        <v>9000</v>
      </c>
      <c r="G1851">
        <v>15000</v>
      </c>
      <c r="H1851" t="s">
        <v>58</v>
      </c>
      <c r="I1851" t="s">
        <v>72</v>
      </c>
      <c r="J1851" t="s">
        <v>66</v>
      </c>
      <c r="K1851" t="s">
        <v>48</v>
      </c>
      <c r="L1851" t="s">
        <v>49</v>
      </c>
      <c r="M1851">
        <v>0</v>
      </c>
    </row>
    <row r="1852" spans="1:13" x14ac:dyDescent="0.25">
      <c r="A1852">
        <v>1403</v>
      </c>
      <c r="B1852" t="s">
        <v>718</v>
      </c>
      <c r="C1852" t="s">
        <v>133</v>
      </c>
      <c r="D1852" t="s">
        <v>52</v>
      </c>
      <c r="E1852">
        <v>5932</v>
      </c>
      <c r="F1852">
        <v>12000</v>
      </c>
      <c r="G1852">
        <v>40000</v>
      </c>
      <c r="H1852" t="s">
        <v>69</v>
      </c>
      <c r="I1852" t="s">
        <v>72</v>
      </c>
      <c r="J1852" t="s">
        <v>43</v>
      </c>
      <c r="K1852" t="s">
        <v>44</v>
      </c>
      <c r="L1852" t="s">
        <v>38</v>
      </c>
      <c r="M1852">
        <v>1</v>
      </c>
    </row>
    <row r="1853" spans="1:13" x14ac:dyDescent="0.25">
      <c r="A1853">
        <v>1112</v>
      </c>
      <c r="B1853" t="s">
        <v>710</v>
      </c>
      <c r="C1853" t="s">
        <v>79</v>
      </c>
      <c r="D1853" t="s">
        <v>52</v>
      </c>
      <c r="E1853">
        <v>18654</v>
      </c>
      <c r="F1853">
        <v>22000</v>
      </c>
      <c r="G1853">
        <v>40000</v>
      </c>
      <c r="H1853" t="s">
        <v>63</v>
      </c>
      <c r="I1853" t="s">
        <v>35</v>
      </c>
      <c r="J1853" t="s">
        <v>66</v>
      </c>
      <c r="K1853" t="s">
        <v>48</v>
      </c>
      <c r="L1853" t="s">
        <v>55</v>
      </c>
      <c r="M1853">
        <v>1</v>
      </c>
    </row>
    <row r="1854" spans="1:13" x14ac:dyDescent="0.25">
      <c r="A1854">
        <v>1565</v>
      </c>
      <c r="B1854" t="s">
        <v>1136</v>
      </c>
      <c r="C1854" t="s">
        <v>40</v>
      </c>
      <c r="D1854" t="s">
        <v>52</v>
      </c>
      <c r="E1854">
        <v>20526</v>
      </c>
      <c r="F1854">
        <v>22000</v>
      </c>
      <c r="G1854" t="s">
        <v>33</v>
      </c>
      <c r="H1854" t="s">
        <v>53</v>
      </c>
      <c r="I1854" t="s">
        <v>59</v>
      </c>
      <c r="J1854" t="s">
        <v>43</v>
      </c>
      <c r="L1854" t="s">
        <v>45</v>
      </c>
      <c r="M1854">
        <v>0</v>
      </c>
    </row>
    <row r="1855" spans="1:13" x14ac:dyDescent="0.25">
      <c r="A1855">
        <v>1169</v>
      </c>
      <c r="B1855" t="s">
        <v>667</v>
      </c>
      <c r="C1855" t="s">
        <v>65</v>
      </c>
      <c r="D1855">
        <v>2021</v>
      </c>
      <c r="E1855" t="s">
        <v>1415</v>
      </c>
      <c r="F1855" t="s">
        <v>81</v>
      </c>
      <c r="G1855">
        <v>40000</v>
      </c>
      <c r="H1855" t="s">
        <v>53</v>
      </c>
      <c r="I1855" t="s">
        <v>42</v>
      </c>
      <c r="J1855" t="s">
        <v>66</v>
      </c>
      <c r="K1855" t="s">
        <v>44</v>
      </c>
      <c r="L1855" t="s">
        <v>45</v>
      </c>
      <c r="M1855">
        <v>0</v>
      </c>
    </row>
    <row r="1856" spans="1:13" x14ac:dyDescent="0.25">
      <c r="A1856">
        <v>1212</v>
      </c>
      <c r="B1856" t="s">
        <v>794</v>
      </c>
      <c r="C1856" t="s">
        <v>32</v>
      </c>
      <c r="D1856">
        <v>2015</v>
      </c>
      <c r="E1856">
        <v>9616</v>
      </c>
      <c r="F1856" t="s">
        <v>204</v>
      </c>
      <c r="G1856" t="s">
        <v>92</v>
      </c>
      <c r="I1856" t="s">
        <v>59</v>
      </c>
      <c r="J1856" t="s">
        <v>96</v>
      </c>
      <c r="K1856" t="s">
        <v>116</v>
      </c>
      <c r="L1856" t="s">
        <v>55</v>
      </c>
      <c r="M1856">
        <v>0</v>
      </c>
    </row>
    <row r="1857" spans="1:13" x14ac:dyDescent="0.25">
      <c r="A1857">
        <v>1242</v>
      </c>
      <c r="B1857" t="s">
        <v>396</v>
      </c>
      <c r="C1857" t="s">
        <v>40</v>
      </c>
      <c r="D1857">
        <v>2020</v>
      </c>
      <c r="E1857">
        <v>29112</v>
      </c>
      <c r="F1857">
        <v>31000</v>
      </c>
      <c r="G1857">
        <v>60000</v>
      </c>
      <c r="H1857" t="s">
        <v>63</v>
      </c>
      <c r="I1857" t="s">
        <v>35</v>
      </c>
      <c r="J1857" t="s">
        <v>43</v>
      </c>
      <c r="K1857" t="s">
        <v>48</v>
      </c>
      <c r="L1857" t="s">
        <v>55</v>
      </c>
      <c r="M1857">
        <v>0</v>
      </c>
    </row>
    <row r="1858" spans="1:13" x14ac:dyDescent="0.25">
      <c r="A1858">
        <v>1288</v>
      </c>
      <c r="B1858" t="s">
        <v>101</v>
      </c>
      <c r="C1858" t="s">
        <v>103</v>
      </c>
      <c r="D1858">
        <v>2016</v>
      </c>
      <c r="E1858">
        <v>6794</v>
      </c>
      <c r="F1858">
        <v>9000</v>
      </c>
      <c r="G1858">
        <v>60000</v>
      </c>
      <c r="H1858" t="s">
        <v>41</v>
      </c>
      <c r="I1858" t="s">
        <v>72</v>
      </c>
      <c r="J1858" t="s">
        <v>36</v>
      </c>
      <c r="L1858" t="s">
        <v>98</v>
      </c>
    </row>
    <row r="1859" spans="1:13" x14ac:dyDescent="0.25">
      <c r="A1859">
        <v>1304</v>
      </c>
      <c r="B1859" t="s">
        <v>207</v>
      </c>
      <c r="C1859" t="s">
        <v>119</v>
      </c>
      <c r="D1859">
        <v>2014</v>
      </c>
      <c r="E1859">
        <v>12675</v>
      </c>
      <c r="F1859">
        <v>15000</v>
      </c>
      <c r="G1859">
        <v>120000</v>
      </c>
      <c r="H1859" t="s">
        <v>34</v>
      </c>
      <c r="I1859" t="s">
        <v>59</v>
      </c>
      <c r="J1859" t="s">
        <v>96</v>
      </c>
      <c r="K1859" t="s">
        <v>37</v>
      </c>
      <c r="L1859" t="s">
        <v>49</v>
      </c>
      <c r="M1859">
        <v>3</v>
      </c>
    </row>
    <row r="1860" spans="1:13" x14ac:dyDescent="0.25">
      <c r="A1860">
        <v>1396</v>
      </c>
      <c r="B1860" t="s">
        <v>939</v>
      </c>
      <c r="C1860" t="s">
        <v>68</v>
      </c>
      <c r="D1860">
        <v>2019</v>
      </c>
      <c r="E1860">
        <v>8416</v>
      </c>
      <c r="F1860">
        <v>15000</v>
      </c>
      <c r="G1860">
        <v>80000</v>
      </c>
      <c r="H1860" t="s">
        <v>41</v>
      </c>
      <c r="J1860" t="s">
        <v>43</v>
      </c>
      <c r="K1860" t="s">
        <v>73</v>
      </c>
      <c r="L1860" t="s">
        <v>38</v>
      </c>
      <c r="M1860">
        <v>2</v>
      </c>
    </row>
    <row r="1861" spans="1:13" x14ac:dyDescent="0.25">
      <c r="A1861">
        <v>1054</v>
      </c>
      <c r="B1861" t="s">
        <v>1416</v>
      </c>
      <c r="C1861" t="s">
        <v>164</v>
      </c>
      <c r="D1861">
        <v>2019</v>
      </c>
      <c r="E1861" t="s">
        <v>1417</v>
      </c>
      <c r="F1861" t="s">
        <v>81</v>
      </c>
      <c r="G1861">
        <v>120000</v>
      </c>
      <c r="H1861" t="s">
        <v>84</v>
      </c>
      <c r="I1861" t="s">
        <v>42</v>
      </c>
      <c r="J1861" t="s">
        <v>43</v>
      </c>
      <c r="L1861" t="s">
        <v>90</v>
      </c>
    </row>
    <row r="1862" spans="1:13" x14ac:dyDescent="0.25">
      <c r="A1862">
        <v>1120</v>
      </c>
      <c r="B1862" t="s">
        <v>251</v>
      </c>
      <c r="C1862" t="s">
        <v>94</v>
      </c>
      <c r="D1862">
        <v>2021</v>
      </c>
      <c r="E1862">
        <v>3729</v>
      </c>
      <c r="F1862">
        <v>7000</v>
      </c>
      <c r="G1862" t="s">
        <v>92</v>
      </c>
      <c r="H1862" t="s">
        <v>53</v>
      </c>
      <c r="I1862" t="s">
        <v>59</v>
      </c>
      <c r="J1862" t="s">
        <v>66</v>
      </c>
      <c r="K1862" t="s">
        <v>44</v>
      </c>
      <c r="L1862" t="s">
        <v>90</v>
      </c>
      <c r="M1862">
        <v>3</v>
      </c>
    </row>
    <row r="1863" spans="1:13" x14ac:dyDescent="0.25">
      <c r="A1863">
        <v>1025</v>
      </c>
      <c r="B1863" t="s">
        <v>1052</v>
      </c>
      <c r="C1863" t="s">
        <v>40</v>
      </c>
      <c r="D1863">
        <v>2016</v>
      </c>
      <c r="E1863">
        <v>7532</v>
      </c>
      <c r="F1863">
        <v>12000</v>
      </c>
      <c r="G1863">
        <v>15000</v>
      </c>
      <c r="H1863" t="s">
        <v>69</v>
      </c>
      <c r="J1863" t="s">
        <v>36</v>
      </c>
      <c r="K1863" t="s">
        <v>100</v>
      </c>
      <c r="L1863" t="s">
        <v>38</v>
      </c>
      <c r="M1863">
        <v>1</v>
      </c>
    </row>
    <row r="1864" spans="1:13" x14ac:dyDescent="0.25">
      <c r="A1864">
        <v>1084</v>
      </c>
      <c r="B1864" t="s">
        <v>1418</v>
      </c>
      <c r="C1864" t="s">
        <v>79</v>
      </c>
      <c r="D1864">
        <v>2022</v>
      </c>
      <c r="E1864" t="s">
        <v>1419</v>
      </c>
      <c r="F1864">
        <v>15000</v>
      </c>
      <c r="G1864" t="s">
        <v>121</v>
      </c>
      <c r="H1864" t="s">
        <v>63</v>
      </c>
      <c r="I1864" t="s">
        <v>35</v>
      </c>
      <c r="J1864" t="s">
        <v>43</v>
      </c>
      <c r="K1864" t="s">
        <v>54</v>
      </c>
      <c r="L1864" t="s">
        <v>109</v>
      </c>
      <c r="M1864">
        <v>2</v>
      </c>
    </row>
    <row r="1865" spans="1:13" x14ac:dyDescent="0.25">
      <c r="A1865">
        <v>1125</v>
      </c>
      <c r="B1865" t="s">
        <v>1420</v>
      </c>
      <c r="C1865" t="s">
        <v>94</v>
      </c>
      <c r="E1865" t="s">
        <v>1421</v>
      </c>
      <c r="F1865">
        <v>15000</v>
      </c>
      <c r="G1865" t="s">
        <v>108</v>
      </c>
      <c r="H1865" t="s">
        <v>41</v>
      </c>
      <c r="I1865" t="s">
        <v>35</v>
      </c>
      <c r="J1865" t="s">
        <v>66</v>
      </c>
      <c r="L1865" t="s">
        <v>38</v>
      </c>
      <c r="M1865">
        <v>1</v>
      </c>
    </row>
    <row r="1866" spans="1:13" x14ac:dyDescent="0.25">
      <c r="A1866">
        <v>1493</v>
      </c>
      <c r="B1866" t="s">
        <v>334</v>
      </c>
      <c r="C1866" t="s">
        <v>75</v>
      </c>
      <c r="E1866">
        <v>16796</v>
      </c>
      <c r="F1866" t="s">
        <v>115</v>
      </c>
      <c r="G1866" t="s">
        <v>130</v>
      </c>
      <c r="I1866" t="s">
        <v>35</v>
      </c>
      <c r="J1866" t="s">
        <v>43</v>
      </c>
      <c r="K1866" t="s">
        <v>116</v>
      </c>
      <c r="L1866" t="s">
        <v>49</v>
      </c>
      <c r="M1866">
        <v>3</v>
      </c>
    </row>
    <row r="1867" spans="1:13" x14ac:dyDescent="0.25">
      <c r="A1867">
        <v>1462</v>
      </c>
      <c r="B1867" t="s">
        <v>613</v>
      </c>
      <c r="C1867" t="s">
        <v>40</v>
      </c>
      <c r="D1867">
        <v>2017</v>
      </c>
      <c r="E1867">
        <v>2635</v>
      </c>
      <c r="F1867">
        <v>7000</v>
      </c>
      <c r="G1867">
        <v>40000</v>
      </c>
      <c r="H1867" t="s">
        <v>58</v>
      </c>
      <c r="I1867" t="s">
        <v>72</v>
      </c>
      <c r="J1867" t="s">
        <v>43</v>
      </c>
      <c r="K1867" t="s">
        <v>73</v>
      </c>
      <c r="L1867" t="s">
        <v>109</v>
      </c>
      <c r="M1867">
        <v>0</v>
      </c>
    </row>
    <row r="1868" spans="1:13" x14ac:dyDescent="0.25">
      <c r="A1868">
        <v>1328</v>
      </c>
      <c r="B1868" t="s">
        <v>1422</v>
      </c>
      <c r="C1868" t="s">
        <v>94</v>
      </c>
      <c r="D1868">
        <v>2018</v>
      </c>
      <c r="E1868">
        <v>8830</v>
      </c>
      <c r="F1868">
        <v>15000</v>
      </c>
      <c r="G1868">
        <v>120000</v>
      </c>
      <c r="H1868" t="s">
        <v>84</v>
      </c>
      <c r="J1868" t="s">
        <v>43</v>
      </c>
      <c r="K1868" t="s">
        <v>48</v>
      </c>
      <c r="L1868" t="s">
        <v>55</v>
      </c>
      <c r="M1868">
        <v>3</v>
      </c>
    </row>
    <row r="1869" spans="1:13" x14ac:dyDescent="0.25">
      <c r="A1869">
        <v>1317</v>
      </c>
      <c r="B1869" t="s">
        <v>216</v>
      </c>
      <c r="C1869" t="s">
        <v>103</v>
      </c>
      <c r="D1869">
        <v>2014</v>
      </c>
      <c r="E1869">
        <v>3708</v>
      </c>
      <c r="F1869">
        <v>7000</v>
      </c>
      <c r="G1869">
        <v>60000</v>
      </c>
      <c r="I1869" t="s">
        <v>42</v>
      </c>
      <c r="J1869" t="s">
        <v>36</v>
      </c>
      <c r="K1869" t="s">
        <v>116</v>
      </c>
      <c r="L1869" t="s">
        <v>38</v>
      </c>
      <c r="M1869">
        <v>0</v>
      </c>
    </row>
    <row r="1870" spans="1:13" x14ac:dyDescent="0.25">
      <c r="A1870">
        <v>1462</v>
      </c>
      <c r="B1870" t="s">
        <v>1291</v>
      </c>
      <c r="C1870" t="s">
        <v>119</v>
      </c>
      <c r="D1870">
        <v>2017</v>
      </c>
      <c r="E1870">
        <v>6248</v>
      </c>
      <c r="F1870">
        <v>12000</v>
      </c>
      <c r="G1870">
        <v>40000</v>
      </c>
      <c r="H1870" t="s">
        <v>69</v>
      </c>
      <c r="I1870" t="s">
        <v>72</v>
      </c>
      <c r="J1870" t="s">
        <v>36</v>
      </c>
      <c r="K1870" t="s">
        <v>73</v>
      </c>
      <c r="L1870" t="s">
        <v>45</v>
      </c>
    </row>
    <row r="1871" spans="1:13" x14ac:dyDescent="0.25">
      <c r="A1871">
        <v>1222</v>
      </c>
      <c r="B1871" t="s">
        <v>771</v>
      </c>
      <c r="C1871" t="s">
        <v>65</v>
      </c>
      <c r="D1871">
        <v>2022</v>
      </c>
      <c r="E1871">
        <v>3514</v>
      </c>
      <c r="F1871">
        <v>7000</v>
      </c>
      <c r="G1871">
        <v>80000</v>
      </c>
      <c r="H1871" t="s">
        <v>34</v>
      </c>
      <c r="I1871" t="s">
        <v>35</v>
      </c>
      <c r="J1871" t="s">
        <v>96</v>
      </c>
      <c r="K1871" t="s">
        <v>54</v>
      </c>
      <c r="L1871" t="s">
        <v>90</v>
      </c>
      <c r="M1871">
        <v>3</v>
      </c>
    </row>
    <row r="1872" spans="1:13" x14ac:dyDescent="0.25">
      <c r="A1872">
        <v>1488</v>
      </c>
      <c r="B1872" t="s">
        <v>1423</v>
      </c>
      <c r="C1872" t="s">
        <v>68</v>
      </c>
      <c r="D1872">
        <v>2021</v>
      </c>
      <c r="E1872">
        <v>15118</v>
      </c>
      <c r="F1872" t="s">
        <v>115</v>
      </c>
      <c r="G1872" t="s">
        <v>121</v>
      </c>
      <c r="J1872" t="s">
        <v>43</v>
      </c>
      <c r="K1872" t="s">
        <v>48</v>
      </c>
      <c r="L1872" t="s">
        <v>45</v>
      </c>
      <c r="M1872">
        <v>3</v>
      </c>
    </row>
    <row r="1873" spans="1:13" x14ac:dyDescent="0.25">
      <c r="A1873">
        <v>1153</v>
      </c>
      <c r="B1873" t="s">
        <v>1281</v>
      </c>
      <c r="C1873" t="s">
        <v>79</v>
      </c>
      <c r="D1873">
        <v>2018</v>
      </c>
      <c r="E1873">
        <v>18204</v>
      </c>
      <c r="F1873">
        <v>22000</v>
      </c>
      <c r="G1873" t="s">
        <v>92</v>
      </c>
      <c r="H1873" t="s">
        <v>34</v>
      </c>
      <c r="J1873" t="s">
        <v>66</v>
      </c>
      <c r="K1873" t="s">
        <v>54</v>
      </c>
      <c r="M1873">
        <v>2</v>
      </c>
    </row>
    <row r="1874" spans="1:13" x14ac:dyDescent="0.25">
      <c r="A1874">
        <v>1519</v>
      </c>
      <c r="B1874" t="s">
        <v>1424</v>
      </c>
      <c r="C1874" t="s">
        <v>65</v>
      </c>
      <c r="D1874" t="s">
        <v>52</v>
      </c>
      <c r="E1874">
        <v>1249</v>
      </c>
      <c r="F1874">
        <v>7000</v>
      </c>
      <c r="G1874">
        <v>25000</v>
      </c>
      <c r="H1874" t="s">
        <v>63</v>
      </c>
      <c r="I1874" t="s">
        <v>59</v>
      </c>
      <c r="J1874" t="s">
        <v>36</v>
      </c>
      <c r="K1874" t="s">
        <v>48</v>
      </c>
      <c r="L1874" t="s">
        <v>98</v>
      </c>
    </row>
    <row r="1875" spans="1:13" x14ac:dyDescent="0.25">
      <c r="A1875">
        <v>1135</v>
      </c>
      <c r="B1875" t="s">
        <v>1425</v>
      </c>
      <c r="C1875" t="s">
        <v>57</v>
      </c>
      <c r="D1875" t="s">
        <v>52</v>
      </c>
      <c r="E1875">
        <v>23211</v>
      </c>
      <c r="F1875">
        <v>26000</v>
      </c>
      <c r="G1875">
        <v>15000</v>
      </c>
      <c r="I1875" t="s">
        <v>59</v>
      </c>
      <c r="J1875" t="s">
        <v>43</v>
      </c>
      <c r="K1875" t="s">
        <v>116</v>
      </c>
      <c r="L1875" t="s">
        <v>109</v>
      </c>
      <c r="M1875">
        <v>3</v>
      </c>
    </row>
    <row r="1876" spans="1:13" x14ac:dyDescent="0.25">
      <c r="A1876">
        <v>1147</v>
      </c>
      <c r="B1876" t="s">
        <v>828</v>
      </c>
      <c r="C1876" t="s">
        <v>68</v>
      </c>
      <c r="D1876" t="s">
        <v>52</v>
      </c>
      <c r="E1876">
        <v>9372</v>
      </c>
      <c r="F1876">
        <v>15000</v>
      </c>
      <c r="G1876">
        <v>80000</v>
      </c>
      <c r="I1876" t="s">
        <v>35</v>
      </c>
      <c r="J1876" t="s">
        <v>36</v>
      </c>
      <c r="K1876" t="s">
        <v>73</v>
      </c>
      <c r="L1876" t="s">
        <v>55</v>
      </c>
      <c r="M1876">
        <v>1</v>
      </c>
    </row>
    <row r="1877" spans="1:13" x14ac:dyDescent="0.25">
      <c r="A1877">
        <v>1176</v>
      </c>
      <c r="B1877" t="s">
        <v>1426</v>
      </c>
      <c r="C1877" t="s">
        <v>79</v>
      </c>
      <c r="D1877">
        <v>2015</v>
      </c>
      <c r="E1877" t="s">
        <v>1427</v>
      </c>
      <c r="F1877">
        <v>12000</v>
      </c>
      <c r="G1877">
        <v>80000</v>
      </c>
      <c r="H1877" t="s">
        <v>58</v>
      </c>
      <c r="I1877" t="s">
        <v>72</v>
      </c>
      <c r="J1877" t="s">
        <v>66</v>
      </c>
      <c r="K1877" t="s">
        <v>100</v>
      </c>
      <c r="L1877" t="s">
        <v>38</v>
      </c>
      <c r="M1877">
        <v>1</v>
      </c>
    </row>
    <row r="1878" spans="1:13" x14ac:dyDescent="0.25">
      <c r="A1878">
        <v>1258</v>
      </c>
      <c r="B1878" t="s">
        <v>405</v>
      </c>
      <c r="C1878" t="s">
        <v>119</v>
      </c>
      <c r="D1878">
        <v>2014</v>
      </c>
      <c r="E1878">
        <v>5948</v>
      </c>
      <c r="F1878" t="s">
        <v>204</v>
      </c>
      <c r="G1878">
        <v>25000</v>
      </c>
      <c r="H1878" t="s">
        <v>41</v>
      </c>
      <c r="I1878" t="s">
        <v>59</v>
      </c>
      <c r="K1878" t="s">
        <v>54</v>
      </c>
      <c r="L1878" t="s">
        <v>38</v>
      </c>
      <c r="M1878">
        <v>0</v>
      </c>
    </row>
    <row r="1879" spans="1:13" x14ac:dyDescent="0.25">
      <c r="A1879">
        <v>1349</v>
      </c>
      <c r="B1879" t="s">
        <v>1145</v>
      </c>
      <c r="C1879" t="s">
        <v>94</v>
      </c>
      <c r="E1879">
        <v>19931</v>
      </c>
      <c r="F1879">
        <v>22000</v>
      </c>
      <c r="G1879">
        <v>120000</v>
      </c>
      <c r="H1879" t="s">
        <v>58</v>
      </c>
      <c r="J1879" t="s">
        <v>96</v>
      </c>
      <c r="K1879" t="s">
        <v>37</v>
      </c>
      <c r="L1879" t="s">
        <v>90</v>
      </c>
    </row>
    <row r="1880" spans="1:13" x14ac:dyDescent="0.25">
      <c r="A1880">
        <v>1391</v>
      </c>
      <c r="B1880" t="s">
        <v>1428</v>
      </c>
      <c r="C1880" t="s">
        <v>61</v>
      </c>
      <c r="D1880">
        <v>2017</v>
      </c>
      <c r="E1880">
        <v>29603</v>
      </c>
      <c r="F1880">
        <v>31000</v>
      </c>
      <c r="G1880">
        <v>120000</v>
      </c>
      <c r="H1880" t="s">
        <v>63</v>
      </c>
      <c r="I1880" t="s">
        <v>72</v>
      </c>
      <c r="K1880" t="s">
        <v>116</v>
      </c>
      <c r="L1880" t="s">
        <v>109</v>
      </c>
      <c r="M1880">
        <v>1</v>
      </c>
    </row>
    <row r="1881" spans="1:13" x14ac:dyDescent="0.25">
      <c r="A1881">
        <v>1358</v>
      </c>
      <c r="B1881" t="s">
        <v>389</v>
      </c>
      <c r="C1881" t="s">
        <v>32</v>
      </c>
      <c r="D1881">
        <v>2015</v>
      </c>
      <c r="E1881">
        <v>4635</v>
      </c>
      <c r="F1881">
        <v>7000</v>
      </c>
      <c r="G1881">
        <v>40000</v>
      </c>
      <c r="H1881" t="s">
        <v>41</v>
      </c>
      <c r="I1881" t="s">
        <v>72</v>
      </c>
      <c r="J1881" t="s">
        <v>66</v>
      </c>
      <c r="K1881" t="s">
        <v>116</v>
      </c>
      <c r="L1881" t="s">
        <v>98</v>
      </c>
      <c r="M1881">
        <v>2</v>
      </c>
    </row>
    <row r="1882" spans="1:13" x14ac:dyDescent="0.25">
      <c r="A1882">
        <v>1434</v>
      </c>
      <c r="B1882" t="s">
        <v>918</v>
      </c>
      <c r="C1882" t="s">
        <v>164</v>
      </c>
      <c r="D1882">
        <v>2019</v>
      </c>
      <c r="E1882">
        <v>17071</v>
      </c>
      <c r="F1882">
        <v>22000</v>
      </c>
      <c r="G1882">
        <v>15000</v>
      </c>
      <c r="H1882" t="s">
        <v>34</v>
      </c>
      <c r="I1882" t="s">
        <v>35</v>
      </c>
      <c r="J1882" t="s">
        <v>66</v>
      </c>
      <c r="K1882" t="s">
        <v>73</v>
      </c>
      <c r="L1882" t="s">
        <v>38</v>
      </c>
    </row>
    <row r="1883" spans="1:13" x14ac:dyDescent="0.25">
      <c r="A1883">
        <v>1035</v>
      </c>
      <c r="B1883" t="s">
        <v>1429</v>
      </c>
      <c r="C1883" t="s">
        <v>164</v>
      </c>
      <c r="D1883">
        <v>2016</v>
      </c>
      <c r="E1883">
        <v>7385</v>
      </c>
      <c r="F1883" t="s">
        <v>81</v>
      </c>
      <c r="G1883">
        <v>25000</v>
      </c>
      <c r="H1883" t="s">
        <v>63</v>
      </c>
      <c r="J1883" t="s">
        <v>43</v>
      </c>
      <c r="K1883" t="s">
        <v>48</v>
      </c>
      <c r="L1883" t="s">
        <v>38</v>
      </c>
    </row>
    <row r="1884" spans="1:13" x14ac:dyDescent="0.25">
      <c r="A1884">
        <v>1163</v>
      </c>
      <c r="B1884" t="s">
        <v>1021</v>
      </c>
      <c r="C1884" t="s">
        <v>164</v>
      </c>
      <c r="D1884">
        <v>2022</v>
      </c>
      <c r="E1884">
        <v>25704</v>
      </c>
      <c r="F1884">
        <v>31000</v>
      </c>
      <c r="G1884" t="s">
        <v>121</v>
      </c>
      <c r="H1884" t="s">
        <v>84</v>
      </c>
      <c r="I1884" t="s">
        <v>72</v>
      </c>
      <c r="J1884" t="s">
        <v>66</v>
      </c>
      <c r="K1884" t="s">
        <v>54</v>
      </c>
      <c r="L1884" t="s">
        <v>109</v>
      </c>
      <c r="M1884">
        <v>3</v>
      </c>
    </row>
    <row r="1885" spans="1:13" x14ac:dyDescent="0.25">
      <c r="A1885">
        <v>1401</v>
      </c>
      <c r="B1885" t="s">
        <v>1033</v>
      </c>
      <c r="C1885" t="s">
        <v>57</v>
      </c>
      <c r="E1885">
        <v>2540</v>
      </c>
      <c r="F1885" t="s">
        <v>81</v>
      </c>
      <c r="G1885" t="s">
        <v>92</v>
      </c>
      <c r="H1885" t="s">
        <v>53</v>
      </c>
      <c r="I1885" t="s">
        <v>42</v>
      </c>
      <c r="M1885">
        <v>0</v>
      </c>
    </row>
    <row r="1886" spans="1:13" x14ac:dyDescent="0.25">
      <c r="A1886">
        <v>1183</v>
      </c>
      <c r="B1886" t="s">
        <v>497</v>
      </c>
      <c r="C1886" t="s">
        <v>133</v>
      </c>
      <c r="D1886">
        <v>2014</v>
      </c>
      <c r="E1886">
        <v>5357</v>
      </c>
      <c r="F1886">
        <v>7000</v>
      </c>
      <c r="G1886">
        <v>40000</v>
      </c>
      <c r="H1886" t="s">
        <v>58</v>
      </c>
      <c r="I1886" t="s">
        <v>35</v>
      </c>
      <c r="J1886" t="s">
        <v>66</v>
      </c>
      <c r="K1886" t="s">
        <v>100</v>
      </c>
      <c r="L1886" t="s">
        <v>126</v>
      </c>
      <c r="M1886">
        <v>0</v>
      </c>
    </row>
    <row r="1887" spans="1:13" x14ac:dyDescent="0.25">
      <c r="A1887">
        <v>1407</v>
      </c>
      <c r="B1887" t="s">
        <v>858</v>
      </c>
      <c r="C1887" t="s">
        <v>133</v>
      </c>
      <c r="D1887">
        <v>2019</v>
      </c>
      <c r="E1887">
        <v>14776</v>
      </c>
      <c r="F1887">
        <v>18000</v>
      </c>
      <c r="G1887" t="s">
        <v>130</v>
      </c>
      <c r="H1887" t="s">
        <v>84</v>
      </c>
      <c r="I1887" t="s">
        <v>35</v>
      </c>
      <c r="J1887" t="s">
        <v>96</v>
      </c>
      <c r="K1887" t="s">
        <v>48</v>
      </c>
      <c r="L1887" t="s">
        <v>98</v>
      </c>
      <c r="M1887">
        <v>1</v>
      </c>
    </row>
    <row r="1888" spans="1:13" x14ac:dyDescent="0.25">
      <c r="A1888">
        <v>1415</v>
      </c>
      <c r="B1888" t="s">
        <v>1101</v>
      </c>
      <c r="C1888" t="s">
        <v>138</v>
      </c>
      <c r="D1888">
        <v>2019</v>
      </c>
      <c r="E1888">
        <v>3088</v>
      </c>
      <c r="F1888">
        <v>7000</v>
      </c>
      <c r="G1888">
        <v>15000</v>
      </c>
      <c r="H1888" t="s">
        <v>58</v>
      </c>
      <c r="I1888" t="s">
        <v>35</v>
      </c>
      <c r="J1888" t="s">
        <v>66</v>
      </c>
      <c r="K1888" t="s">
        <v>48</v>
      </c>
      <c r="L1888" t="s">
        <v>126</v>
      </c>
      <c r="M1888">
        <v>3</v>
      </c>
    </row>
    <row r="1889" spans="1:13" x14ac:dyDescent="0.25">
      <c r="A1889">
        <v>1381</v>
      </c>
      <c r="B1889" t="s">
        <v>323</v>
      </c>
      <c r="C1889" t="s">
        <v>61</v>
      </c>
      <c r="D1889">
        <v>2018</v>
      </c>
      <c r="E1889">
        <v>13891</v>
      </c>
      <c r="F1889">
        <v>15000</v>
      </c>
      <c r="G1889">
        <v>25000</v>
      </c>
      <c r="H1889" t="s">
        <v>53</v>
      </c>
      <c r="I1889" t="s">
        <v>59</v>
      </c>
      <c r="K1889" t="s">
        <v>73</v>
      </c>
      <c r="L1889" t="s">
        <v>98</v>
      </c>
      <c r="M1889">
        <v>0</v>
      </c>
    </row>
    <row r="1890" spans="1:13" x14ac:dyDescent="0.25">
      <c r="A1890">
        <v>1234</v>
      </c>
      <c r="B1890" t="s">
        <v>981</v>
      </c>
      <c r="C1890" t="s">
        <v>75</v>
      </c>
      <c r="D1890">
        <v>2018</v>
      </c>
      <c r="E1890" t="s">
        <v>1430</v>
      </c>
      <c r="F1890">
        <v>22000</v>
      </c>
      <c r="G1890">
        <v>60000</v>
      </c>
      <c r="H1890" t="s">
        <v>63</v>
      </c>
      <c r="J1890" t="s">
        <v>36</v>
      </c>
      <c r="K1890" t="s">
        <v>116</v>
      </c>
      <c r="L1890" t="s">
        <v>126</v>
      </c>
      <c r="M1890">
        <v>0</v>
      </c>
    </row>
    <row r="1891" spans="1:13" x14ac:dyDescent="0.25">
      <c r="A1891">
        <v>1494</v>
      </c>
      <c r="B1891" t="s">
        <v>1177</v>
      </c>
      <c r="C1891" t="s">
        <v>79</v>
      </c>
      <c r="D1891">
        <v>2014</v>
      </c>
      <c r="E1891">
        <v>4459</v>
      </c>
      <c r="F1891" t="s">
        <v>81</v>
      </c>
      <c r="G1891" t="s">
        <v>121</v>
      </c>
      <c r="H1891" t="s">
        <v>84</v>
      </c>
      <c r="J1891" t="s">
        <v>66</v>
      </c>
      <c r="K1891" t="s">
        <v>73</v>
      </c>
      <c r="L1891" t="s">
        <v>49</v>
      </c>
    </row>
    <row r="1892" spans="1:13" x14ac:dyDescent="0.25">
      <c r="A1892">
        <v>1152</v>
      </c>
      <c r="B1892" t="s">
        <v>1085</v>
      </c>
      <c r="C1892" t="s">
        <v>164</v>
      </c>
      <c r="D1892">
        <v>2022</v>
      </c>
      <c r="E1892">
        <v>19049</v>
      </c>
      <c r="F1892">
        <v>22000</v>
      </c>
      <c r="G1892" t="s">
        <v>33</v>
      </c>
      <c r="H1892" t="s">
        <v>69</v>
      </c>
      <c r="J1892" t="s">
        <v>66</v>
      </c>
      <c r="K1892" t="s">
        <v>116</v>
      </c>
      <c r="L1892" t="s">
        <v>109</v>
      </c>
    </row>
    <row r="1893" spans="1:13" x14ac:dyDescent="0.25">
      <c r="A1893">
        <v>1330</v>
      </c>
      <c r="B1893" t="s">
        <v>1237</v>
      </c>
      <c r="C1893" t="s">
        <v>57</v>
      </c>
      <c r="E1893">
        <v>3613</v>
      </c>
      <c r="F1893" t="s">
        <v>81</v>
      </c>
      <c r="G1893">
        <v>40000</v>
      </c>
      <c r="I1893" t="s">
        <v>35</v>
      </c>
      <c r="J1893" t="s">
        <v>96</v>
      </c>
      <c r="K1893" t="s">
        <v>100</v>
      </c>
      <c r="L1893" t="s">
        <v>126</v>
      </c>
      <c r="M1893">
        <v>3</v>
      </c>
    </row>
    <row r="1894" spans="1:13" x14ac:dyDescent="0.25">
      <c r="A1894">
        <v>1187</v>
      </c>
      <c r="B1894" t="s">
        <v>923</v>
      </c>
      <c r="C1894" t="s">
        <v>61</v>
      </c>
      <c r="D1894">
        <v>2021</v>
      </c>
      <c r="E1894">
        <v>16094</v>
      </c>
      <c r="F1894">
        <v>18000</v>
      </c>
      <c r="G1894">
        <v>120000</v>
      </c>
      <c r="H1894" t="s">
        <v>34</v>
      </c>
      <c r="I1894" t="s">
        <v>42</v>
      </c>
      <c r="J1894" t="s">
        <v>43</v>
      </c>
      <c r="K1894" t="s">
        <v>100</v>
      </c>
      <c r="L1894" t="s">
        <v>109</v>
      </c>
    </row>
    <row r="1895" spans="1:13" x14ac:dyDescent="0.25">
      <c r="A1895">
        <v>1307</v>
      </c>
      <c r="B1895" t="s">
        <v>869</v>
      </c>
      <c r="C1895" t="s">
        <v>75</v>
      </c>
      <c r="D1895">
        <v>2022</v>
      </c>
      <c r="E1895">
        <v>13426</v>
      </c>
      <c r="F1895">
        <v>15000</v>
      </c>
      <c r="G1895">
        <v>120000</v>
      </c>
      <c r="I1895" t="s">
        <v>59</v>
      </c>
      <c r="J1895" t="s">
        <v>66</v>
      </c>
      <c r="K1895" t="s">
        <v>48</v>
      </c>
      <c r="L1895" t="s">
        <v>55</v>
      </c>
      <c r="M1895">
        <v>3</v>
      </c>
    </row>
    <row r="1896" spans="1:13" x14ac:dyDescent="0.25">
      <c r="A1896">
        <v>1202</v>
      </c>
      <c r="B1896" t="s">
        <v>718</v>
      </c>
      <c r="C1896" t="s">
        <v>57</v>
      </c>
      <c r="D1896">
        <v>2018</v>
      </c>
      <c r="E1896">
        <v>11796</v>
      </c>
      <c r="F1896">
        <v>18000</v>
      </c>
      <c r="G1896">
        <v>25000</v>
      </c>
      <c r="J1896" t="s">
        <v>43</v>
      </c>
      <c r="K1896" t="s">
        <v>100</v>
      </c>
      <c r="L1896" t="s">
        <v>98</v>
      </c>
      <c r="M1896">
        <v>2</v>
      </c>
    </row>
    <row r="1897" spans="1:13" x14ac:dyDescent="0.25">
      <c r="A1897">
        <v>1228</v>
      </c>
      <c r="B1897" t="s">
        <v>150</v>
      </c>
      <c r="C1897" t="s">
        <v>133</v>
      </c>
      <c r="D1897">
        <v>2015</v>
      </c>
      <c r="E1897">
        <v>15176</v>
      </c>
      <c r="F1897">
        <v>22000</v>
      </c>
      <c r="G1897">
        <v>60000</v>
      </c>
      <c r="H1897" t="s">
        <v>58</v>
      </c>
      <c r="K1897" t="s">
        <v>73</v>
      </c>
      <c r="L1897" t="s">
        <v>38</v>
      </c>
      <c r="M1897">
        <v>2</v>
      </c>
    </row>
    <row r="1898" spans="1:13" x14ac:dyDescent="0.25">
      <c r="A1898">
        <v>1595</v>
      </c>
      <c r="B1898" t="s">
        <v>1335</v>
      </c>
      <c r="C1898" t="s">
        <v>40</v>
      </c>
      <c r="D1898" t="s">
        <v>52</v>
      </c>
      <c r="E1898">
        <v>14600</v>
      </c>
      <c r="F1898">
        <v>18000</v>
      </c>
      <c r="G1898">
        <v>25000</v>
      </c>
      <c r="H1898" t="s">
        <v>41</v>
      </c>
      <c r="J1898" t="s">
        <v>96</v>
      </c>
      <c r="K1898" t="s">
        <v>73</v>
      </c>
      <c r="L1898" t="s">
        <v>49</v>
      </c>
      <c r="M1898">
        <v>3</v>
      </c>
    </row>
    <row r="1899" spans="1:13" x14ac:dyDescent="0.25">
      <c r="A1899">
        <v>1294</v>
      </c>
      <c r="B1899" t="s">
        <v>994</v>
      </c>
      <c r="C1899" t="s">
        <v>79</v>
      </c>
      <c r="D1899">
        <v>2021</v>
      </c>
      <c r="E1899">
        <v>10599</v>
      </c>
      <c r="F1899">
        <v>15000</v>
      </c>
      <c r="G1899">
        <v>60000</v>
      </c>
      <c r="H1899" t="s">
        <v>58</v>
      </c>
      <c r="I1899" t="s">
        <v>42</v>
      </c>
      <c r="J1899" t="s">
        <v>96</v>
      </c>
      <c r="K1899" t="s">
        <v>54</v>
      </c>
      <c r="L1899" t="s">
        <v>90</v>
      </c>
      <c r="M1899">
        <v>0</v>
      </c>
    </row>
    <row r="1900" spans="1:13" x14ac:dyDescent="0.25">
      <c r="A1900">
        <v>1274</v>
      </c>
      <c r="B1900" t="s">
        <v>1431</v>
      </c>
      <c r="C1900" t="s">
        <v>119</v>
      </c>
      <c r="D1900">
        <v>2020</v>
      </c>
      <c r="E1900">
        <v>9123</v>
      </c>
      <c r="F1900">
        <v>15000</v>
      </c>
      <c r="G1900" t="s">
        <v>76</v>
      </c>
      <c r="H1900" t="s">
        <v>84</v>
      </c>
      <c r="I1900" t="s">
        <v>72</v>
      </c>
      <c r="J1900" t="s">
        <v>66</v>
      </c>
      <c r="K1900" t="s">
        <v>116</v>
      </c>
      <c r="L1900" t="s">
        <v>38</v>
      </c>
      <c r="M1900">
        <v>0</v>
      </c>
    </row>
    <row r="1901" spans="1:13" x14ac:dyDescent="0.25">
      <c r="A1901">
        <v>1067</v>
      </c>
      <c r="B1901" t="s">
        <v>337</v>
      </c>
      <c r="C1901" t="s">
        <v>32</v>
      </c>
      <c r="D1901">
        <v>2021</v>
      </c>
      <c r="E1901">
        <v>7756</v>
      </c>
      <c r="F1901">
        <v>12000</v>
      </c>
      <c r="G1901">
        <v>25000</v>
      </c>
      <c r="H1901" t="s">
        <v>41</v>
      </c>
      <c r="I1901" t="s">
        <v>35</v>
      </c>
      <c r="J1901" t="s">
        <v>36</v>
      </c>
      <c r="L1901" t="s">
        <v>45</v>
      </c>
      <c r="M1901">
        <v>1</v>
      </c>
    </row>
    <row r="1902" spans="1:13" x14ac:dyDescent="0.25">
      <c r="A1902">
        <v>1459</v>
      </c>
      <c r="B1902" t="s">
        <v>555</v>
      </c>
      <c r="C1902" t="s">
        <v>119</v>
      </c>
      <c r="D1902">
        <v>2017</v>
      </c>
      <c r="E1902">
        <v>16679</v>
      </c>
      <c r="F1902">
        <v>22000</v>
      </c>
      <c r="G1902">
        <v>80000</v>
      </c>
      <c r="H1902" t="s">
        <v>53</v>
      </c>
      <c r="I1902" t="s">
        <v>72</v>
      </c>
      <c r="K1902" t="s">
        <v>48</v>
      </c>
      <c r="L1902" t="s">
        <v>98</v>
      </c>
      <c r="M1902">
        <v>3</v>
      </c>
    </row>
    <row r="1903" spans="1:13" x14ac:dyDescent="0.25">
      <c r="A1903">
        <v>1172</v>
      </c>
      <c r="B1903" t="s">
        <v>661</v>
      </c>
      <c r="C1903" t="s">
        <v>133</v>
      </c>
      <c r="D1903">
        <v>2015</v>
      </c>
      <c r="E1903" t="s">
        <v>1432</v>
      </c>
      <c r="F1903">
        <v>22000</v>
      </c>
      <c r="G1903" t="s">
        <v>33</v>
      </c>
      <c r="H1903" t="s">
        <v>69</v>
      </c>
      <c r="I1903" t="s">
        <v>59</v>
      </c>
      <c r="J1903" t="s">
        <v>66</v>
      </c>
      <c r="K1903" t="s">
        <v>48</v>
      </c>
      <c r="L1903" t="s">
        <v>109</v>
      </c>
      <c r="M1903">
        <v>0</v>
      </c>
    </row>
    <row r="1904" spans="1:13" x14ac:dyDescent="0.25">
      <c r="A1904">
        <v>1588</v>
      </c>
      <c r="B1904" t="s">
        <v>1002</v>
      </c>
      <c r="C1904" t="s">
        <v>68</v>
      </c>
      <c r="D1904">
        <v>2017</v>
      </c>
      <c r="E1904" t="s">
        <v>1433</v>
      </c>
      <c r="F1904">
        <v>12000</v>
      </c>
      <c r="G1904" t="s">
        <v>121</v>
      </c>
      <c r="H1904" t="s">
        <v>69</v>
      </c>
      <c r="I1904" t="s">
        <v>59</v>
      </c>
      <c r="J1904" t="s">
        <v>43</v>
      </c>
      <c r="K1904" t="s">
        <v>37</v>
      </c>
      <c r="L1904" t="s">
        <v>45</v>
      </c>
      <c r="M1904">
        <v>2</v>
      </c>
    </row>
    <row r="1905" spans="1:13" x14ac:dyDescent="0.25">
      <c r="A1905">
        <v>1325</v>
      </c>
      <c r="B1905" t="s">
        <v>456</v>
      </c>
      <c r="C1905" t="s">
        <v>164</v>
      </c>
      <c r="D1905">
        <v>2021</v>
      </c>
      <c r="E1905">
        <v>24220</v>
      </c>
      <c r="F1905">
        <v>31000</v>
      </c>
      <c r="G1905">
        <v>25000</v>
      </c>
      <c r="H1905" t="s">
        <v>69</v>
      </c>
      <c r="I1905" t="s">
        <v>42</v>
      </c>
      <c r="J1905" t="s">
        <v>66</v>
      </c>
      <c r="K1905" t="s">
        <v>37</v>
      </c>
      <c r="L1905" t="s">
        <v>98</v>
      </c>
    </row>
    <row r="1906" spans="1:13" x14ac:dyDescent="0.25">
      <c r="A1906">
        <v>1443</v>
      </c>
      <c r="B1906" t="s">
        <v>485</v>
      </c>
      <c r="C1906" t="s">
        <v>133</v>
      </c>
      <c r="E1906">
        <v>5222</v>
      </c>
      <c r="F1906">
        <v>12000</v>
      </c>
      <c r="G1906">
        <v>120000</v>
      </c>
      <c r="H1906" t="s">
        <v>53</v>
      </c>
      <c r="J1906" t="s">
        <v>66</v>
      </c>
      <c r="K1906" t="s">
        <v>54</v>
      </c>
      <c r="L1906" t="s">
        <v>38</v>
      </c>
    </row>
    <row r="1907" spans="1:13" x14ac:dyDescent="0.25">
      <c r="A1907">
        <v>1187</v>
      </c>
      <c r="B1907" t="s">
        <v>1434</v>
      </c>
      <c r="C1907" t="s">
        <v>94</v>
      </c>
      <c r="E1907">
        <v>3383</v>
      </c>
      <c r="F1907">
        <v>7000</v>
      </c>
      <c r="G1907" t="s">
        <v>130</v>
      </c>
      <c r="J1907" t="s">
        <v>66</v>
      </c>
      <c r="K1907" t="s">
        <v>44</v>
      </c>
      <c r="L1907" t="s">
        <v>55</v>
      </c>
      <c r="M1907">
        <v>1</v>
      </c>
    </row>
    <row r="1908" spans="1:13" x14ac:dyDescent="0.25">
      <c r="A1908">
        <v>1492</v>
      </c>
      <c r="B1908" t="s">
        <v>661</v>
      </c>
      <c r="C1908" t="s">
        <v>119</v>
      </c>
      <c r="D1908">
        <v>2022</v>
      </c>
      <c r="E1908">
        <v>5983</v>
      </c>
      <c r="F1908">
        <v>9000</v>
      </c>
      <c r="G1908">
        <v>25000</v>
      </c>
      <c r="H1908" t="s">
        <v>53</v>
      </c>
      <c r="I1908" t="s">
        <v>35</v>
      </c>
      <c r="J1908" t="s">
        <v>66</v>
      </c>
      <c r="K1908" t="s">
        <v>77</v>
      </c>
      <c r="L1908" t="s">
        <v>98</v>
      </c>
      <c r="M1908">
        <v>2</v>
      </c>
    </row>
    <row r="1909" spans="1:13" x14ac:dyDescent="0.25">
      <c r="A1909">
        <v>1022</v>
      </c>
      <c r="B1909" t="s">
        <v>1046</v>
      </c>
      <c r="C1909" t="s">
        <v>32</v>
      </c>
      <c r="D1909">
        <v>2016</v>
      </c>
      <c r="E1909">
        <v>7104</v>
      </c>
      <c r="F1909">
        <v>12000</v>
      </c>
      <c r="G1909" t="s">
        <v>130</v>
      </c>
      <c r="I1909" t="s">
        <v>42</v>
      </c>
      <c r="J1909" t="s">
        <v>36</v>
      </c>
      <c r="K1909" t="s">
        <v>77</v>
      </c>
      <c r="L1909" t="s">
        <v>38</v>
      </c>
      <c r="M1909">
        <v>2</v>
      </c>
    </row>
    <row r="1910" spans="1:13" x14ac:dyDescent="0.25">
      <c r="A1910">
        <v>1254</v>
      </c>
      <c r="B1910" t="s">
        <v>74</v>
      </c>
      <c r="C1910" t="s">
        <v>68</v>
      </c>
      <c r="D1910">
        <v>2019</v>
      </c>
      <c r="E1910">
        <v>7606</v>
      </c>
      <c r="F1910">
        <v>9000</v>
      </c>
      <c r="G1910">
        <v>60000</v>
      </c>
      <c r="I1910" t="s">
        <v>35</v>
      </c>
      <c r="J1910" t="s">
        <v>96</v>
      </c>
      <c r="K1910" t="s">
        <v>44</v>
      </c>
      <c r="L1910" t="s">
        <v>109</v>
      </c>
    </row>
    <row r="1911" spans="1:13" x14ac:dyDescent="0.25">
      <c r="A1911">
        <v>1279</v>
      </c>
      <c r="B1911" t="s">
        <v>306</v>
      </c>
      <c r="C1911" t="s">
        <v>133</v>
      </c>
      <c r="D1911">
        <v>2014</v>
      </c>
      <c r="E1911" t="s">
        <v>1435</v>
      </c>
      <c r="F1911">
        <v>18000</v>
      </c>
      <c r="G1911">
        <v>120000</v>
      </c>
      <c r="H1911" t="s">
        <v>69</v>
      </c>
      <c r="I1911" t="s">
        <v>72</v>
      </c>
      <c r="J1911" t="s">
        <v>43</v>
      </c>
      <c r="K1911" t="s">
        <v>54</v>
      </c>
      <c r="L1911" t="s">
        <v>49</v>
      </c>
      <c r="M1911">
        <v>0</v>
      </c>
    </row>
    <row r="1912" spans="1:13" x14ac:dyDescent="0.25">
      <c r="A1912">
        <v>1238</v>
      </c>
      <c r="B1912" t="s">
        <v>358</v>
      </c>
      <c r="C1912" t="s">
        <v>57</v>
      </c>
      <c r="D1912">
        <v>2019</v>
      </c>
      <c r="E1912">
        <v>19922</v>
      </c>
      <c r="F1912">
        <v>22000</v>
      </c>
      <c r="G1912">
        <v>15000</v>
      </c>
      <c r="H1912" t="s">
        <v>84</v>
      </c>
      <c r="J1912" t="s">
        <v>36</v>
      </c>
      <c r="K1912" t="s">
        <v>77</v>
      </c>
      <c r="L1912" t="s">
        <v>109</v>
      </c>
      <c r="M1912">
        <v>0</v>
      </c>
    </row>
    <row r="1913" spans="1:13" x14ac:dyDescent="0.25">
      <c r="A1913">
        <v>1481</v>
      </c>
      <c r="B1913" t="s">
        <v>1436</v>
      </c>
      <c r="C1913" t="s">
        <v>79</v>
      </c>
      <c r="D1913">
        <v>2017</v>
      </c>
      <c r="E1913" t="s">
        <v>1437</v>
      </c>
      <c r="F1913">
        <v>18000</v>
      </c>
      <c r="G1913">
        <v>80000</v>
      </c>
      <c r="H1913" t="s">
        <v>63</v>
      </c>
      <c r="I1913" t="s">
        <v>72</v>
      </c>
      <c r="J1913" t="s">
        <v>43</v>
      </c>
      <c r="K1913" t="s">
        <v>37</v>
      </c>
      <c r="L1913" t="s">
        <v>98</v>
      </c>
      <c r="M1913">
        <v>3</v>
      </c>
    </row>
    <row r="1914" spans="1:13" x14ac:dyDescent="0.25">
      <c r="A1914">
        <v>1017</v>
      </c>
      <c r="B1914" t="s">
        <v>318</v>
      </c>
      <c r="C1914" t="s">
        <v>119</v>
      </c>
      <c r="D1914">
        <v>2016</v>
      </c>
      <c r="E1914">
        <v>7645</v>
      </c>
      <c r="F1914">
        <v>12000</v>
      </c>
      <c r="G1914">
        <v>40000</v>
      </c>
      <c r="H1914" t="s">
        <v>58</v>
      </c>
      <c r="I1914" t="s">
        <v>35</v>
      </c>
      <c r="K1914" t="s">
        <v>44</v>
      </c>
      <c r="L1914" t="s">
        <v>98</v>
      </c>
      <c r="M1914">
        <v>1</v>
      </c>
    </row>
    <row r="1915" spans="1:13" x14ac:dyDescent="0.25">
      <c r="A1915">
        <v>1074</v>
      </c>
      <c r="B1915" t="s">
        <v>950</v>
      </c>
      <c r="C1915" t="s">
        <v>61</v>
      </c>
      <c r="D1915">
        <v>2016</v>
      </c>
      <c r="E1915">
        <v>2247</v>
      </c>
      <c r="F1915">
        <v>7000</v>
      </c>
      <c r="G1915" t="s">
        <v>76</v>
      </c>
      <c r="H1915" t="s">
        <v>34</v>
      </c>
      <c r="J1915" t="s">
        <v>96</v>
      </c>
      <c r="K1915" t="s">
        <v>48</v>
      </c>
      <c r="L1915" t="s">
        <v>55</v>
      </c>
      <c r="M1915">
        <v>3</v>
      </c>
    </row>
    <row r="1916" spans="1:13" x14ac:dyDescent="0.25">
      <c r="A1916">
        <v>1024</v>
      </c>
      <c r="B1916" t="s">
        <v>749</v>
      </c>
      <c r="C1916" t="s">
        <v>75</v>
      </c>
      <c r="D1916">
        <v>2018</v>
      </c>
      <c r="E1916">
        <v>12233</v>
      </c>
      <c r="F1916">
        <v>15000</v>
      </c>
      <c r="G1916">
        <v>120000</v>
      </c>
      <c r="H1916" t="s">
        <v>41</v>
      </c>
      <c r="I1916" t="s">
        <v>35</v>
      </c>
      <c r="J1916" t="s">
        <v>36</v>
      </c>
      <c r="K1916" t="s">
        <v>37</v>
      </c>
      <c r="L1916" t="s">
        <v>45</v>
      </c>
      <c r="M1916">
        <v>3</v>
      </c>
    </row>
    <row r="1917" spans="1:13" x14ac:dyDescent="0.25">
      <c r="A1917">
        <v>1525</v>
      </c>
      <c r="B1917" t="s">
        <v>861</v>
      </c>
      <c r="C1917" t="s">
        <v>32</v>
      </c>
      <c r="D1917">
        <v>2014</v>
      </c>
      <c r="E1917">
        <v>12782</v>
      </c>
      <c r="F1917">
        <v>15000</v>
      </c>
      <c r="G1917">
        <v>80000</v>
      </c>
      <c r="H1917" t="s">
        <v>53</v>
      </c>
      <c r="I1917" t="s">
        <v>35</v>
      </c>
      <c r="J1917" t="s">
        <v>96</v>
      </c>
      <c r="K1917" t="s">
        <v>48</v>
      </c>
      <c r="L1917" t="s">
        <v>49</v>
      </c>
      <c r="M1917">
        <v>3</v>
      </c>
    </row>
    <row r="1918" spans="1:13" x14ac:dyDescent="0.25">
      <c r="A1918">
        <v>1548</v>
      </c>
      <c r="B1918" t="s">
        <v>1363</v>
      </c>
      <c r="C1918" t="s">
        <v>119</v>
      </c>
      <c r="D1918">
        <v>2022</v>
      </c>
      <c r="E1918">
        <v>3837</v>
      </c>
      <c r="F1918" t="s">
        <v>81</v>
      </c>
      <c r="G1918">
        <v>60000</v>
      </c>
      <c r="H1918" t="s">
        <v>63</v>
      </c>
      <c r="I1918" t="s">
        <v>59</v>
      </c>
      <c r="K1918" t="s">
        <v>73</v>
      </c>
      <c r="L1918" t="s">
        <v>109</v>
      </c>
      <c r="M1918">
        <v>0</v>
      </c>
    </row>
    <row r="1919" spans="1:13" x14ac:dyDescent="0.25">
      <c r="A1919">
        <v>1389</v>
      </c>
      <c r="B1919" t="s">
        <v>1438</v>
      </c>
      <c r="C1919" t="s">
        <v>94</v>
      </c>
      <c r="D1919">
        <v>2019</v>
      </c>
      <c r="E1919">
        <v>20607</v>
      </c>
      <c r="F1919">
        <v>26000</v>
      </c>
      <c r="G1919" t="s">
        <v>121</v>
      </c>
      <c r="H1919" t="s">
        <v>58</v>
      </c>
      <c r="I1919" t="s">
        <v>59</v>
      </c>
      <c r="J1919" t="s">
        <v>66</v>
      </c>
      <c r="K1919" t="s">
        <v>73</v>
      </c>
      <c r="M1919">
        <v>0</v>
      </c>
    </row>
    <row r="1920" spans="1:13" x14ac:dyDescent="0.25">
      <c r="A1920">
        <v>1215</v>
      </c>
      <c r="B1920" t="s">
        <v>1439</v>
      </c>
      <c r="C1920" t="s">
        <v>51</v>
      </c>
      <c r="D1920">
        <v>2021</v>
      </c>
      <c r="E1920">
        <v>9418</v>
      </c>
      <c r="F1920">
        <v>12000</v>
      </c>
      <c r="G1920">
        <v>120000</v>
      </c>
      <c r="H1920" t="s">
        <v>53</v>
      </c>
      <c r="I1920" t="s">
        <v>35</v>
      </c>
      <c r="K1920" t="s">
        <v>77</v>
      </c>
      <c r="L1920" t="s">
        <v>126</v>
      </c>
      <c r="M1920">
        <v>3</v>
      </c>
    </row>
    <row r="1921" spans="1:13" x14ac:dyDescent="0.25">
      <c r="A1921">
        <v>1354</v>
      </c>
      <c r="B1921" t="s">
        <v>1064</v>
      </c>
      <c r="C1921" t="s">
        <v>138</v>
      </c>
      <c r="D1921">
        <v>2022</v>
      </c>
      <c r="E1921">
        <v>15745</v>
      </c>
      <c r="F1921">
        <v>22000</v>
      </c>
      <c r="G1921" t="s">
        <v>76</v>
      </c>
      <c r="I1921" t="s">
        <v>35</v>
      </c>
      <c r="J1921" t="s">
        <v>96</v>
      </c>
      <c r="K1921" t="s">
        <v>48</v>
      </c>
      <c r="L1921" t="s">
        <v>55</v>
      </c>
      <c r="M1921">
        <v>2</v>
      </c>
    </row>
    <row r="1922" spans="1:13" x14ac:dyDescent="0.25">
      <c r="A1922">
        <v>1460</v>
      </c>
      <c r="B1922" t="s">
        <v>893</v>
      </c>
      <c r="C1922" t="s">
        <v>68</v>
      </c>
      <c r="D1922">
        <v>2020</v>
      </c>
      <c r="E1922">
        <v>20781</v>
      </c>
      <c r="F1922">
        <v>26000</v>
      </c>
      <c r="G1922">
        <v>80000</v>
      </c>
      <c r="I1922" t="s">
        <v>35</v>
      </c>
      <c r="J1922" t="s">
        <v>36</v>
      </c>
      <c r="K1922" t="s">
        <v>48</v>
      </c>
      <c r="L1922" t="s">
        <v>45</v>
      </c>
      <c r="M1922">
        <v>2</v>
      </c>
    </row>
    <row r="1923" spans="1:13" x14ac:dyDescent="0.25">
      <c r="A1923">
        <v>1411</v>
      </c>
      <c r="B1923" t="s">
        <v>1440</v>
      </c>
      <c r="C1923" t="s">
        <v>103</v>
      </c>
      <c r="D1923">
        <v>2014</v>
      </c>
      <c r="E1923">
        <v>16023</v>
      </c>
      <c r="F1923">
        <v>22000</v>
      </c>
      <c r="G1923">
        <v>120000</v>
      </c>
      <c r="H1923" t="s">
        <v>84</v>
      </c>
      <c r="J1923" t="s">
        <v>36</v>
      </c>
      <c r="K1923" t="s">
        <v>116</v>
      </c>
      <c r="L1923" t="s">
        <v>38</v>
      </c>
    </row>
    <row r="1924" spans="1:13" x14ac:dyDescent="0.25">
      <c r="A1924">
        <v>1354</v>
      </c>
      <c r="B1924" t="s">
        <v>466</v>
      </c>
      <c r="C1924" t="s">
        <v>164</v>
      </c>
      <c r="D1924">
        <v>2014</v>
      </c>
      <c r="E1924">
        <v>3137</v>
      </c>
      <c r="F1924">
        <v>7000</v>
      </c>
      <c r="G1924" t="s">
        <v>33</v>
      </c>
      <c r="I1924" t="s">
        <v>59</v>
      </c>
      <c r="J1924" t="s">
        <v>43</v>
      </c>
      <c r="K1924" t="s">
        <v>77</v>
      </c>
      <c r="L1924" t="s">
        <v>126</v>
      </c>
      <c r="M1924">
        <v>1</v>
      </c>
    </row>
    <row r="1925" spans="1:13" x14ac:dyDescent="0.25">
      <c r="A1925">
        <v>1110</v>
      </c>
      <c r="B1925" t="s">
        <v>1066</v>
      </c>
      <c r="C1925" t="s">
        <v>32</v>
      </c>
      <c r="D1925">
        <v>2020</v>
      </c>
      <c r="E1925">
        <v>25436</v>
      </c>
      <c r="F1925">
        <v>31000</v>
      </c>
      <c r="G1925">
        <v>120000</v>
      </c>
      <c r="H1925" t="s">
        <v>63</v>
      </c>
      <c r="I1925" t="s">
        <v>72</v>
      </c>
      <c r="K1925" t="s">
        <v>116</v>
      </c>
      <c r="L1925" t="s">
        <v>90</v>
      </c>
      <c r="M1925">
        <v>0</v>
      </c>
    </row>
    <row r="1926" spans="1:13" x14ac:dyDescent="0.25">
      <c r="A1926">
        <v>1383</v>
      </c>
      <c r="B1926" t="s">
        <v>452</v>
      </c>
      <c r="C1926" t="s">
        <v>32</v>
      </c>
      <c r="D1926">
        <v>2016</v>
      </c>
      <c r="E1926">
        <v>16529</v>
      </c>
      <c r="F1926">
        <v>18000</v>
      </c>
      <c r="G1926">
        <v>120000</v>
      </c>
      <c r="H1926" t="s">
        <v>41</v>
      </c>
      <c r="I1926" t="s">
        <v>72</v>
      </c>
      <c r="J1926" t="s">
        <v>96</v>
      </c>
      <c r="K1926" t="s">
        <v>73</v>
      </c>
      <c r="M1926">
        <v>0</v>
      </c>
    </row>
    <row r="1927" spans="1:13" x14ac:dyDescent="0.25">
      <c r="A1927">
        <v>1242</v>
      </c>
      <c r="B1927" t="s">
        <v>1439</v>
      </c>
      <c r="C1927" t="s">
        <v>47</v>
      </c>
      <c r="E1927">
        <v>24831</v>
      </c>
      <c r="F1927">
        <v>31000</v>
      </c>
      <c r="G1927">
        <v>60000</v>
      </c>
      <c r="H1927" t="s">
        <v>84</v>
      </c>
      <c r="I1927" t="s">
        <v>59</v>
      </c>
      <c r="J1927" t="s">
        <v>66</v>
      </c>
      <c r="K1927" t="s">
        <v>73</v>
      </c>
      <c r="L1927" t="s">
        <v>38</v>
      </c>
      <c r="M1927">
        <v>2</v>
      </c>
    </row>
    <row r="1928" spans="1:13" x14ac:dyDescent="0.25">
      <c r="A1928">
        <v>1030</v>
      </c>
      <c r="B1928" t="s">
        <v>1441</v>
      </c>
      <c r="C1928" t="s">
        <v>119</v>
      </c>
      <c r="D1928">
        <v>2022</v>
      </c>
      <c r="E1928">
        <v>13514</v>
      </c>
      <c r="F1928">
        <v>15000</v>
      </c>
      <c r="G1928">
        <v>120000</v>
      </c>
      <c r="H1928" t="s">
        <v>69</v>
      </c>
      <c r="J1928" t="s">
        <v>66</v>
      </c>
      <c r="K1928" t="s">
        <v>73</v>
      </c>
      <c r="L1928" t="s">
        <v>55</v>
      </c>
      <c r="M1928">
        <v>2</v>
      </c>
    </row>
    <row r="1929" spans="1:13" x14ac:dyDescent="0.25">
      <c r="A1929">
        <v>1396</v>
      </c>
      <c r="B1929" t="s">
        <v>1442</v>
      </c>
      <c r="C1929" t="s">
        <v>32</v>
      </c>
      <c r="D1929">
        <v>2021</v>
      </c>
      <c r="E1929" t="s">
        <v>1443</v>
      </c>
      <c r="F1929">
        <v>26000</v>
      </c>
      <c r="G1929">
        <v>40000</v>
      </c>
      <c r="H1929" t="s">
        <v>63</v>
      </c>
      <c r="I1929" t="s">
        <v>35</v>
      </c>
      <c r="K1929" t="s">
        <v>48</v>
      </c>
      <c r="L1929" t="s">
        <v>90</v>
      </c>
      <c r="M1929">
        <v>1</v>
      </c>
    </row>
    <row r="1930" spans="1:13" x14ac:dyDescent="0.25">
      <c r="A1930">
        <v>1057</v>
      </c>
      <c r="B1930" t="s">
        <v>637</v>
      </c>
      <c r="C1930" t="s">
        <v>61</v>
      </c>
      <c r="D1930">
        <v>2016</v>
      </c>
      <c r="E1930" t="s">
        <v>1444</v>
      </c>
      <c r="F1930" t="s">
        <v>87</v>
      </c>
      <c r="G1930" t="s">
        <v>130</v>
      </c>
      <c r="H1930" t="s">
        <v>53</v>
      </c>
      <c r="I1930" t="s">
        <v>72</v>
      </c>
      <c r="J1930" t="s">
        <v>36</v>
      </c>
      <c r="K1930" t="s">
        <v>44</v>
      </c>
      <c r="L1930" t="s">
        <v>98</v>
      </c>
      <c r="M1930">
        <v>3</v>
      </c>
    </row>
    <row r="1931" spans="1:13" x14ac:dyDescent="0.25">
      <c r="A1931">
        <v>1531</v>
      </c>
      <c r="B1931" t="s">
        <v>704</v>
      </c>
      <c r="C1931" t="s">
        <v>138</v>
      </c>
      <c r="D1931">
        <v>2015</v>
      </c>
      <c r="E1931">
        <v>10355</v>
      </c>
      <c r="F1931" t="s">
        <v>204</v>
      </c>
      <c r="G1931">
        <v>40000</v>
      </c>
      <c r="H1931" t="s">
        <v>58</v>
      </c>
      <c r="J1931" t="s">
        <v>36</v>
      </c>
      <c r="K1931" t="s">
        <v>44</v>
      </c>
      <c r="L1931" t="s">
        <v>49</v>
      </c>
      <c r="M1931">
        <v>3</v>
      </c>
    </row>
    <row r="1932" spans="1:13" x14ac:dyDescent="0.25">
      <c r="A1932">
        <v>1184</v>
      </c>
      <c r="B1932" t="s">
        <v>1445</v>
      </c>
      <c r="C1932" t="s">
        <v>94</v>
      </c>
      <c r="D1932">
        <v>2020</v>
      </c>
      <c r="E1932">
        <v>1558</v>
      </c>
      <c r="F1932" t="s">
        <v>147</v>
      </c>
      <c r="G1932">
        <v>120000</v>
      </c>
      <c r="H1932" t="s">
        <v>69</v>
      </c>
      <c r="I1932" t="s">
        <v>72</v>
      </c>
      <c r="J1932" t="s">
        <v>43</v>
      </c>
      <c r="K1932" t="s">
        <v>73</v>
      </c>
      <c r="M1932">
        <v>3</v>
      </c>
    </row>
    <row r="1933" spans="1:13" x14ac:dyDescent="0.25">
      <c r="A1933">
        <v>1400</v>
      </c>
      <c r="B1933" t="s">
        <v>1060</v>
      </c>
      <c r="C1933" t="s">
        <v>47</v>
      </c>
      <c r="D1933">
        <v>2020</v>
      </c>
      <c r="E1933">
        <v>6849</v>
      </c>
      <c r="F1933">
        <v>9000</v>
      </c>
      <c r="G1933">
        <v>40000</v>
      </c>
      <c r="H1933" t="s">
        <v>69</v>
      </c>
      <c r="I1933" t="s">
        <v>72</v>
      </c>
      <c r="J1933" t="s">
        <v>96</v>
      </c>
      <c r="K1933" t="s">
        <v>100</v>
      </c>
      <c r="L1933" t="s">
        <v>126</v>
      </c>
      <c r="M1933">
        <v>1</v>
      </c>
    </row>
    <row r="1934" spans="1:13" x14ac:dyDescent="0.25">
      <c r="A1934">
        <v>1402</v>
      </c>
      <c r="B1934" t="s">
        <v>1446</v>
      </c>
      <c r="C1934" t="s">
        <v>57</v>
      </c>
      <c r="D1934">
        <v>2018</v>
      </c>
      <c r="E1934" t="s">
        <v>1447</v>
      </c>
      <c r="F1934" t="s">
        <v>204</v>
      </c>
      <c r="G1934">
        <v>40000</v>
      </c>
      <c r="H1934" t="s">
        <v>53</v>
      </c>
      <c r="I1934" t="s">
        <v>59</v>
      </c>
      <c r="J1934" t="s">
        <v>36</v>
      </c>
      <c r="K1934" t="s">
        <v>54</v>
      </c>
      <c r="L1934" t="s">
        <v>109</v>
      </c>
      <c r="M1934">
        <v>0</v>
      </c>
    </row>
    <row r="1935" spans="1:13" x14ac:dyDescent="0.25">
      <c r="A1935">
        <v>1389</v>
      </c>
      <c r="B1935" t="s">
        <v>1448</v>
      </c>
      <c r="C1935" t="s">
        <v>119</v>
      </c>
      <c r="D1935">
        <v>2015</v>
      </c>
      <c r="E1935">
        <v>7742</v>
      </c>
      <c r="F1935">
        <v>9000</v>
      </c>
      <c r="G1935">
        <v>80000</v>
      </c>
      <c r="H1935" t="s">
        <v>69</v>
      </c>
      <c r="I1935" t="s">
        <v>35</v>
      </c>
      <c r="K1935" t="s">
        <v>77</v>
      </c>
      <c r="L1935" t="s">
        <v>98</v>
      </c>
      <c r="M1935">
        <v>0</v>
      </c>
    </row>
    <row r="1936" spans="1:13" x14ac:dyDescent="0.25">
      <c r="A1936">
        <v>1513</v>
      </c>
      <c r="B1936" t="s">
        <v>1026</v>
      </c>
      <c r="C1936" t="s">
        <v>94</v>
      </c>
      <c r="D1936">
        <v>2015</v>
      </c>
      <c r="E1936">
        <v>2280</v>
      </c>
      <c r="F1936">
        <v>7000</v>
      </c>
      <c r="G1936">
        <v>40000</v>
      </c>
      <c r="H1936" t="s">
        <v>58</v>
      </c>
      <c r="I1936" t="s">
        <v>72</v>
      </c>
      <c r="J1936" t="s">
        <v>43</v>
      </c>
      <c r="K1936" t="s">
        <v>100</v>
      </c>
      <c r="L1936" t="s">
        <v>45</v>
      </c>
      <c r="M1936">
        <v>3</v>
      </c>
    </row>
    <row r="1937" spans="1:13" x14ac:dyDescent="0.25">
      <c r="A1937">
        <v>1225</v>
      </c>
      <c r="B1937" t="s">
        <v>226</v>
      </c>
      <c r="C1937" t="s">
        <v>103</v>
      </c>
      <c r="D1937">
        <v>2022</v>
      </c>
      <c r="E1937">
        <v>13481</v>
      </c>
      <c r="F1937">
        <v>15000</v>
      </c>
      <c r="G1937" t="s">
        <v>130</v>
      </c>
      <c r="H1937" t="s">
        <v>84</v>
      </c>
      <c r="J1937" t="s">
        <v>36</v>
      </c>
      <c r="K1937" t="s">
        <v>37</v>
      </c>
      <c r="M1937">
        <v>0</v>
      </c>
    </row>
    <row r="1938" spans="1:13" x14ac:dyDescent="0.25">
      <c r="A1938">
        <v>1160</v>
      </c>
      <c r="B1938" t="s">
        <v>839</v>
      </c>
      <c r="C1938" t="s">
        <v>51</v>
      </c>
      <c r="D1938">
        <v>2014</v>
      </c>
      <c r="E1938">
        <v>15287</v>
      </c>
      <c r="F1938" t="s">
        <v>115</v>
      </c>
      <c r="G1938">
        <v>15000</v>
      </c>
      <c r="H1938" t="s">
        <v>41</v>
      </c>
      <c r="I1938" t="s">
        <v>72</v>
      </c>
      <c r="J1938" t="s">
        <v>96</v>
      </c>
      <c r="K1938" t="s">
        <v>116</v>
      </c>
      <c r="L1938" t="s">
        <v>126</v>
      </c>
    </row>
    <row r="1939" spans="1:13" x14ac:dyDescent="0.25">
      <c r="A1939">
        <v>1395</v>
      </c>
      <c r="B1939" t="s">
        <v>866</v>
      </c>
      <c r="C1939" t="s">
        <v>79</v>
      </c>
      <c r="D1939">
        <v>2020</v>
      </c>
      <c r="E1939">
        <v>3749</v>
      </c>
      <c r="F1939">
        <v>7000</v>
      </c>
      <c r="G1939">
        <v>80000</v>
      </c>
      <c r="J1939" t="s">
        <v>66</v>
      </c>
      <c r="K1939" t="s">
        <v>37</v>
      </c>
      <c r="L1939" t="s">
        <v>126</v>
      </c>
      <c r="M1939">
        <v>1</v>
      </c>
    </row>
    <row r="1940" spans="1:13" x14ac:dyDescent="0.25">
      <c r="A1940">
        <v>1485</v>
      </c>
      <c r="B1940" t="s">
        <v>154</v>
      </c>
      <c r="C1940" t="s">
        <v>32</v>
      </c>
      <c r="D1940">
        <v>2018</v>
      </c>
      <c r="E1940" t="s">
        <v>1449</v>
      </c>
      <c r="F1940">
        <v>22000</v>
      </c>
      <c r="G1940">
        <v>60000</v>
      </c>
      <c r="J1940" t="s">
        <v>96</v>
      </c>
      <c r="K1940" t="s">
        <v>73</v>
      </c>
      <c r="L1940" t="s">
        <v>55</v>
      </c>
      <c r="M1940">
        <v>2</v>
      </c>
    </row>
    <row r="1941" spans="1:13" x14ac:dyDescent="0.25">
      <c r="A1941">
        <v>1594</v>
      </c>
      <c r="B1941" t="s">
        <v>479</v>
      </c>
      <c r="C1941" t="s">
        <v>40</v>
      </c>
      <c r="D1941">
        <v>2017</v>
      </c>
      <c r="E1941">
        <v>11825</v>
      </c>
      <c r="F1941">
        <v>15000</v>
      </c>
      <c r="G1941">
        <v>60000</v>
      </c>
      <c r="H1941" t="s">
        <v>53</v>
      </c>
      <c r="I1941" t="s">
        <v>42</v>
      </c>
      <c r="K1941" t="s">
        <v>37</v>
      </c>
      <c r="L1941" t="s">
        <v>38</v>
      </c>
      <c r="M1941">
        <v>3</v>
      </c>
    </row>
    <row r="1942" spans="1:13" x14ac:dyDescent="0.25">
      <c r="A1942">
        <v>1072</v>
      </c>
      <c r="B1942" t="s">
        <v>1450</v>
      </c>
      <c r="C1942" t="s">
        <v>51</v>
      </c>
      <c r="D1942">
        <v>2015</v>
      </c>
      <c r="E1942" t="s">
        <v>1451</v>
      </c>
      <c r="F1942">
        <v>12000</v>
      </c>
      <c r="G1942" t="s">
        <v>108</v>
      </c>
      <c r="H1942" t="s">
        <v>34</v>
      </c>
      <c r="I1942" t="s">
        <v>59</v>
      </c>
      <c r="J1942" t="s">
        <v>96</v>
      </c>
      <c r="K1942" t="s">
        <v>77</v>
      </c>
      <c r="L1942" t="s">
        <v>49</v>
      </c>
    </row>
    <row r="1943" spans="1:13" x14ac:dyDescent="0.25">
      <c r="A1943">
        <v>1037</v>
      </c>
      <c r="B1943" t="s">
        <v>1272</v>
      </c>
      <c r="C1943" t="s">
        <v>68</v>
      </c>
      <c r="D1943">
        <v>2019</v>
      </c>
      <c r="E1943" t="s">
        <v>1452</v>
      </c>
      <c r="F1943">
        <v>31000</v>
      </c>
      <c r="G1943">
        <v>60000</v>
      </c>
      <c r="H1943" t="s">
        <v>63</v>
      </c>
      <c r="I1943" t="s">
        <v>72</v>
      </c>
      <c r="J1943" t="s">
        <v>43</v>
      </c>
      <c r="K1943" t="s">
        <v>37</v>
      </c>
      <c r="L1943" t="s">
        <v>90</v>
      </c>
      <c r="M1943">
        <v>2</v>
      </c>
    </row>
    <row r="1944" spans="1:13" x14ac:dyDescent="0.25">
      <c r="A1944">
        <v>1062</v>
      </c>
      <c r="B1944" t="s">
        <v>175</v>
      </c>
      <c r="C1944" t="s">
        <v>119</v>
      </c>
      <c r="D1944">
        <v>2020</v>
      </c>
      <c r="E1944">
        <v>3636</v>
      </c>
      <c r="F1944">
        <v>7000</v>
      </c>
      <c r="G1944">
        <v>60000</v>
      </c>
      <c r="J1944" t="s">
        <v>96</v>
      </c>
      <c r="L1944" t="s">
        <v>98</v>
      </c>
    </row>
    <row r="1945" spans="1:13" x14ac:dyDescent="0.25">
      <c r="A1945">
        <v>1012</v>
      </c>
      <c r="B1945" t="s">
        <v>774</v>
      </c>
      <c r="C1945" t="s">
        <v>65</v>
      </c>
      <c r="D1945">
        <v>2022</v>
      </c>
      <c r="E1945">
        <v>16432</v>
      </c>
      <c r="F1945">
        <v>18000</v>
      </c>
      <c r="G1945">
        <v>80000</v>
      </c>
      <c r="H1945" t="s">
        <v>41</v>
      </c>
      <c r="I1945" t="s">
        <v>35</v>
      </c>
      <c r="J1945" t="s">
        <v>43</v>
      </c>
      <c r="K1945" t="s">
        <v>116</v>
      </c>
      <c r="L1945" t="s">
        <v>126</v>
      </c>
      <c r="M1945">
        <v>0</v>
      </c>
    </row>
    <row r="1946" spans="1:13" x14ac:dyDescent="0.25">
      <c r="A1946">
        <v>1587</v>
      </c>
      <c r="B1946" t="s">
        <v>744</v>
      </c>
      <c r="C1946" t="s">
        <v>138</v>
      </c>
      <c r="D1946">
        <v>2021</v>
      </c>
      <c r="E1946">
        <v>10064</v>
      </c>
      <c r="F1946">
        <v>15000</v>
      </c>
      <c r="G1946">
        <v>120000</v>
      </c>
      <c r="H1946" t="s">
        <v>41</v>
      </c>
      <c r="I1946" t="s">
        <v>59</v>
      </c>
      <c r="K1946" t="s">
        <v>37</v>
      </c>
      <c r="L1946" t="s">
        <v>49</v>
      </c>
      <c r="M1946">
        <v>0</v>
      </c>
    </row>
    <row r="1947" spans="1:13" x14ac:dyDescent="0.25">
      <c r="A1947">
        <v>1024</v>
      </c>
      <c r="B1947" t="s">
        <v>461</v>
      </c>
      <c r="C1947" t="s">
        <v>138</v>
      </c>
      <c r="D1947">
        <v>2015</v>
      </c>
      <c r="E1947" t="s">
        <v>1453</v>
      </c>
      <c r="F1947" t="s">
        <v>83</v>
      </c>
      <c r="G1947">
        <v>15000</v>
      </c>
      <c r="H1947" t="s">
        <v>84</v>
      </c>
      <c r="I1947" t="s">
        <v>72</v>
      </c>
      <c r="J1947" t="s">
        <v>96</v>
      </c>
      <c r="K1947" t="s">
        <v>48</v>
      </c>
      <c r="L1947" t="s">
        <v>55</v>
      </c>
      <c r="M1947">
        <v>2</v>
      </c>
    </row>
    <row r="1948" spans="1:13" x14ac:dyDescent="0.25">
      <c r="A1948">
        <v>1310</v>
      </c>
      <c r="B1948" t="s">
        <v>457</v>
      </c>
      <c r="C1948" t="s">
        <v>119</v>
      </c>
      <c r="D1948">
        <v>2017</v>
      </c>
      <c r="E1948">
        <v>8578</v>
      </c>
      <c r="F1948">
        <v>15000</v>
      </c>
      <c r="G1948">
        <v>120000</v>
      </c>
      <c r="H1948" t="s">
        <v>63</v>
      </c>
      <c r="I1948" t="s">
        <v>72</v>
      </c>
      <c r="J1948" t="s">
        <v>66</v>
      </c>
      <c r="K1948" t="s">
        <v>77</v>
      </c>
      <c r="L1948" t="s">
        <v>49</v>
      </c>
      <c r="M1948">
        <v>3</v>
      </c>
    </row>
    <row r="1949" spans="1:13" x14ac:dyDescent="0.25">
      <c r="A1949">
        <v>1056</v>
      </c>
      <c r="B1949" t="s">
        <v>325</v>
      </c>
      <c r="C1949" t="s">
        <v>40</v>
      </c>
      <c r="D1949">
        <v>2017</v>
      </c>
      <c r="E1949">
        <v>12003</v>
      </c>
      <c r="F1949">
        <v>15000</v>
      </c>
      <c r="G1949">
        <v>40000</v>
      </c>
      <c r="H1949" t="s">
        <v>58</v>
      </c>
      <c r="I1949" t="s">
        <v>59</v>
      </c>
      <c r="J1949" t="s">
        <v>43</v>
      </c>
      <c r="K1949" t="s">
        <v>44</v>
      </c>
      <c r="L1949" t="s">
        <v>38</v>
      </c>
      <c r="M1949">
        <v>3</v>
      </c>
    </row>
    <row r="1950" spans="1:13" x14ac:dyDescent="0.25">
      <c r="A1950">
        <v>1106</v>
      </c>
      <c r="B1950" t="s">
        <v>1454</v>
      </c>
      <c r="C1950" t="s">
        <v>32</v>
      </c>
      <c r="E1950">
        <v>26262</v>
      </c>
      <c r="F1950">
        <v>31000</v>
      </c>
      <c r="G1950">
        <v>120000</v>
      </c>
      <c r="H1950" t="s">
        <v>69</v>
      </c>
      <c r="I1950" t="s">
        <v>59</v>
      </c>
      <c r="J1950" t="s">
        <v>66</v>
      </c>
      <c r="K1950" t="s">
        <v>54</v>
      </c>
      <c r="M1950">
        <v>3</v>
      </c>
    </row>
    <row r="1951" spans="1:13" x14ac:dyDescent="0.25">
      <c r="A1951">
        <v>1249</v>
      </c>
      <c r="B1951" t="s">
        <v>745</v>
      </c>
      <c r="C1951" t="s">
        <v>164</v>
      </c>
      <c r="D1951">
        <v>2017</v>
      </c>
      <c r="E1951">
        <v>17919</v>
      </c>
      <c r="F1951">
        <v>22000</v>
      </c>
      <c r="G1951">
        <v>80000</v>
      </c>
      <c r="H1951" t="s">
        <v>34</v>
      </c>
      <c r="J1951" t="s">
        <v>43</v>
      </c>
      <c r="K1951" t="s">
        <v>37</v>
      </c>
      <c r="L1951" t="s">
        <v>45</v>
      </c>
      <c r="M1951">
        <v>0</v>
      </c>
    </row>
    <row r="1952" spans="1:13" x14ac:dyDescent="0.25">
      <c r="A1952">
        <v>1450</v>
      </c>
      <c r="B1952" t="s">
        <v>593</v>
      </c>
      <c r="C1952" t="s">
        <v>119</v>
      </c>
      <c r="D1952">
        <v>2018</v>
      </c>
      <c r="E1952">
        <v>10055</v>
      </c>
      <c r="F1952">
        <v>15000</v>
      </c>
      <c r="G1952">
        <v>15000</v>
      </c>
      <c r="H1952" t="s">
        <v>84</v>
      </c>
      <c r="I1952" t="s">
        <v>59</v>
      </c>
      <c r="J1952" t="s">
        <v>66</v>
      </c>
      <c r="K1952" t="s">
        <v>44</v>
      </c>
      <c r="L1952" t="s">
        <v>55</v>
      </c>
    </row>
    <row r="1953" spans="1:13" x14ac:dyDescent="0.25">
      <c r="A1953">
        <v>1025</v>
      </c>
      <c r="B1953" t="s">
        <v>1455</v>
      </c>
      <c r="C1953" t="s">
        <v>164</v>
      </c>
      <c r="D1953">
        <v>2015</v>
      </c>
      <c r="E1953">
        <v>6884</v>
      </c>
      <c r="F1953">
        <v>9000</v>
      </c>
      <c r="G1953">
        <v>60000</v>
      </c>
      <c r="H1953" t="s">
        <v>53</v>
      </c>
      <c r="I1953" t="s">
        <v>72</v>
      </c>
      <c r="J1953" t="s">
        <v>96</v>
      </c>
      <c r="K1953" t="s">
        <v>48</v>
      </c>
      <c r="L1953" t="s">
        <v>45</v>
      </c>
      <c r="M1953">
        <v>3</v>
      </c>
    </row>
    <row r="1954" spans="1:13" x14ac:dyDescent="0.25">
      <c r="A1954">
        <v>1335</v>
      </c>
      <c r="B1954" t="s">
        <v>1456</v>
      </c>
      <c r="C1954" t="s">
        <v>47</v>
      </c>
      <c r="E1954">
        <v>29168</v>
      </c>
      <c r="F1954" t="s">
        <v>87</v>
      </c>
      <c r="G1954">
        <v>15000</v>
      </c>
      <c r="H1954" t="s">
        <v>53</v>
      </c>
      <c r="I1954" t="s">
        <v>72</v>
      </c>
      <c r="J1954" t="s">
        <v>66</v>
      </c>
      <c r="K1954" t="s">
        <v>116</v>
      </c>
      <c r="L1954" t="s">
        <v>49</v>
      </c>
    </row>
    <row r="1955" spans="1:13" x14ac:dyDescent="0.25">
      <c r="A1955">
        <v>1056</v>
      </c>
      <c r="B1955" t="s">
        <v>599</v>
      </c>
      <c r="C1955" t="s">
        <v>94</v>
      </c>
      <c r="D1955">
        <v>2020</v>
      </c>
      <c r="E1955">
        <v>8361</v>
      </c>
      <c r="F1955">
        <v>12000</v>
      </c>
      <c r="G1955" t="s">
        <v>130</v>
      </c>
      <c r="H1955" t="s">
        <v>41</v>
      </c>
      <c r="I1955" t="s">
        <v>35</v>
      </c>
      <c r="J1955" t="s">
        <v>36</v>
      </c>
      <c r="K1955" t="s">
        <v>37</v>
      </c>
      <c r="L1955" t="s">
        <v>49</v>
      </c>
      <c r="M1955">
        <v>0</v>
      </c>
    </row>
    <row r="1956" spans="1:13" x14ac:dyDescent="0.25">
      <c r="A1956">
        <v>1599</v>
      </c>
      <c r="B1956" t="s">
        <v>1093</v>
      </c>
      <c r="C1956" t="s">
        <v>75</v>
      </c>
      <c r="D1956">
        <v>2019</v>
      </c>
      <c r="E1956">
        <v>21599</v>
      </c>
      <c r="F1956">
        <v>26000</v>
      </c>
      <c r="G1956">
        <v>15000</v>
      </c>
      <c r="H1956" t="s">
        <v>84</v>
      </c>
      <c r="I1956" t="s">
        <v>42</v>
      </c>
      <c r="J1956" t="s">
        <v>36</v>
      </c>
      <c r="K1956" t="s">
        <v>77</v>
      </c>
      <c r="L1956" t="s">
        <v>126</v>
      </c>
      <c r="M1956">
        <v>0</v>
      </c>
    </row>
    <row r="1957" spans="1:13" x14ac:dyDescent="0.25">
      <c r="A1957">
        <v>1586</v>
      </c>
      <c r="B1957" t="s">
        <v>906</v>
      </c>
      <c r="C1957" t="s">
        <v>164</v>
      </c>
      <c r="D1957" t="s">
        <v>52</v>
      </c>
      <c r="E1957">
        <v>11519</v>
      </c>
      <c r="F1957">
        <v>15000</v>
      </c>
      <c r="G1957">
        <v>80000</v>
      </c>
      <c r="H1957" t="s">
        <v>34</v>
      </c>
      <c r="I1957" t="s">
        <v>59</v>
      </c>
      <c r="J1957" t="s">
        <v>66</v>
      </c>
      <c r="K1957" t="s">
        <v>77</v>
      </c>
      <c r="L1957" t="s">
        <v>38</v>
      </c>
      <c r="M1957">
        <v>0</v>
      </c>
    </row>
    <row r="1958" spans="1:13" x14ac:dyDescent="0.25">
      <c r="A1958">
        <v>1477</v>
      </c>
      <c r="B1958" t="s">
        <v>527</v>
      </c>
      <c r="C1958" t="s">
        <v>68</v>
      </c>
      <c r="D1958">
        <v>2018</v>
      </c>
      <c r="E1958">
        <v>15978</v>
      </c>
      <c r="F1958">
        <v>18000</v>
      </c>
      <c r="G1958">
        <v>80000</v>
      </c>
      <c r="H1958" t="s">
        <v>63</v>
      </c>
      <c r="I1958" t="s">
        <v>72</v>
      </c>
      <c r="J1958" t="s">
        <v>43</v>
      </c>
      <c r="K1958" t="s">
        <v>37</v>
      </c>
      <c r="L1958" t="s">
        <v>90</v>
      </c>
      <c r="M1958">
        <v>1</v>
      </c>
    </row>
    <row r="1959" spans="1:13" x14ac:dyDescent="0.25">
      <c r="A1959">
        <v>1218</v>
      </c>
      <c r="B1959" t="s">
        <v>82</v>
      </c>
      <c r="C1959" t="s">
        <v>75</v>
      </c>
      <c r="D1959">
        <v>2022</v>
      </c>
      <c r="E1959">
        <v>10829</v>
      </c>
      <c r="F1959">
        <v>12000</v>
      </c>
      <c r="G1959">
        <v>25000</v>
      </c>
      <c r="H1959" t="s">
        <v>69</v>
      </c>
      <c r="I1959" t="s">
        <v>35</v>
      </c>
      <c r="J1959" t="s">
        <v>43</v>
      </c>
      <c r="K1959" t="s">
        <v>48</v>
      </c>
      <c r="L1959" t="s">
        <v>49</v>
      </c>
      <c r="M1959">
        <v>1</v>
      </c>
    </row>
    <row r="1960" spans="1:13" x14ac:dyDescent="0.25">
      <c r="A1960">
        <v>1446</v>
      </c>
      <c r="B1960" t="s">
        <v>585</v>
      </c>
      <c r="C1960" t="s">
        <v>40</v>
      </c>
      <c r="D1960">
        <v>2016</v>
      </c>
      <c r="E1960">
        <v>11856</v>
      </c>
      <c r="F1960">
        <v>15000</v>
      </c>
      <c r="G1960" t="s">
        <v>92</v>
      </c>
      <c r="H1960" t="s">
        <v>84</v>
      </c>
      <c r="I1960" t="s">
        <v>59</v>
      </c>
      <c r="J1960" t="s">
        <v>43</v>
      </c>
      <c r="K1960" t="s">
        <v>48</v>
      </c>
      <c r="L1960" t="s">
        <v>45</v>
      </c>
      <c r="M1960">
        <v>0</v>
      </c>
    </row>
    <row r="1961" spans="1:13" x14ac:dyDescent="0.25">
      <c r="A1961">
        <v>1585</v>
      </c>
      <c r="B1961" t="s">
        <v>653</v>
      </c>
      <c r="C1961" t="s">
        <v>119</v>
      </c>
      <c r="D1961">
        <v>2016</v>
      </c>
      <c r="E1961">
        <v>8541</v>
      </c>
      <c r="F1961">
        <v>15000</v>
      </c>
      <c r="G1961">
        <v>80000</v>
      </c>
      <c r="H1961" t="s">
        <v>58</v>
      </c>
      <c r="J1961" t="s">
        <v>66</v>
      </c>
      <c r="K1961" t="s">
        <v>48</v>
      </c>
      <c r="L1961" t="s">
        <v>55</v>
      </c>
      <c r="M1961">
        <v>0</v>
      </c>
    </row>
    <row r="1962" spans="1:13" x14ac:dyDescent="0.25">
      <c r="A1962">
        <v>1581</v>
      </c>
      <c r="B1962" t="s">
        <v>1457</v>
      </c>
      <c r="C1962" t="s">
        <v>57</v>
      </c>
      <c r="D1962">
        <v>2020</v>
      </c>
      <c r="E1962">
        <v>9223</v>
      </c>
      <c r="F1962">
        <v>15000</v>
      </c>
      <c r="G1962">
        <v>60000</v>
      </c>
      <c r="H1962" t="s">
        <v>63</v>
      </c>
      <c r="I1962" t="s">
        <v>42</v>
      </c>
      <c r="K1962" t="s">
        <v>48</v>
      </c>
      <c r="L1962" t="s">
        <v>45</v>
      </c>
      <c r="M1962">
        <v>2</v>
      </c>
    </row>
    <row r="1963" spans="1:13" x14ac:dyDescent="0.25">
      <c r="A1963">
        <v>1555</v>
      </c>
      <c r="B1963" t="s">
        <v>962</v>
      </c>
      <c r="C1963" t="s">
        <v>51</v>
      </c>
      <c r="D1963" t="s">
        <v>52</v>
      </c>
      <c r="E1963">
        <v>11841</v>
      </c>
      <c r="F1963" t="s">
        <v>129</v>
      </c>
      <c r="G1963">
        <v>25000</v>
      </c>
      <c r="H1963" t="s">
        <v>84</v>
      </c>
      <c r="I1963" t="s">
        <v>35</v>
      </c>
      <c r="J1963" t="s">
        <v>96</v>
      </c>
      <c r="K1963" t="s">
        <v>77</v>
      </c>
      <c r="L1963" t="s">
        <v>38</v>
      </c>
      <c r="M1963">
        <v>0</v>
      </c>
    </row>
    <row r="1964" spans="1:13" x14ac:dyDescent="0.25">
      <c r="A1964">
        <v>1025</v>
      </c>
      <c r="B1964" t="s">
        <v>1405</v>
      </c>
      <c r="C1964" t="s">
        <v>103</v>
      </c>
      <c r="D1964">
        <v>2018</v>
      </c>
      <c r="E1964">
        <v>204</v>
      </c>
      <c r="F1964">
        <v>7000</v>
      </c>
      <c r="G1964" t="s">
        <v>121</v>
      </c>
      <c r="H1964" t="s">
        <v>63</v>
      </c>
      <c r="I1964" t="s">
        <v>72</v>
      </c>
      <c r="J1964" t="s">
        <v>96</v>
      </c>
      <c r="K1964" t="s">
        <v>73</v>
      </c>
      <c r="L1964" t="s">
        <v>98</v>
      </c>
      <c r="M1964">
        <v>1</v>
      </c>
    </row>
    <row r="1965" spans="1:13" x14ac:dyDescent="0.25">
      <c r="A1965">
        <v>1364</v>
      </c>
      <c r="B1965" t="s">
        <v>681</v>
      </c>
      <c r="C1965" t="s">
        <v>133</v>
      </c>
      <c r="D1965">
        <v>2022</v>
      </c>
      <c r="E1965">
        <v>29573</v>
      </c>
      <c r="F1965">
        <v>31000</v>
      </c>
      <c r="G1965" t="s">
        <v>121</v>
      </c>
      <c r="H1965" t="s">
        <v>69</v>
      </c>
      <c r="I1965" t="s">
        <v>59</v>
      </c>
      <c r="J1965" t="s">
        <v>66</v>
      </c>
      <c r="K1965" t="s">
        <v>116</v>
      </c>
      <c r="L1965" t="s">
        <v>90</v>
      </c>
      <c r="M1965">
        <v>0</v>
      </c>
    </row>
    <row r="1966" spans="1:13" x14ac:dyDescent="0.25">
      <c r="A1966">
        <v>1221</v>
      </c>
      <c r="B1966" t="s">
        <v>522</v>
      </c>
      <c r="C1966" t="s">
        <v>103</v>
      </c>
      <c r="D1966">
        <v>2016</v>
      </c>
      <c r="E1966" t="s">
        <v>1458</v>
      </c>
      <c r="F1966">
        <v>26000</v>
      </c>
      <c r="G1966">
        <v>60000</v>
      </c>
      <c r="H1966" t="s">
        <v>41</v>
      </c>
      <c r="I1966" t="s">
        <v>42</v>
      </c>
      <c r="K1966" t="s">
        <v>44</v>
      </c>
      <c r="L1966" t="s">
        <v>109</v>
      </c>
    </row>
    <row r="1967" spans="1:13" x14ac:dyDescent="0.25">
      <c r="A1967">
        <v>1200</v>
      </c>
      <c r="B1967" t="s">
        <v>1031</v>
      </c>
      <c r="C1967" t="s">
        <v>133</v>
      </c>
      <c r="D1967">
        <v>2021</v>
      </c>
      <c r="E1967">
        <v>10270</v>
      </c>
      <c r="F1967">
        <v>15000</v>
      </c>
      <c r="G1967">
        <v>120000</v>
      </c>
      <c r="H1967" t="s">
        <v>63</v>
      </c>
      <c r="I1967" t="s">
        <v>72</v>
      </c>
      <c r="J1967" t="s">
        <v>36</v>
      </c>
      <c r="K1967" t="s">
        <v>100</v>
      </c>
      <c r="L1967" t="s">
        <v>45</v>
      </c>
      <c r="M1967">
        <v>3</v>
      </c>
    </row>
    <row r="1968" spans="1:13" x14ac:dyDescent="0.25">
      <c r="A1968">
        <v>1221</v>
      </c>
      <c r="B1968" t="s">
        <v>1275</v>
      </c>
      <c r="C1968" t="s">
        <v>65</v>
      </c>
      <c r="D1968" t="s">
        <v>52</v>
      </c>
      <c r="E1968">
        <v>7473</v>
      </c>
      <c r="F1968">
        <v>9000</v>
      </c>
      <c r="G1968">
        <v>15000</v>
      </c>
      <c r="H1968" t="s">
        <v>53</v>
      </c>
      <c r="J1968" t="s">
        <v>43</v>
      </c>
      <c r="K1968" t="s">
        <v>100</v>
      </c>
      <c r="L1968" t="s">
        <v>109</v>
      </c>
      <c r="M1968">
        <v>3</v>
      </c>
    </row>
    <row r="1969" spans="1:13" x14ac:dyDescent="0.25">
      <c r="A1969">
        <v>1568</v>
      </c>
      <c r="B1969" t="s">
        <v>1348</v>
      </c>
      <c r="C1969" t="s">
        <v>138</v>
      </c>
      <c r="D1969">
        <v>2020</v>
      </c>
      <c r="E1969">
        <v>6687</v>
      </c>
      <c r="F1969">
        <v>9000</v>
      </c>
      <c r="G1969" t="s">
        <v>76</v>
      </c>
      <c r="H1969" t="s">
        <v>41</v>
      </c>
      <c r="I1969" t="s">
        <v>35</v>
      </c>
      <c r="K1969" t="s">
        <v>73</v>
      </c>
      <c r="L1969" t="s">
        <v>109</v>
      </c>
      <c r="M1969">
        <v>3</v>
      </c>
    </row>
    <row r="1970" spans="1:13" x14ac:dyDescent="0.25">
      <c r="A1970">
        <v>1572</v>
      </c>
      <c r="B1970" t="s">
        <v>933</v>
      </c>
      <c r="C1970" t="s">
        <v>119</v>
      </c>
      <c r="D1970">
        <v>2014</v>
      </c>
      <c r="E1970" t="s">
        <v>1459</v>
      </c>
      <c r="F1970">
        <v>12000</v>
      </c>
      <c r="G1970">
        <v>80000</v>
      </c>
      <c r="H1970" t="s">
        <v>58</v>
      </c>
      <c r="I1970" t="s">
        <v>35</v>
      </c>
      <c r="J1970" t="s">
        <v>36</v>
      </c>
      <c r="K1970" t="s">
        <v>116</v>
      </c>
    </row>
    <row r="1971" spans="1:13" x14ac:dyDescent="0.25">
      <c r="A1971">
        <v>1437</v>
      </c>
      <c r="B1971" t="s">
        <v>405</v>
      </c>
      <c r="C1971" t="s">
        <v>47</v>
      </c>
      <c r="D1971">
        <v>2015</v>
      </c>
      <c r="E1971">
        <v>7385</v>
      </c>
      <c r="F1971">
        <v>12000</v>
      </c>
      <c r="G1971">
        <v>120000</v>
      </c>
      <c r="H1971" t="s">
        <v>63</v>
      </c>
      <c r="I1971" t="s">
        <v>42</v>
      </c>
      <c r="J1971" t="s">
        <v>66</v>
      </c>
      <c r="K1971" t="s">
        <v>73</v>
      </c>
      <c r="L1971" t="s">
        <v>55</v>
      </c>
      <c r="M1971">
        <v>1</v>
      </c>
    </row>
    <row r="1972" spans="1:13" x14ac:dyDescent="0.25">
      <c r="A1972">
        <v>1141</v>
      </c>
      <c r="B1972" t="s">
        <v>267</v>
      </c>
      <c r="C1972" t="s">
        <v>40</v>
      </c>
      <c r="D1972">
        <v>2015</v>
      </c>
      <c r="E1972">
        <v>25492</v>
      </c>
      <c r="F1972">
        <v>31000</v>
      </c>
      <c r="G1972">
        <v>15000</v>
      </c>
      <c r="H1972" t="s">
        <v>34</v>
      </c>
      <c r="I1972" t="s">
        <v>42</v>
      </c>
      <c r="J1972" t="s">
        <v>43</v>
      </c>
      <c r="K1972" t="s">
        <v>48</v>
      </c>
      <c r="L1972" t="s">
        <v>38</v>
      </c>
      <c r="M1972">
        <v>3</v>
      </c>
    </row>
    <row r="1973" spans="1:13" x14ac:dyDescent="0.25">
      <c r="A1973">
        <v>1361</v>
      </c>
      <c r="B1973" t="s">
        <v>1176</v>
      </c>
      <c r="C1973" t="s">
        <v>61</v>
      </c>
      <c r="D1973">
        <v>2015</v>
      </c>
      <c r="E1973">
        <v>5009</v>
      </c>
      <c r="F1973">
        <v>12000</v>
      </c>
      <c r="G1973" t="s">
        <v>121</v>
      </c>
      <c r="H1973" t="s">
        <v>63</v>
      </c>
      <c r="I1973" t="s">
        <v>35</v>
      </c>
      <c r="J1973" t="s">
        <v>36</v>
      </c>
      <c r="L1973" t="s">
        <v>49</v>
      </c>
    </row>
    <row r="1974" spans="1:13" x14ac:dyDescent="0.25">
      <c r="A1974">
        <v>1439</v>
      </c>
      <c r="B1974" t="s">
        <v>1262</v>
      </c>
      <c r="C1974" t="s">
        <v>51</v>
      </c>
      <c r="D1974">
        <v>2022</v>
      </c>
      <c r="E1974">
        <v>15945</v>
      </c>
      <c r="F1974">
        <v>18000</v>
      </c>
      <c r="G1974" t="s">
        <v>108</v>
      </c>
      <c r="H1974" t="s">
        <v>53</v>
      </c>
      <c r="I1974" t="s">
        <v>59</v>
      </c>
      <c r="J1974" t="s">
        <v>36</v>
      </c>
      <c r="K1974" t="s">
        <v>116</v>
      </c>
      <c r="L1974" t="s">
        <v>90</v>
      </c>
      <c r="M1974">
        <v>1</v>
      </c>
    </row>
    <row r="1975" spans="1:13" x14ac:dyDescent="0.25">
      <c r="A1975">
        <v>1236</v>
      </c>
      <c r="B1975" t="s">
        <v>466</v>
      </c>
      <c r="C1975" t="s">
        <v>119</v>
      </c>
      <c r="D1975">
        <v>2019</v>
      </c>
      <c r="E1975" t="s">
        <v>1460</v>
      </c>
      <c r="F1975">
        <v>7000</v>
      </c>
      <c r="G1975">
        <v>25000</v>
      </c>
      <c r="H1975" t="s">
        <v>58</v>
      </c>
      <c r="I1975" t="s">
        <v>72</v>
      </c>
      <c r="J1975" t="s">
        <v>66</v>
      </c>
      <c r="K1975" t="s">
        <v>116</v>
      </c>
      <c r="L1975" t="s">
        <v>109</v>
      </c>
      <c r="M1975">
        <v>1</v>
      </c>
    </row>
    <row r="1976" spans="1:13" x14ac:dyDescent="0.25">
      <c r="A1976">
        <v>1425</v>
      </c>
      <c r="B1976" t="s">
        <v>587</v>
      </c>
      <c r="C1976" t="s">
        <v>32</v>
      </c>
      <c r="D1976">
        <v>2020</v>
      </c>
      <c r="E1976">
        <v>10754</v>
      </c>
      <c r="F1976">
        <v>12000</v>
      </c>
      <c r="G1976">
        <v>80000</v>
      </c>
      <c r="H1976" t="s">
        <v>34</v>
      </c>
      <c r="J1976" t="s">
        <v>43</v>
      </c>
      <c r="L1976" t="s">
        <v>55</v>
      </c>
      <c r="M1976">
        <v>2</v>
      </c>
    </row>
    <row r="1977" spans="1:13" x14ac:dyDescent="0.25">
      <c r="A1977">
        <v>1285</v>
      </c>
      <c r="B1977" t="s">
        <v>202</v>
      </c>
      <c r="C1977" t="s">
        <v>40</v>
      </c>
      <c r="D1977">
        <v>2017</v>
      </c>
      <c r="E1977">
        <v>11918</v>
      </c>
      <c r="F1977" t="s">
        <v>89</v>
      </c>
      <c r="G1977" t="s">
        <v>76</v>
      </c>
      <c r="H1977" t="s">
        <v>84</v>
      </c>
      <c r="I1977" t="s">
        <v>59</v>
      </c>
      <c r="J1977" t="s">
        <v>43</v>
      </c>
      <c r="K1977" t="s">
        <v>54</v>
      </c>
      <c r="L1977" t="s">
        <v>55</v>
      </c>
      <c r="M1977">
        <v>0</v>
      </c>
    </row>
    <row r="1978" spans="1:13" x14ac:dyDescent="0.25">
      <c r="A1978">
        <v>1028</v>
      </c>
      <c r="B1978" t="s">
        <v>894</v>
      </c>
      <c r="C1978" t="s">
        <v>40</v>
      </c>
      <c r="D1978" t="s">
        <v>52</v>
      </c>
      <c r="E1978" t="s">
        <v>1461</v>
      </c>
      <c r="F1978">
        <v>18000</v>
      </c>
      <c r="G1978" t="s">
        <v>130</v>
      </c>
      <c r="H1978" t="s">
        <v>34</v>
      </c>
      <c r="I1978" t="s">
        <v>72</v>
      </c>
      <c r="J1978" t="s">
        <v>66</v>
      </c>
      <c r="K1978" t="s">
        <v>48</v>
      </c>
      <c r="L1978" t="s">
        <v>90</v>
      </c>
    </row>
    <row r="1979" spans="1:13" x14ac:dyDescent="0.25">
      <c r="A1979">
        <v>1367</v>
      </c>
      <c r="B1979" t="s">
        <v>359</v>
      </c>
      <c r="C1979" t="s">
        <v>40</v>
      </c>
      <c r="E1979" t="s">
        <v>1462</v>
      </c>
      <c r="F1979">
        <v>12000</v>
      </c>
      <c r="G1979">
        <v>40000</v>
      </c>
      <c r="H1979" t="s">
        <v>34</v>
      </c>
      <c r="K1979" t="s">
        <v>48</v>
      </c>
      <c r="L1979" t="s">
        <v>49</v>
      </c>
      <c r="M1979">
        <v>1</v>
      </c>
    </row>
    <row r="1980" spans="1:13" x14ac:dyDescent="0.25">
      <c r="A1980">
        <v>1163</v>
      </c>
      <c r="B1980" t="s">
        <v>316</v>
      </c>
      <c r="C1980" t="s">
        <v>32</v>
      </c>
      <c r="D1980">
        <v>2019</v>
      </c>
      <c r="E1980">
        <v>8286</v>
      </c>
      <c r="F1980">
        <v>12000</v>
      </c>
      <c r="G1980" t="s">
        <v>108</v>
      </c>
      <c r="H1980" t="s">
        <v>41</v>
      </c>
      <c r="I1980" t="s">
        <v>72</v>
      </c>
      <c r="L1980" t="s">
        <v>38</v>
      </c>
      <c r="M1980">
        <v>3</v>
      </c>
    </row>
    <row r="1981" spans="1:13" x14ac:dyDescent="0.25">
      <c r="A1981">
        <v>1058</v>
      </c>
      <c r="B1981" t="s">
        <v>800</v>
      </c>
      <c r="C1981" t="s">
        <v>138</v>
      </c>
      <c r="D1981" t="s">
        <v>52</v>
      </c>
      <c r="E1981">
        <v>14135</v>
      </c>
      <c r="F1981">
        <v>18000</v>
      </c>
      <c r="G1981">
        <v>25000</v>
      </c>
      <c r="H1981" t="s">
        <v>34</v>
      </c>
      <c r="I1981" t="s">
        <v>42</v>
      </c>
      <c r="J1981" t="s">
        <v>96</v>
      </c>
      <c r="K1981" t="s">
        <v>77</v>
      </c>
      <c r="L1981" t="s">
        <v>109</v>
      </c>
      <c r="M1981">
        <v>0</v>
      </c>
    </row>
    <row r="1982" spans="1:13" x14ac:dyDescent="0.25">
      <c r="A1982">
        <v>1327</v>
      </c>
      <c r="B1982" t="s">
        <v>186</v>
      </c>
      <c r="C1982" t="s">
        <v>32</v>
      </c>
      <c r="D1982">
        <v>2015</v>
      </c>
      <c r="E1982">
        <v>6697</v>
      </c>
      <c r="F1982">
        <v>9000</v>
      </c>
      <c r="G1982" t="s">
        <v>130</v>
      </c>
      <c r="L1982" t="s">
        <v>90</v>
      </c>
      <c r="M1982">
        <v>3</v>
      </c>
    </row>
    <row r="1983" spans="1:13" x14ac:dyDescent="0.25">
      <c r="A1983">
        <v>1019</v>
      </c>
      <c r="B1983" t="s">
        <v>1463</v>
      </c>
      <c r="C1983" t="s">
        <v>68</v>
      </c>
      <c r="D1983">
        <v>2017</v>
      </c>
      <c r="E1983">
        <v>5737</v>
      </c>
      <c r="F1983" t="s">
        <v>81</v>
      </c>
      <c r="G1983">
        <v>60000</v>
      </c>
      <c r="H1983" t="s">
        <v>63</v>
      </c>
      <c r="K1983" t="s">
        <v>73</v>
      </c>
      <c r="L1983" t="s">
        <v>55</v>
      </c>
      <c r="M1983">
        <v>0</v>
      </c>
    </row>
    <row r="1984" spans="1:13" x14ac:dyDescent="0.25">
      <c r="A1984">
        <v>1376</v>
      </c>
      <c r="B1984" t="s">
        <v>1302</v>
      </c>
      <c r="C1984" t="s">
        <v>103</v>
      </c>
      <c r="D1984">
        <v>2015</v>
      </c>
      <c r="E1984">
        <v>15542</v>
      </c>
      <c r="F1984">
        <v>18000</v>
      </c>
      <c r="G1984">
        <v>25000</v>
      </c>
      <c r="H1984" t="s">
        <v>69</v>
      </c>
      <c r="I1984" t="s">
        <v>72</v>
      </c>
      <c r="K1984" t="s">
        <v>100</v>
      </c>
      <c r="L1984" t="s">
        <v>126</v>
      </c>
      <c r="M1984">
        <v>2</v>
      </c>
    </row>
    <row r="1985" spans="1:13" x14ac:dyDescent="0.25">
      <c r="A1985">
        <v>1507</v>
      </c>
      <c r="B1985" t="s">
        <v>779</v>
      </c>
      <c r="C1985" t="s">
        <v>79</v>
      </c>
      <c r="E1985">
        <v>22369</v>
      </c>
      <c r="F1985">
        <v>26000</v>
      </c>
      <c r="G1985" t="s">
        <v>92</v>
      </c>
      <c r="H1985" t="s">
        <v>53</v>
      </c>
      <c r="I1985" t="s">
        <v>59</v>
      </c>
      <c r="L1985" t="s">
        <v>38</v>
      </c>
      <c r="M1985">
        <v>0</v>
      </c>
    </row>
    <row r="1986" spans="1:13" x14ac:dyDescent="0.25">
      <c r="A1986">
        <v>1256</v>
      </c>
      <c r="B1986" t="s">
        <v>758</v>
      </c>
      <c r="C1986" t="s">
        <v>51</v>
      </c>
      <c r="D1986">
        <v>2019</v>
      </c>
      <c r="E1986">
        <v>28831</v>
      </c>
      <c r="F1986">
        <v>31000</v>
      </c>
      <c r="G1986" t="s">
        <v>92</v>
      </c>
      <c r="H1986" t="s">
        <v>34</v>
      </c>
      <c r="I1986" t="s">
        <v>35</v>
      </c>
      <c r="K1986" t="s">
        <v>44</v>
      </c>
    </row>
    <row r="1987" spans="1:13" x14ac:dyDescent="0.25">
      <c r="A1987">
        <v>1185</v>
      </c>
      <c r="B1987" t="s">
        <v>1389</v>
      </c>
      <c r="C1987" t="s">
        <v>138</v>
      </c>
      <c r="D1987">
        <v>2014</v>
      </c>
      <c r="E1987" t="s">
        <v>1464</v>
      </c>
      <c r="F1987">
        <v>9000</v>
      </c>
      <c r="G1987">
        <v>40000</v>
      </c>
      <c r="H1987" t="s">
        <v>34</v>
      </c>
      <c r="I1987" t="s">
        <v>35</v>
      </c>
      <c r="J1987" t="s">
        <v>36</v>
      </c>
      <c r="L1987" t="s">
        <v>38</v>
      </c>
      <c r="M1987">
        <v>2</v>
      </c>
    </row>
    <row r="1988" spans="1:13" x14ac:dyDescent="0.25">
      <c r="A1988">
        <v>1591</v>
      </c>
      <c r="B1988" t="s">
        <v>1017</v>
      </c>
      <c r="C1988" t="s">
        <v>138</v>
      </c>
      <c r="D1988">
        <v>2020</v>
      </c>
      <c r="E1988">
        <v>2499</v>
      </c>
      <c r="F1988">
        <v>9000</v>
      </c>
      <c r="G1988">
        <v>25000</v>
      </c>
      <c r="H1988" t="s">
        <v>41</v>
      </c>
      <c r="I1988" t="s">
        <v>59</v>
      </c>
      <c r="J1988" t="s">
        <v>96</v>
      </c>
      <c r="K1988" t="s">
        <v>48</v>
      </c>
      <c r="L1988" t="s">
        <v>49</v>
      </c>
      <c r="M1988">
        <v>0</v>
      </c>
    </row>
    <row r="1989" spans="1:13" x14ac:dyDescent="0.25">
      <c r="A1989">
        <v>1477</v>
      </c>
      <c r="B1989" t="s">
        <v>177</v>
      </c>
      <c r="C1989" t="s">
        <v>119</v>
      </c>
      <c r="E1989" t="s">
        <v>1465</v>
      </c>
      <c r="F1989">
        <v>31000</v>
      </c>
      <c r="G1989">
        <v>80000</v>
      </c>
      <c r="H1989" t="s">
        <v>34</v>
      </c>
      <c r="I1989" t="s">
        <v>35</v>
      </c>
      <c r="J1989" t="s">
        <v>66</v>
      </c>
      <c r="K1989" t="s">
        <v>77</v>
      </c>
      <c r="M1989">
        <v>3</v>
      </c>
    </row>
    <row r="1990" spans="1:13" x14ac:dyDescent="0.25">
      <c r="A1990">
        <v>1524</v>
      </c>
      <c r="B1990" t="s">
        <v>724</v>
      </c>
      <c r="C1990" t="s">
        <v>79</v>
      </c>
      <c r="D1990">
        <v>2016</v>
      </c>
      <c r="E1990">
        <v>15735</v>
      </c>
      <c r="F1990">
        <v>22000</v>
      </c>
      <c r="G1990">
        <v>120000</v>
      </c>
      <c r="H1990" t="s">
        <v>69</v>
      </c>
      <c r="I1990" t="s">
        <v>42</v>
      </c>
      <c r="K1990" t="s">
        <v>116</v>
      </c>
      <c r="L1990" t="s">
        <v>98</v>
      </c>
      <c r="M1990">
        <v>1</v>
      </c>
    </row>
    <row r="1991" spans="1:13" x14ac:dyDescent="0.25">
      <c r="A1991">
        <v>1242</v>
      </c>
      <c r="B1991" t="s">
        <v>1268</v>
      </c>
      <c r="C1991" t="s">
        <v>68</v>
      </c>
      <c r="E1991">
        <v>5967</v>
      </c>
      <c r="F1991">
        <v>7000</v>
      </c>
      <c r="G1991">
        <v>120000</v>
      </c>
      <c r="H1991" t="s">
        <v>69</v>
      </c>
      <c r="I1991" t="s">
        <v>72</v>
      </c>
      <c r="J1991" t="s">
        <v>96</v>
      </c>
      <c r="K1991" t="s">
        <v>116</v>
      </c>
      <c r="L1991" t="s">
        <v>45</v>
      </c>
      <c r="M1991">
        <v>2</v>
      </c>
    </row>
    <row r="1992" spans="1:13" x14ac:dyDescent="0.25">
      <c r="A1992">
        <v>1174</v>
      </c>
      <c r="B1992" t="s">
        <v>1167</v>
      </c>
      <c r="C1992" t="s">
        <v>65</v>
      </c>
      <c r="D1992">
        <v>2015</v>
      </c>
      <c r="E1992">
        <v>2699</v>
      </c>
      <c r="F1992" t="s">
        <v>147</v>
      </c>
      <c r="G1992">
        <v>60000</v>
      </c>
      <c r="H1992" t="s">
        <v>63</v>
      </c>
      <c r="I1992" t="s">
        <v>72</v>
      </c>
      <c r="J1992" t="s">
        <v>66</v>
      </c>
      <c r="K1992" t="s">
        <v>54</v>
      </c>
      <c r="L1992" t="s">
        <v>55</v>
      </c>
      <c r="M1992">
        <v>2</v>
      </c>
    </row>
    <row r="1993" spans="1:13" x14ac:dyDescent="0.25">
      <c r="A1993">
        <v>1349</v>
      </c>
      <c r="B1993" t="s">
        <v>1198</v>
      </c>
      <c r="C1993" t="s">
        <v>32</v>
      </c>
      <c r="D1993">
        <v>2020</v>
      </c>
      <c r="E1993">
        <v>3878</v>
      </c>
      <c r="F1993">
        <v>7000</v>
      </c>
      <c r="G1993" t="s">
        <v>108</v>
      </c>
      <c r="H1993" t="s">
        <v>63</v>
      </c>
      <c r="J1993" t="s">
        <v>36</v>
      </c>
      <c r="K1993" t="s">
        <v>116</v>
      </c>
      <c r="L1993" t="s">
        <v>98</v>
      </c>
      <c r="M1993">
        <v>2</v>
      </c>
    </row>
    <row r="1994" spans="1:13" x14ac:dyDescent="0.25">
      <c r="A1994">
        <v>1426</v>
      </c>
      <c r="B1994" t="s">
        <v>769</v>
      </c>
      <c r="C1994" t="s">
        <v>61</v>
      </c>
      <c r="D1994">
        <v>2021</v>
      </c>
      <c r="E1994">
        <v>9930</v>
      </c>
      <c r="F1994">
        <v>15000</v>
      </c>
      <c r="G1994" t="s">
        <v>108</v>
      </c>
      <c r="J1994" t="s">
        <v>96</v>
      </c>
      <c r="K1994" t="s">
        <v>77</v>
      </c>
      <c r="L1994" t="s">
        <v>45</v>
      </c>
      <c r="M1994">
        <v>0</v>
      </c>
    </row>
    <row r="1995" spans="1:13" x14ac:dyDescent="0.25">
      <c r="A1995">
        <v>1477</v>
      </c>
      <c r="B1995" t="s">
        <v>1109</v>
      </c>
      <c r="C1995" t="s">
        <v>133</v>
      </c>
      <c r="D1995">
        <v>2017</v>
      </c>
      <c r="E1995">
        <v>658</v>
      </c>
      <c r="F1995">
        <v>7000</v>
      </c>
      <c r="G1995">
        <v>60000</v>
      </c>
      <c r="H1995" t="s">
        <v>53</v>
      </c>
      <c r="I1995" t="s">
        <v>72</v>
      </c>
      <c r="J1995" t="s">
        <v>36</v>
      </c>
      <c r="K1995" t="s">
        <v>73</v>
      </c>
      <c r="L1995" t="s">
        <v>55</v>
      </c>
    </row>
    <row r="1996" spans="1:13" x14ac:dyDescent="0.25">
      <c r="A1996">
        <v>1513</v>
      </c>
      <c r="B1996" t="s">
        <v>1261</v>
      </c>
      <c r="C1996" t="s">
        <v>47</v>
      </c>
      <c r="D1996">
        <v>2020</v>
      </c>
      <c r="E1996">
        <v>9438</v>
      </c>
      <c r="F1996" t="s">
        <v>204</v>
      </c>
      <c r="G1996">
        <v>25000</v>
      </c>
      <c r="H1996" t="s">
        <v>34</v>
      </c>
      <c r="K1996" t="s">
        <v>44</v>
      </c>
      <c r="L1996" t="s">
        <v>90</v>
      </c>
    </row>
    <row r="1997" spans="1:13" x14ac:dyDescent="0.25">
      <c r="A1997">
        <v>1089</v>
      </c>
      <c r="B1997" t="s">
        <v>216</v>
      </c>
      <c r="C1997" t="s">
        <v>61</v>
      </c>
      <c r="D1997" t="s">
        <v>52</v>
      </c>
      <c r="E1997">
        <v>4466</v>
      </c>
      <c r="F1997">
        <v>7000</v>
      </c>
      <c r="G1997">
        <v>120000</v>
      </c>
      <c r="H1997" t="s">
        <v>34</v>
      </c>
      <c r="I1997" t="s">
        <v>72</v>
      </c>
      <c r="J1997" t="s">
        <v>66</v>
      </c>
      <c r="K1997" t="s">
        <v>100</v>
      </c>
      <c r="L1997" t="s">
        <v>55</v>
      </c>
      <c r="M1997">
        <v>1</v>
      </c>
    </row>
    <row r="1998" spans="1:13" x14ac:dyDescent="0.25">
      <c r="A1998">
        <v>1159</v>
      </c>
      <c r="B1998" t="s">
        <v>1416</v>
      </c>
      <c r="C1998" t="s">
        <v>61</v>
      </c>
      <c r="D1998" t="s">
        <v>52</v>
      </c>
      <c r="E1998">
        <v>18668</v>
      </c>
      <c r="F1998">
        <v>22000</v>
      </c>
      <c r="G1998" t="s">
        <v>76</v>
      </c>
      <c r="H1998" t="s">
        <v>58</v>
      </c>
      <c r="I1998" t="s">
        <v>42</v>
      </c>
      <c r="J1998" t="s">
        <v>96</v>
      </c>
      <c r="K1998" t="s">
        <v>116</v>
      </c>
      <c r="L1998" t="s">
        <v>55</v>
      </c>
      <c r="M1998">
        <v>0</v>
      </c>
    </row>
    <row r="1999" spans="1:13" x14ac:dyDescent="0.25">
      <c r="A1999">
        <v>1365</v>
      </c>
      <c r="B1999" t="s">
        <v>1015</v>
      </c>
      <c r="C1999" t="s">
        <v>51</v>
      </c>
      <c r="D1999">
        <v>2020</v>
      </c>
      <c r="E1999">
        <v>16207</v>
      </c>
      <c r="F1999">
        <v>22000</v>
      </c>
      <c r="G1999">
        <v>15000</v>
      </c>
      <c r="H1999" t="s">
        <v>41</v>
      </c>
      <c r="I1999" t="s">
        <v>42</v>
      </c>
      <c r="J1999" t="s">
        <v>36</v>
      </c>
      <c r="K1999" t="s">
        <v>73</v>
      </c>
      <c r="L1999" t="s">
        <v>98</v>
      </c>
      <c r="M1999">
        <v>0</v>
      </c>
    </row>
    <row r="2000" spans="1:13" x14ac:dyDescent="0.25">
      <c r="A2000">
        <v>1271</v>
      </c>
      <c r="B2000" t="s">
        <v>1133</v>
      </c>
      <c r="C2000" t="s">
        <v>133</v>
      </c>
      <c r="D2000">
        <v>2018</v>
      </c>
      <c r="E2000">
        <v>4575</v>
      </c>
      <c r="F2000">
        <v>9000</v>
      </c>
      <c r="G2000">
        <v>25000</v>
      </c>
      <c r="I2000" t="s">
        <v>59</v>
      </c>
      <c r="J2000" t="s">
        <v>36</v>
      </c>
      <c r="K2000" t="s">
        <v>100</v>
      </c>
      <c r="L2000" t="s">
        <v>49</v>
      </c>
    </row>
    <row r="2001" spans="1:13" x14ac:dyDescent="0.25">
      <c r="A2001">
        <v>1014</v>
      </c>
      <c r="B2001" t="s">
        <v>1466</v>
      </c>
      <c r="C2001" t="s">
        <v>119</v>
      </c>
      <c r="D2001" t="s">
        <v>52</v>
      </c>
      <c r="E2001">
        <v>6792</v>
      </c>
      <c r="F2001">
        <v>9000</v>
      </c>
      <c r="G2001">
        <v>120000</v>
      </c>
      <c r="H2001" t="s">
        <v>34</v>
      </c>
      <c r="I2001" t="s">
        <v>35</v>
      </c>
      <c r="J2001" t="s">
        <v>66</v>
      </c>
      <c r="K2001" t="s">
        <v>100</v>
      </c>
      <c r="L2001" t="s">
        <v>90</v>
      </c>
    </row>
    <row r="2002" spans="1:13" x14ac:dyDescent="0.25">
      <c r="A2002">
        <v>1290</v>
      </c>
      <c r="B2002" t="s">
        <v>1456</v>
      </c>
      <c r="C2002" t="s">
        <v>119</v>
      </c>
      <c r="D2002" t="s">
        <v>52</v>
      </c>
      <c r="E2002">
        <v>2837</v>
      </c>
      <c r="F2002">
        <v>7000</v>
      </c>
      <c r="G2002" t="s">
        <v>130</v>
      </c>
      <c r="H2002" t="s">
        <v>41</v>
      </c>
      <c r="I2002" t="s">
        <v>72</v>
      </c>
      <c r="J2002" t="s">
        <v>96</v>
      </c>
      <c r="K2002" t="s">
        <v>44</v>
      </c>
      <c r="L2002" t="s">
        <v>109</v>
      </c>
      <c r="M2002">
        <v>2</v>
      </c>
    </row>
    <row r="2003" spans="1:13" x14ac:dyDescent="0.25">
      <c r="A2003">
        <v>1438</v>
      </c>
      <c r="B2003" t="s">
        <v>254</v>
      </c>
      <c r="C2003" t="s">
        <v>61</v>
      </c>
      <c r="D2003">
        <v>2014</v>
      </c>
      <c r="E2003" t="s">
        <v>1467</v>
      </c>
      <c r="F2003">
        <v>12000</v>
      </c>
      <c r="G2003">
        <v>60000</v>
      </c>
      <c r="H2003" t="s">
        <v>69</v>
      </c>
      <c r="I2003" t="s">
        <v>42</v>
      </c>
      <c r="J2003" t="s">
        <v>66</v>
      </c>
      <c r="K2003" t="s">
        <v>100</v>
      </c>
      <c r="L2003" t="s">
        <v>55</v>
      </c>
      <c r="M2003">
        <v>3</v>
      </c>
    </row>
    <row r="2004" spans="1:13" x14ac:dyDescent="0.25">
      <c r="A2004">
        <v>1036</v>
      </c>
      <c r="B2004" t="s">
        <v>82</v>
      </c>
      <c r="C2004" t="s">
        <v>47</v>
      </c>
      <c r="E2004" t="s">
        <v>1468</v>
      </c>
      <c r="F2004">
        <v>7000</v>
      </c>
      <c r="G2004">
        <v>40000</v>
      </c>
      <c r="H2004" t="s">
        <v>53</v>
      </c>
      <c r="I2004" t="s">
        <v>59</v>
      </c>
      <c r="K2004" t="s">
        <v>48</v>
      </c>
      <c r="L2004" t="s">
        <v>90</v>
      </c>
      <c r="M2004">
        <v>3</v>
      </c>
    </row>
    <row r="2005" spans="1:13" x14ac:dyDescent="0.25">
      <c r="A2005">
        <v>1454</v>
      </c>
      <c r="B2005" t="s">
        <v>1469</v>
      </c>
      <c r="C2005" t="s">
        <v>40</v>
      </c>
      <c r="D2005">
        <v>2016</v>
      </c>
      <c r="E2005">
        <v>10492</v>
      </c>
      <c r="F2005">
        <v>12000</v>
      </c>
      <c r="G2005" t="s">
        <v>33</v>
      </c>
      <c r="H2005" t="s">
        <v>84</v>
      </c>
      <c r="I2005" t="s">
        <v>59</v>
      </c>
      <c r="K2005" t="s">
        <v>73</v>
      </c>
      <c r="L2005" t="s">
        <v>98</v>
      </c>
      <c r="M2005">
        <v>3</v>
      </c>
    </row>
    <row r="2006" spans="1:13" x14ac:dyDescent="0.25">
      <c r="A2006">
        <v>1039</v>
      </c>
      <c r="B2006" t="s">
        <v>215</v>
      </c>
      <c r="C2006" t="s">
        <v>40</v>
      </c>
      <c r="D2006">
        <v>2015</v>
      </c>
      <c r="E2006" t="s">
        <v>1470</v>
      </c>
      <c r="F2006">
        <v>22000</v>
      </c>
      <c r="G2006" t="s">
        <v>108</v>
      </c>
      <c r="H2006" t="s">
        <v>69</v>
      </c>
      <c r="J2006" t="s">
        <v>36</v>
      </c>
      <c r="K2006" t="s">
        <v>116</v>
      </c>
      <c r="L2006" t="s">
        <v>98</v>
      </c>
    </row>
    <row r="2007" spans="1:13" x14ac:dyDescent="0.25">
      <c r="A2007">
        <v>1564</v>
      </c>
      <c r="B2007" t="s">
        <v>1178</v>
      </c>
      <c r="C2007" t="s">
        <v>133</v>
      </c>
      <c r="D2007">
        <v>2016</v>
      </c>
      <c r="E2007">
        <v>6507</v>
      </c>
      <c r="F2007">
        <v>9000</v>
      </c>
      <c r="G2007">
        <v>60000</v>
      </c>
      <c r="H2007" t="s">
        <v>53</v>
      </c>
      <c r="J2007" t="s">
        <v>36</v>
      </c>
      <c r="K2007" t="s">
        <v>100</v>
      </c>
      <c r="L2007" t="s">
        <v>98</v>
      </c>
    </row>
    <row r="2008" spans="1:13" x14ac:dyDescent="0.25">
      <c r="A2008">
        <v>1491</v>
      </c>
      <c r="B2008" t="s">
        <v>635</v>
      </c>
      <c r="C2008" t="s">
        <v>164</v>
      </c>
      <c r="D2008">
        <v>2015</v>
      </c>
      <c r="E2008" t="s">
        <v>1471</v>
      </c>
      <c r="F2008">
        <v>7000</v>
      </c>
      <c r="G2008">
        <v>40000</v>
      </c>
      <c r="H2008" t="s">
        <v>41</v>
      </c>
      <c r="J2008" t="s">
        <v>66</v>
      </c>
      <c r="K2008" t="s">
        <v>100</v>
      </c>
      <c r="M2008">
        <v>1</v>
      </c>
    </row>
    <row r="2009" spans="1:13" x14ac:dyDescent="0.25">
      <c r="A2009">
        <v>1323</v>
      </c>
      <c r="B2009" t="s">
        <v>984</v>
      </c>
      <c r="C2009" t="s">
        <v>138</v>
      </c>
      <c r="D2009">
        <v>2021</v>
      </c>
      <c r="E2009">
        <v>13281</v>
      </c>
      <c r="F2009">
        <v>18000</v>
      </c>
      <c r="G2009">
        <v>25000</v>
      </c>
      <c r="I2009" t="s">
        <v>42</v>
      </c>
      <c r="K2009" t="s">
        <v>100</v>
      </c>
      <c r="L2009" t="s">
        <v>126</v>
      </c>
      <c r="M2009">
        <v>3</v>
      </c>
    </row>
    <row r="2010" spans="1:13" x14ac:dyDescent="0.25">
      <c r="A2010">
        <v>1026</v>
      </c>
      <c r="B2010" t="s">
        <v>1472</v>
      </c>
      <c r="C2010" t="s">
        <v>47</v>
      </c>
      <c r="D2010">
        <v>2016</v>
      </c>
      <c r="E2010">
        <v>5592</v>
      </c>
      <c r="F2010">
        <v>12000</v>
      </c>
      <c r="G2010" t="s">
        <v>108</v>
      </c>
      <c r="H2010" t="s">
        <v>41</v>
      </c>
      <c r="I2010" t="s">
        <v>72</v>
      </c>
      <c r="J2010" t="s">
        <v>96</v>
      </c>
      <c r="K2010" t="s">
        <v>48</v>
      </c>
      <c r="L2010" t="s">
        <v>98</v>
      </c>
      <c r="M2010">
        <v>2</v>
      </c>
    </row>
    <row r="2011" spans="1:13" x14ac:dyDescent="0.25">
      <c r="A2011">
        <v>1581</v>
      </c>
      <c r="B2011" t="s">
        <v>366</v>
      </c>
      <c r="C2011" t="s">
        <v>61</v>
      </c>
      <c r="D2011">
        <v>2016</v>
      </c>
      <c r="E2011">
        <v>13655</v>
      </c>
      <c r="F2011">
        <v>18000</v>
      </c>
      <c r="G2011" t="s">
        <v>92</v>
      </c>
      <c r="H2011" t="s">
        <v>34</v>
      </c>
      <c r="I2011" t="s">
        <v>72</v>
      </c>
      <c r="J2011" t="s">
        <v>43</v>
      </c>
      <c r="K2011" t="s">
        <v>100</v>
      </c>
      <c r="L2011" t="s">
        <v>45</v>
      </c>
      <c r="M2011">
        <v>2</v>
      </c>
    </row>
    <row r="2012" spans="1:13" x14ac:dyDescent="0.25">
      <c r="A2012">
        <v>1476</v>
      </c>
      <c r="B2012" t="s">
        <v>1230</v>
      </c>
      <c r="C2012" t="s">
        <v>57</v>
      </c>
      <c r="D2012">
        <v>2019</v>
      </c>
      <c r="E2012">
        <v>26289</v>
      </c>
      <c r="F2012">
        <v>31000</v>
      </c>
      <c r="G2012">
        <v>25000</v>
      </c>
      <c r="H2012" t="s">
        <v>69</v>
      </c>
      <c r="I2012" t="s">
        <v>35</v>
      </c>
      <c r="J2012" t="s">
        <v>43</v>
      </c>
      <c r="K2012" t="s">
        <v>73</v>
      </c>
      <c r="L2012" t="s">
        <v>45</v>
      </c>
      <c r="M2012">
        <v>3</v>
      </c>
    </row>
    <row r="2013" spans="1:13" x14ac:dyDescent="0.25">
      <c r="A2013">
        <v>1088</v>
      </c>
      <c r="B2013" t="s">
        <v>631</v>
      </c>
      <c r="C2013" t="s">
        <v>61</v>
      </c>
      <c r="D2013">
        <v>2021</v>
      </c>
      <c r="E2013" t="s">
        <v>1473</v>
      </c>
      <c r="F2013">
        <v>31000</v>
      </c>
      <c r="G2013">
        <v>60000</v>
      </c>
      <c r="I2013" t="s">
        <v>42</v>
      </c>
      <c r="K2013" t="s">
        <v>54</v>
      </c>
      <c r="L2013" t="s">
        <v>90</v>
      </c>
      <c r="M2013">
        <v>3</v>
      </c>
    </row>
    <row r="2014" spans="1:13" x14ac:dyDescent="0.25">
      <c r="A2014">
        <v>1072</v>
      </c>
      <c r="B2014" t="s">
        <v>60</v>
      </c>
      <c r="C2014" t="s">
        <v>68</v>
      </c>
      <c r="E2014">
        <v>9799</v>
      </c>
      <c r="F2014">
        <v>12000</v>
      </c>
      <c r="G2014">
        <v>80000</v>
      </c>
      <c r="I2014" t="s">
        <v>35</v>
      </c>
      <c r="J2014" t="s">
        <v>36</v>
      </c>
      <c r="K2014" t="s">
        <v>44</v>
      </c>
      <c r="L2014" t="s">
        <v>38</v>
      </c>
      <c r="M2014">
        <v>3</v>
      </c>
    </row>
    <row r="2015" spans="1:13" x14ac:dyDescent="0.25">
      <c r="A2015">
        <v>1407</v>
      </c>
      <c r="B2015" t="s">
        <v>207</v>
      </c>
      <c r="C2015" t="s">
        <v>75</v>
      </c>
      <c r="D2015" t="s">
        <v>52</v>
      </c>
      <c r="E2015">
        <v>22259</v>
      </c>
      <c r="F2015" t="s">
        <v>83</v>
      </c>
      <c r="G2015" t="s">
        <v>76</v>
      </c>
      <c r="H2015" t="s">
        <v>34</v>
      </c>
      <c r="I2015" t="s">
        <v>59</v>
      </c>
      <c r="J2015" t="s">
        <v>96</v>
      </c>
      <c r="K2015" t="s">
        <v>116</v>
      </c>
      <c r="L2015" t="s">
        <v>109</v>
      </c>
      <c r="M2015">
        <v>0</v>
      </c>
    </row>
    <row r="2016" spans="1:13" x14ac:dyDescent="0.25">
      <c r="A2016">
        <v>1136</v>
      </c>
      <c r="B2016" t="s">
        <v>1315</v>
      </c>
      <c r="C2016" t="s">
        <v>164</v>
      </c>
      <c r="D2016">
        <v>2021</v>
      </c>
      <c r="E2016">
        <v>12573</v>
      </c>
      <c r="F2016">
        <v>15000</v>
      </c>
      <c r="G2016">
        <v>15000</v>
      </c>
      <c r="H2016" t="s">
        <v>69</v>
      </c>
      <c r="I2016" t="s">
        <v>35</v>
      </c>
      <c r="J2016" t="s">
        <v>43</v>
      </c>
      <c r="K2016" t="s">
        <v>73</v>
      </c>
      <c r="L2016" t="s">
        <v>49</v>
      </c>
    </row>
    <row r="2017" spans="1:13" x14ac:dyDescent="0.25">
      <c r="A2017">
        <v>1450</v>
      </c>
      <c r="B2017" t="s">
        <v>975</v>
      </c>
      <c r="C2017" t="s">
        <v>75</v>
      </c>
      <c r="E2017" t="s">
        <v>1474</v>
      </c>
      <c r="F2017">
        <v>18000</v>
      </c>
      <c r="G2017">
        <v>80000</v>
      </c>
      <c r="H2017" t="s">
        <v>34</v>
      </c>
      <c r="I2017" t="s">
        <v>59</v>
      </c>
      <c r="J2017" t="s">
        <v>36</v>
      </c>
      <c r="K2017" t="s">
        <v>44</v>
      </c>
      <c r="L2017" t="s">
        <v>90</v>
      </c>
      <c r="M2017">
        <v>0</v>
      </c>
    </row>
    <row r="2018" spans="1:13" x14ac:dyDescent="0.25">
      <c r="A2018">
        <v>1292</v>
      </c>
      <c r="B2018" t="s">
        <v>1027</v>
      </c>
      <c r="C2018" t="s">
        <v>133</v>
      </c>
      <c r="D2018">
        <v>2021</v>
      </c>
      <c r="E2018" t="s">
        <v>1475</v>
      </c>
      <c r="F2018">
        <v>9000</v>
      </c>
      <c r="G2018">
        <v>120000</v>
      </c>
      <c r="H2018" t="s">
        <v>63</v>
      </c>
      <c r="I2018" t="s">
        <v>59</v>
      </c>
      <c r="K2018" t="s">
        <v>48</v>
      </c>
      <c r="L2018" t="s">
        <v>55</v>
      </c>
      <c r="M2018">
        <v>1</v>
      </c>
    </row>
    <row r="2019" spans="1:13" x14ac:dyDescent="0.25">
      <c r="A2019">
        <v>1068</v>
      </c>
      <c r="B2019" t="s">
        <v>1176</v>
      </c>
      <c r="C2019" t="s">
        <v>51</v>
      </c>
      <c r="D2019">
        <v>2020</v>
      </c>
      <c r="E2019" t="s">
        <v>1476</v>
      </c>
      <c r="F2019">
        <v>9000</v>
      </c>
      <c r="G2019">
        <v>120000</v>
      </c>
      <c r="H2019" t="s">
        <v>41</v>
      </c>
      <c r="I2019" t="s">
        <v>35</v>
      </c>
      <c r="J2019" t="s">
        <v>43</v>
      </c>
      <c r="K2019" t="s">
        <v>73</v>
      </c>
      <c r="L2019" t="s">
        <v>49</v>
      </c>
      <c r="M2019">
        <v>3</v>
      </c>
    </row>
    <row r="2020" spans="1:13" x14ac:dyDescent="0.25">
      <c r="A2020">
        <v>1152</v>
      </c>
      <c r="B2020" t="s">
        <v>685</v>
      </c>
      <c r="C2020" t="s">
        <v>79</v>
      </c>
      <c r="D2020">
        <v>2014</v>
      </c>
      <c r="E2020">
        <v>7951</v>
      </c>
      <c r="F2020">
        <v>12000</v>
      </c>
      <c r="G2020">
        <v>15000</v>
      </c>
      <c r="H2020" t="s">
        <v>53</v>
      </c>
      <c r="J2020" t="s">
        <v>66</v>
      </c>
      <c r="K2020" t="s">
        <v>73</v>
      </c>
      <c r="L2020" t="s">
        <v>49</v>
      </c>
      <c r="M2020">
        <v>0</v>
      </c>
    </row>
    <row r="2021" spans="1:13" x14ac:dyDescent="0.25">
      <c r="A2021">
        <v>1275</v>
      </c>
      <c r="B2021" t="s">
        <v>1477</v>
      </c>
      <c r="C2021" t="s">
        <v>57</v>
      </c>
      <c r="E2021">
        <v>24886</v>
      </c>
      <c r="F2021">
        <v>31000</v>
      </c>
      <c r="G2021">
        <v>40000</v>
      </c>
      <c r="H2021" t="s">
        <v>63</v>
      </c>
      <c r="I2021" t="s">
        <v>42</v>
      </c>
      <c r="K2021" t="s">
        <v>48</v>
      </c>
      <c r="L2021" t="s">
        <v>109</v>
      </c>
    </row>
    <row r="2022" spans="1:13" x14ac:dyDescent="0.25">
      <c r="A2022">
        <v>1392</v>
      </c>
      <c r="B2022" t="s">
        <v>572</v>
      </c>
      <c r="C2022" t="s">
        <v>138</v>
      </c>
      <c r="D2022">
        <v>2018</v>
      </c>
      <c r="E2022">
        <v>14162</v>
      </c>
      <c r="F2022">
        <v>18000</v>
      </c>
      <c r="G2022">
        <v>25000</v>
      </c>
      <c r="H2022" t="s">
        <v>69</v>
      </c>
      <c r="I2022" t="s">
        <v>42</v>
      </c>
      <c r="J2022" t="s">
        <v>36</v>
      </c>
      <c r="K2022" t="s">
        <v>54</v>
      </c>
      <c r="L2022" t="s">
        <v>49</v>
      </c>
      <c r="M2022">
        <v>3</v>
      </c>
    </row>
    <row r="2023" spans="1:13" x14ac:dyDescent="0.25">
      <c r="A2023">
        <v>1298</v>
      </c>
      <c r="B2023" t="s">
        <v>142</v>
      </c>
      <c r="C2023" t="s">
        <v>51</v>
      </c>
      <c r="D2023">
        <v>2015</v>
      </c>
      <c r="E2023" t="s">
        <v>1478</v>
      </c>
      <c r="F2023">
        <v>22000</v>
      </c>
      <c r="G2023">
        <v>120000</v>
      </c>
      <c r="H2023" t="s">
        <v>63</v>
      </c>
      <c r="I2023" t="s">
        <v>35</v>
      </c>
      <c r="J2023" t="s">
        <v>66</v>
      </c>
      <c r="K2023" t="s">
        <v>77</v>
      </c>
      <c r="L2023" t="s">
        <v>55</v>
      </c>
    </row>
    <row r="2024" spans="1:13" x14ac:dyDescent="0.25">
      <c r="A2024">
        <v>1388</v>
      </c>
      <c r="B2024" t="s">
        <v>1479</v>
      </c>
      <c r="C2024" t="s">
        <v>119</v>
      </c>
      <c r="D2024">
        <v>2021</v>
      </c>
      <c r="E2024">
        <v>20303</v>
      </c>
      <c r="F2024">
        <v>26000</v>
      </c>
      <c r="G2024">
        <v>60000</v>
      </c>
      <c r="H2024" t="s">
        <v>41</v>
      </c>
      <c r="J2024" t="s">
        <v>96</v>
      </c>
      <c r="K2024" t="s">
        <v>44</v>
      </c>
      <c r="L2024" t="s">
        <v>55</v>
      </c>
      <c r="M2024">
        <v>0</v>
      </c>
    </row>
    <row r="2025" spans="1:13" x14ac:dyDescent="0.25">
      <c r="A2025">
        <v>1400</v>
      </c>
      <c r="B2025" t="s">
        <v>1480</v>
      </c>
      <c r="C2025" t="s">
        <v>138</v>
      </c>
      <c r="D2025">
        <v>2018</v>
      </c>
      <c r="E2025">
        <v>1733</v>
      </c>
      <c r="F2025" t="s">
        <v>147</v>
      </c>
      <c r="G2025">
        <v>40000</v>
      </c>
      <c r="H2025" t="s">
        <v>41</v>
      </c>
      <c r="J2025" t="s">
        <v>36</v>
      </c>
      <c r="K2025" t="s">
        <v>77</v>
      </c>
      <c r="L2025" t="s">
        <v>109</v>
      </c>
    </row>
    <row r="2026" spans="1:13" x14ac:dyDescent="0.25">
      <c r="A2026">
        <v>1454</v>
      </c>
      <c r="B2026" t="s">
        <v>1481</v>
      </c>
      <c r="C2026" t="s">
        <v>94</v>
      </c>
      <c r="D2026">
        <v>2016</v>
      </c>
      <c r="E2026">
        <v>16631</v>
      </c>
      <c r="F2026">
        <v>18000</v>
      </c>
      <c r="G2026">
        <v>120000</v>
      </c>
      <c r="H2026" t="s">
        <v>34</v>
      </c>
      <c r="I2026" t="s">
        <v>42</v>
      </c>
      <c r="J2026" t="s">
        <v>66</v>
      </c>
      <c r="K2026" t="s">
        <v>54</v>
      </c>
      <c r="L2026" t="s">
        <v>109</v>
      </c>
      <c r="M2026">
        <v>1</v>
      </c>
    </row>
    <row r="2027" spans="1:13" x14ac:dyDescent="0.25">
      <c r="A2027">
        <v>1099</v>
      </c>
      <c r="B2027" t="s">
        <v>280</v>
      </c>
      <c r="C2027" t="s">
        <v>61</v>
      </c>
      <c r="D2027">
        <v>2016</v>
      </c>
      <c r="E2027">
        <v>25158</v>
      </c>
      <c r="F2027" t="s">
        <v>87</v>
      </c>
      <c r="G2027">
        <v>120000</v>
      </c>
      <c r="H2027" t="s">
        <v>63</v>
      </c>
      <c r="I2027" t="s">
        <v>35</v>
      </c>
      <c r="K2027" t="s">
        <v>54</v>
      </c>
      <c r="L2027" t="s">
        <v>98</v>
      </c>
      <c r="M2027">
        <v>3</v>
      </c>
    </row>
    <row r="2028" spans="1:13" x14ac:dyDescent="0.25">
      <c r="A2028">
        <v>1365</v>
      </c>
      <c r="B2028" t="s">
        <v>1015</v>
      </c>
      <c r="C2028" t="s">
        <v>61</v>
      </c>
      <c r="E2028">
        <v>13375</v>
      </c>
      <c r="F2028">
        <v>15000</v>
      </c>
      <c r="G2028">
        <v>25000</v>
      </c>
      <c r="H2028" t="s">
        <v>53</v>
      </c>
      <c r="I2028" t="s">
        <v>35</v>
      </c>
      <c r="J2028" t="s">
        <v>43</v>
      </c>
      <c r="K2028" t="s">
        <v>77</v>
      </c>
      <c r="L2028" t="s">
        <v>45</v>
      </c>
    </row>
    <row r="2029" spans="1:13" x14ac:dyDescent="0.25">
      <c r="A2029">
        <v>1271</v>
      </c>
      <c r="B2029" t="s">
        <v>1254</v>
      </c>
      <c r="C2029" t="s">
        <v>40</v>
      </c>
      <c r="D2029">
        <v>2014</v>
      </c>
      <c r="E2029" t="s">
        <v>1482</v>
      </c>
      <c r="F2029">
        <v>12000</v>
      </c>
      <c r="G2029">
        <v>25000</v>
      </c>
      <c r="H2029" t="s">
        <v>58</v>
      </c>
      <c r="I2029" t="s">
        <v>35</v>
      </c>
      <c r="J2029" t="s">
        <v>96</v>
      </c>
      <c r="K2029" t="s">
        <v>44</v>
      </c>
      <c r="L2029" t="s">
        <v>45</v>
      </c>
    </row>
    <row r="2030" spans="1:13" x14ac:dyDescent="0.25">
      <c r="A2030">
        <v>1065</v>
      </c>
      <c r="B2030" t="s">
        <v>1483</v>
      </c>
      <c r="C2030" t="s">
        <v>57</v>
      </c>
      <c r="E2030">
        <v>29165</v>
      </c>
      <c r="F2030">
        <v>31000</v>
      </c>
      <c r="G2030">
        <v>80000</v>
      </c>
      <c r="H2030" t="s">
        <v>69</v>
      </c>
      <c r="K2030" t="s">
        <v>54</v>
      </c>
      <c r="L2030" t="s">
        <v>55</v>
      </c>
      <c r="M2030">
        <v>2</v>
      </c>
    </row>
    <row r="2031" spans="1:13" x14ac:dyDescent="0.25">
      <c r="A2031">
        <v>1466</v>
      </c>
      <c r="B2031" t="s">
        <v>514</v>
      </c>
      <c r="C2031" t="s">
        <v>94</v>
      </c>
      <c r="D2031">
        <v>2014</v>
      </c>
      <c r="E2031">
        <v>12217</v>
      </c>
      <c r="F2031">
        <v>18000</v>
      </c>
      <c r="G2031">
        <v>25000</v>
      </c>
      <c r="H2031" t="s">
        <v>69</v>
      </c>
      <c r="I2031" t="s">
        <v>59</v>
      </c>
      <c r="J2031" t="s">
        <v>66</v>
      </c>
      <c r="K2031" t="s">
        <v>37</v>
      </c>
      <c r="L2031" t="s">
        <v>45</v>
      </c>
      <c r="M2031">
        <v>3</v>
      </c>
    </row>
    <row r="2032" spans="1:13" x14ac:dyDescent="0.25">
      <c r="A2032">
        <v>1048</v>
      </c>
      <c r="B2032" t="s">
        <v>730</v>
      </c>
      <c r="C2032" t="s">
        <v>75</v>
      </c>
      <c r="D2032">
        <v>2021</v>
      </c>
      <c r="E2032">
        <v>8248</v>
      </c>
      <c r="F2032">
        <v>12000</v>
      </c>
      <c r="G2032" t="s">
        <v>92</v>
      </c>
      <c r="H2032" t="s">
        <v>58</v>
      </c>
      <c r="I2032" t="s">
        <v>59</v>
      </c>
      <c r="J2032" t="s">
        <v>43</v>
      </c>
      <c r="K2032" t="s">
        <v>48</v>
      </c>
    </row>
    <row r="2033" spans="1:13" x14ac:dyDescent="0.25">
      <c r="A2033">
        <v>1285</v>
      </c>
      <c r="B2033" t="s">
        <v>1207</v>
      </c>
      <c r="C2033" t="s">
        <v>138</v>
      </c>
      <c r="E2033">
        <v>27292</v>
      </c>
      <c r="F2033">
        <v>31000</v>
      </c>
      <c r="G2033">
        <v>60000</v>
      </c>
      <c r="H2033" t="s">
        <v>69</v>
      </c>
      <c r="I2033" t="s">
        <v>35</v>
      </c>
      <c r="J2033" t="s">
        <v>66</v>
      </c>
      <c r="K2033" t="s">
        <v>54</v>
      </c>
      <c r="L2033" t="s">
        <v>126</v>
      </c>
      <c r="M2033">
        <v>0</v>
      </c>
    </row>
    <row r="2034" spans="1:13" x14ac:dyDescent="0.25">
      <c r="A2034">
        <v>1445</v>
      </c>
      <c r="B2034" t="s">
        <v>1138</v>
      </c>
      <c r="C2034" t="s">
        <v>164</v>
      </c>
      <c r="E2034" t="s">
        <v>1484</v>
      </c>
      <c r="F2034">
        <v>15000</v>
      </c>
      <c r="G2034">
        <v>60000</v>
      </c>
      <c r="H2034" t="s">
        <v>84</v>
      </c>
      <c r="J2034" t="s">
        <v>66</v>
      </c>
      <c r="K2034" t="s">
        <v>54</v>
      </c>
      <c r="L2034" t="s">
        <v>98</v>
      </c>
      <c r="M2034">
        <v>1</v>
      </c>
    </row>
    <row r="2035" spans="1:13" x14ac:dyDescent="0.25">
      <c r="A2035">
        <v>1301</v>
      </c>
      <c r="B2035" t="s">
        <v>882</v>
      </c>
      <c r="C2035" t="s">
        <v>40</v>
      </c>
      <c r="D2035">
        <v>2015</v>
      </c>
      <c r="E2035">
        <v>6675</v>
      </c>
      <c r="F2035">
        <v>12000</v>
      </c>
      <c r="G2035">
        <v>40000</v>
      </c>
      <c r="H2035" t="s">
        <v>63</v>
      </c>
      <c r="I2035" t="s">
        <v>59</v>
      </c>
      <c r="J2035" t="s">
        <v>36</v>
      </c>
      <c r="K2035" t="s">
        <v>37</v>
      </c>
      <c r="L2035" t="s">
        <v>109</v>
      </c>
      <c r="M2035">
        <v>3</v>
      </c>
    </row>
    <row r="2036" spans="1:13" x14ac:dyDescent="0.25">
      <c r="A2036">
        <v>1476</v>
      </c>
      <c r="B2036" t="s">
        <v>1163</v>
      </c>
      <c r="C2036" t="s">
        <v>94</v>
      </c>
      <c r="D2036">
        <v>2016</v>
      </c>
      <c r="E2036" t="s">
        <v>1485</v>
      </c>
      <c r="F2036">
        <v>12000</v>
      </c>
      <c r="G2036">
        <v>120000</v>
      </c>
      <c r="H2036" t="s">
        <v>41</v>
      </c>
      <c r="I2036" t="s">
        <v>72</v>
      </c>
      <c r="J2036" t="s">
        <v>66</v>
      </c>
      <c r="K2036" t="s">
        <v>37</v>
      </c>
      <c r="L2036" t="s">
        <v>98</v>
      </c>
      <c r="M2036">
        <v>0</v>
      </c>
    </row>
    <row r="2037" spans="1:13" x14ac:dyDescent="0.25">
      <c r="A2037">
        <v>1254</v>
      </c>
      <c r="B2037" t="s">
        <v>734</v>
      </c>
      <c r="C2037" t="s">
        <v>164</v>
      </c>
      <c r="D2037">
        <v>2016</v>
      </c>
      <c r="E2037" t="s">
        <v>1486</v>
      </c>
      <c r="F2037">
        <v>31000</v>
      </c>
      <c r="G2037">
        <v>120000</v>
      </c>
      <c r="H2037" t="s">
        <v>58</v>
      </c>
      <c r="I2037" t="s">
        <v>59</v>
      </c>
      <c r="J2037" t="s">
        <v>36</v>
      </c>
      <c r="L2037" t="s">
        <v>98</v>
      </c>
      <c r="M2037">
        <v>1</v>
      </c>
    </row>
    <row r="2038" spans="1:13" x14ac:dyDescent="0.25">
      <c r="A2038">
        <v>1064</v>
      </c>
      <c r="B2038" t="s">
        <v>193</v>
      </c>
      <c r="C2038" t="s">
        <v>51</v>
      </c>
      <c r="D2038">
        <v>2018</v>
      </c>
      <c r="E2038">
        <v>26573</v>
      </c>
      <c r="F2038" t="s">
        <v>87</v>
      </c>
      <c r="G2038">
        <v>40000</v>
      </c>
      <c r="H2038" t="s">
        <v>53</v>
      </c>
      <c r="J2038" t="s">
        <v>36</v>
      </c>
      <c r="K2038" t="s">
        <v>116</v>
      </c>
      <c r="M2038">
        <v>1</v>
      </c>
    </row>
    <row r="2039" spans="1:13" x14ac:dyDescent="0.25">
      <c r="A2039">
        <v>1326</v>
      </c>
      <c r="B2039" t="s">
        <v>1112</v>
      </c>
      <c r="C2039" t="s">
        <v>133</v>
      </c>
      <c r="D2039">
        <v>2022</v>
      </c>
      <c r="E2039">
        <v>2591</v>
      </c>
      <c r="F2039">
        <v>7000</v>
      </c>
      <c r="G2039">
        <v>60000</v>
      </c>
      <c r="H2039" t="s">
        <v>63</v>
      </c>
      <c r="J2039" t="s">
        <v>43</v>
      </c>
      <c r="K2039" t="s">
        <v>48</v>
      </c>
      <c r="L2039" t="s">
        <v>38</v>
      </c>
      <c r="M2039">
        <v>2</v>
      </c>
    </row>
    <row r="2040" spans="1:13" x14ac:dyDescent="0.25">
      <c r="A2040">
        <v>1169</v>
      </c>
      <c r="B2040" t="s">
        <v>1487</v>
      </c>
      <c r="C2040" t="s">
        <v>103</v>
      </c>
      <c r="D2040">
        <v>2019</v>
      </c>
      <c r="E2040">
        <v>12717</v>
      </c>
      <c r="F2040">
        <v>18000</v>
      </c>
      <c r="G2040">
        <v>15000</v>
      </c>
      <c r="H2040" t="s">
        <v>63</v>
      </c>
      <c r="I2040" t="s">
        <v>42</v>
      </c>
      <c r="J2040" t="s">
        <v>36</v>
      </c>
      <c r="K2040" t="s">
        <v>100</v>
      </c>
    </row>
    <row r="2041" spans="1:13" x14ac:dyDescent="0.25">
      <c r="A2041">
        <v>1399</v>
      </c>
      <c r="B2041" t="s">
        <v>555</v>
      </c>
      <c r="C2041" t="s">
        <v>94</v>
      </c>
      <c r="D2041">
        <v>2020</v>
      </c>
      <c r="E2041">
        <v>975</v>
      </c>
      <c r="F2041">
        <v>7000</v>
      </c>
      <c r="G2041">
        <v>40000</v>
      </c>
      <c r="H2041" t="s">
        <v>69</v>
      </c>
      <c r="I2041" t="s">
        <v>42</v>
      </c>
      <c r="L2041" t="s">
        <v>90</v>
      </c>
    </row>
    <row r="2042" spans="1:13" x14ac:dyDescent="0.25">
      <c r="A2042">
        <v>1248</v>
      </c>
      <c r="B2042" t="s">
        <v>720</v>
      </c>
      <c r="C2042" t="s">
        <v>51</v>
      </c>
      <c r="D2042">
        <v>2021</v>
      </c>
      <c r="E2042" t="s">
        <v>1488</v>
      </c>
      <c r="F2042">
        <v>7000</v>
      </c>
      <c r="G2042">
        <v>40000</v>
      </c>
      <c r="I2042" t="s">
        <v>35</v>
      </c>
      <c r="J2042" t="s">
        <v>66</v>
      </c>
      <c r="K2042" t="s">
        <v>77</v>
      </c>
      <c r="L2042" t="s">
        <v>90</v>
      </c>
      <c r="M2042">
        <v>0</v>
      </c>
    </row>
    <row r="2043" spans="1:13" x14ac:dyDescent="0.25">
      <c r="A2043">
        <v>1129</v>
      </c>
      <c r="B2043" t="s">
        <v>1207</v>
      </c>
      <c r="C2043" t="s">
        <v>47</v>
      </c>
      <c r="D2043">
        <v>2020</v>
      </c>
      <c r="E2043">
        <v>21425</v>
      </c>
      <c r="F2043">
        <v>26000</v>
      </c>
      <c r="G2043">
        <v>80000</v>
      </c>
      <c r="H2043" t="s">
        <v>34</v>
      </c>
      <c r="I2043" t="s">
        <v>42</v>
      </c>
      <c r="J2043" t="s">
        <v>43</v>
      </c>
      <c r="L2043" t="s">
        <v>109</v>
      </c>
      <c r="M2043">
        <v>1</v>
      </c>
    </row>
    <row r="2044" spans="1:13" x14ac:dyDescent="0.25">
      <c r="A2044">
        <v>1249</v>
      </c>
      <c r="B2044" t="s">
        <v>357</v>
      </c>
      <c r="C2044" t="s">
        <v>133</v>
      </c>
      <c r="D2044">
        <v>2016</v>
      </c>
      <c r="E2044" t="s">
        <v>1489</v>
      </c>
      <c r="F2044">
        <v>31000</v>
      </c>
      <c r="G2044">
        <v>120000</v>
      </c>
      <c r="J2044" t="s">
        <v>66</v>
      </c>
      <c r="K2044" t="s">
        <v>54</v>
      </c>
      <c r="L2044" t="s">
        <v>55</v>
      </c>
      <c r="M2044">
        <v>0</v>
      </c>
    </row>
    <row r="2045" spans="1:13" x14ac:dyDescent="0.25">
      <c r="A2045">
        <v>1227</v>
      </c>
      <c r="B2045" t="s">
        <v>1490</v>
      </c>
      <c r="C2045" t="s">
        <v>40</v>
      </c>
      <c r="D2045">
        <v>2020</v>
      </c>
      <c r="E2045">
        <v>6602</v>
      </c>
      <c r="F2045">
        <v>12000</v>
      </c>
      <c r="G2045">
        <v>120000</v>
      </c>
      <c r="H2045" t="s">
        <v>63</v>
      </c>
      <c r="I2045" t="s">
        <v>59</v>
      </c>
      <c r="J2045" t="s">
        <v>66</v>
      </c>
      <c r="K2045" t="s">
        <v>44</v>
      </c>
      <c r="L2045" t="s">
        <v>98</v>
      </c>
      <c r="M2045">
        <v>1</v>
      </c>
    </row>
    <row r="2046" spans="1:13" x14ac:dyDescent="0.25">
      <c r="A2046">
        <v>1057</v>
      </c>
      <c r="B2046" t="s">
        <v>473</v>
      </c>
      <c r="C2046" t="s">
        <v>47</v>
      </c>
      <c r="D2046" t="s">
        <v>52</v>
      </c>
      <c r="E2046">
        <v>6907</v>
      </c>
      <c r="F2046">
        <v>12000</v>
      </c>
      <c r="G2046">
        <v>60000</v>
      </c>
      <c r="I2046" t="s">
        <v>42</v>
      </c>
      <c r="J2046" t="s">
        <v>36</v>
      </c>
      <c r="K2046" t="s">
        <v>100</v>
      </c>
      <c r="L2046" t="s">
        <v>55</v>
      </c>
      <c r="M2046">
        <v>1</v>
      </c>
    </row>
    <row r="2047" spans="1:13" x14ac:dyDescent="0.25">
      <c r="A2047">
        <v>1167</v>
      </c>
      <c r="B2047" t="s">
        <v>474</v>
      </c>
      <c r="C2047" t="s">
        <v>164</v>
      </c>
      <c r="D2047">
        <v>2016</v>
      </c>
      <c r="E2047">
        <v>20815</v>
      </c>
      <c r="F2047" t="s">
        <v>115</v>
      </c>
      <c r="G2047">
        <v>60000</v>
      </c>
      <c r="H2047" t="s">
        <v>58</v>
      </c>
      <c r="I2047" t="s">
        <v>72</v>
      </c>
      <c r="J2047" t="s">
        <v>96</v>
      </c>
      <c r="K2047" t="s">
        <v>44</v>
      </c>
      <c r="L2047" t="s">
        <v>45</v>
      </c>
      <c r="M2047">
        <v>3</v>
      </c>
    </row>
    <row r="2048" spans="1:13" x14ac:dyDescent="0.25">
      <c r="A2048">
        <v>1300</v>
      </c>
      <c r="B2048" t="s">
        <v>922</v>
      </c>
      <c r="C2048" t="s">
        <v>119</v>
      </c>
      <c r="E2048" t="s">
        <v>1491</v>
      </c>
      <c r="F2048">
        <v>31000</v>
      </c>
      <c r="G2048">
        <v>60000</v>
      </c>
      <c r="H2048" t="s">
        <v>84</v>
      </c>
      <c r="I2048" t="s">
        <v>72</v>
      </c>
      <c r="K2048" t="s">
        <v>48</v>
      </c>
      <c r="L2048" t="s">
        <v>45</v>
      </c>
      <c r="M2048">
        <v>3</v>
      </c>
    </row>
    <row r="2049" spans="1:13" x14ac:dyDescent="0.25">
      <c r="A2049">
        <v>1304</v>
      </c>
      <c r="B2049" t="s">
        <v>1149</v>
      </c>
      <c r="C2049" t="s">
        <v>138</v>
      </c>
      <c r="D2049">
        <v>2017</v>
      </c>
      <c r="E2049">
        <v>21887</v>
      </c>
      <c r="F2049">
        <v>26000</v>
      </c>
      <c r="G2049">
        <v>40000</v>
      </c>
      <c r="H2049" t="s">
        <v>69</v>
      </c>
      <c r="I2049" t="s">
        <v>59</v>
      </c>
      <c r="J2049" t="s">
        <v>43</v>
      </c>
      <c r="K2049" t="s">
        <v>77</v>
      </c>
      <c r="L2049" t="s">
        <v>38</v>
      </c>
      <c r="M2049">
        <v>1</v>
      </c>
    </row>
    <row r="2050" spans="1:13" x14ac:dyDescent="0.25">
      <c r="A2050">
        <v>1557</v>
      </c>
      <c r="B2050" t="s">
        <v>662</v>
      </c>
      <c r="C2050" t="s">
        <v>57</v>
      </c>
      <c r="E2050">
        <v>6665</v>
      </c>
      <c r="F2050">
        <v>9000</v>
      </c>
      <c r="G2050">
        <v>120000</v>
      </c>
      <c r="I2050" t="s">
        <v>35</v>
      </c>
      <c r="J2050" t="s">
        <v>36</v>
      </c>
      <c r="K2050" t="s">
        <v>48</v>
      </c>
      <c r="L2050" t="s">
        <v>90</v>
      </c>
      <c r="M2050">
        <v>1</v>
      </c>
    </row>
    <row r="2051" spans="1:13" x14ac:dyDescent="0.25">
      <c r="A2051">
        <v>1032</v>
      </c>
      <c r="B2051" t="s">
        <v>219</v>
      </c>
      <c r="C2051" t="s">
        <v>65</v>
      </c>
      <c r="D2051">
        <v>2019</v>
      </c>
      <c r="E2051">
        <v>13546</v>
      </c>
      <c r="F2051" t="s">
        <v>129</v>
      </c>
      <c r="G2051">
        <v>25000</v>
      </c>
      <c r="H2051" t="s">
        <v>63</v>
      </c>
      <c r="I2051" t="s">
        <v>42</v>
      </c>
      <c r="J2051" t="s">
        <v>36</v>
      </c>
      <c r="K2051" t="s">
        <v>37</v>
      </c>
      <c r="L2051" t="s">
        <v>90</v>
      </c>
      <c r="M2051">
        <v>0</v>
      </c>
    </row>
    <row r="2052" spans="1:13" x14ac:dyDescent="0.25">
      <c r="A2052">
        <v>1516</v>
      </c>
      <c r="B2052" t="s">
        <v>734</v>
      </c>
      <c r="C2052" t="s">
        <v>119</v>
      </c>
      <c r="D2052">
        <v>2017</v>
      </c>
      <c r="E2052">
        <v>5039</v>
      </c>
      <c r="F2052">
        <v>7000</v>
      </c>
      <c r="G2052">
        <v>120000</v>
      </c>
      <c r="H2052" t="s">
        <v>53</v>
      </c>
      <c r="I2052" t="s">
        <v>42</v>
      </c>
      <c r="J2052" t="s">
        <v>96</v>
      </c>
      <c r="K2052" t="s">
        <v>48</v>
      </c>
    </row>
    <row r="2053" spans="1:13" x14ac:dyDescent="0.25">
      <c r="A2053">
        <v>1119</v>
      </c>
      <c r="B2053" t="s">
        <v>806</v>
      </c>
      <c r="C2053" t="s">
        <v>68</v>
      </c>
      <c r="D2053">
        <v>2019</v>
      </c>
      <c r="E2053">
        <v>3570</v>
      </c>
      <c r="F2053">
        <v>9000</v>
      </c>
      <c r="G2053">
        <v>15000</v>
      </c>
      <c r="H2053" t="s">
        <v>53</v>
      </c>
      <c r="I2053" t="s">
        <v>72</v>
      </c>
      <c r="J2053" t="s">
        <v>43</v>
      </c>
      <c r="K2053" t="s">
        <v>116</v>
      </c>
      <c r="L2053" t="s">
        <v>126</v>
      </c>
      <c r="M2053">
        <v>1</v>
      </c>
    </row>
    <row r="2054" spans="1:13" x14ac:dyDescent="0.25">
      <c r="A2054">
        <v>1326</v>
      </c>
      <c r="B2054" t="s">
        <v>1221</v>
      </c>
      <c r="C2054" t="s">
        <v>138</v>
      </c>
      <c r="D2054">
        <v>2021</v>
      </c>
      <c r="E2054">
        <v>7226</v>
      </c>
      <c r="F2054">
        <v>12000</v>
      </c>
      <c r="G2054">
        <v>80000</v>
      </c>
      <c r="H2054" t="s">
        <v>63</v>
      </c>
      <c r="I2054" t="s">
        <v>59</v>
      </c>
      <c r="K2054" t="s">
        <v>54</v>
      </c>
      <c r="L2054" t="s">
        <v>109</v>
      </c>
      <c r="M2054">
        <v>3</v>
      </c>
    </row>
    <row r="2055" spans="1:13" x14ac:dyDescent="0.25">
      <c r="A2055">
        <v>1376</v>
      </c>
      <c r="B2055" t="s">
        <v>1311</v>
      </c>
      <c r="C2055" t="s">
        <v>61</v>
      </c>
      <c r="E2055" t="s">
        <v>1492</v>
      </c>
      <c r="F2055">
        <v>22000</v>
      </c>
      <c r="G2055">
        <v>80000</v>
      </c>
      <c r="H2055" t="s">
        <v>53</v>
      </c>
      <c r="I2055" t="s">
        <v>59</v>
      </c>
      <c r="J2055" t="s">
        <v>66</v>
      </c>
      <c r="K2055" t="s">
        <v>37</v>
      </c>
      <c r="L2055" t="s">
        <v>55</v>
      </c>
      <c r="M2055">
        <v>0</v>
      </c>
    </row>
    <row r="2056" spans="1:13" x14ac:dyDescent="0.25">
      <c r="A2056">
        <v>1229</v>
      </c>
      <c r="B2056" t="s">
        <v>399</v>
      </c>
      <c r="C2056" t="s">
        <v>51</v>
      </c>
      <c r="D2056">
        <v>2022</v>
      </c>
      <c r="E2056">
        <v>20392</v>
      </c>
      <c r="F2056">
        <v>22000</v>
      </c>
      <c r="G2056">
        <v>40000</v>
      </c>
      <c r="H2056" t="s">
        <v>58</v>
      </c>
      <c r="I2056" t="s">
        <v>72</v>
      </c>
      <c r="J2056" t="s">
        <v>66</v>
      </c>
      <c r="K2056" t="s">
        <v>73</v>
      </c>
      <c r="L2056" t="s">
        <v>55</v>
      </c>
    </row>
    <row r="2057" spans="1:13" x14ac:dyDescent="0.25">
      <c r="A2057">
        <v>1068</v>
      </c>
      <c r="B2057" t="s">
        <v>394</v>
      </c>
      <c r="C2057" t="s">
        <v>57</v>
      </c>
      <c r="D2057">
        <v>2015</v>
      </c>
      <c r="E2057">
        <v>22434</v>
      </c>
      <c r="F2057">
        <v>26000</v>
      </c>
      <c r="G2057" t="s">
        <v>108</v>
      </c>
      <c r="H2057" t="s">
        <v>63</v>
      </c>
      <c r="I2057" t="s">
        <v>59</v>
      </c>
      <c r="J2057" t="s">
        <v>96</v>
      </c>
      <c r="K2057" t="s">
        <v>54</v>
      </c>
      <c r="L2057" t="s">
        <v>109</v>
      </c>
      <c r="M2057">
        <v>1</v>
      </c>
    </row>
    <row r="2058" spans="1:13" x14ac:dyDescent="0.25">
      <c r="A2058">
        <v>1394</v>
      </c>
      <c r="B2058" t="s">
        <v>1477</v>
      </c>
      <c r="C2058" t="s">
        <v>68</v>
      </c>
      <c r="D2058">
        <v>2017</v>
      </c>
      <c r="E2058">
        <v>4890</v>
      </c>
      <c r="F2058">
        <v>7000</v>
      </c>
      <c r="G2058">
        <v>120000</v>
      </c>
      <c r="H2058" t="s">
        <v>41</v>
      </c>
      <c r="K2058" t="s">
        <v>100</v>
      </c>
      <c r="L2058" t="s">
        <v>45</v>
      </c>
      <c r="M2058">
        <v>0</v>
      </c>
    </row>
    <row r="2059" spans="1:13" x14ac:dyDescent="0.25">
      <c r="A2059">
        <v>1172</v>
      </c>
      <c r="B2059" t="s">
        <v>1493</v>
      </c>
      <c r="C2059" t="s">
        <v>47</v>
      </c>
      <c r="D2059">
        <v>2019</v>
      </c>
      <c r="E2059">
        <v>8074</v>
      </c>
      <c r="F2059">
        <v>15000</v>
      </c>
      <c r="G2059">
        <v>25000</v>
      </c>
      <c r="H2059" t="s">
        <v>41</v>
      </c>
      <c r="I2059" t="s">
        <v>42</v>
      </c>
      <c r="K2059" t="s">
        <v>77</v>
      </c>
      <c r="L2059" t="s">
        <v>98</v>
      </c>
      <c r="M2059">
        <v>1</v>
      </c>
    </row>
    <row r="2060" spans="1:13" x14ac:dyDescent="0.25">
      <c r="A2060">
        <v>1180</v>
      </c>
      <c r="B2060" t="s">
        <v>1042</v>
      </c>
      <c r="C2060" t="s">
        <v>51</v>
      </c>
      <c r="D2060" t="s">
        <v>52</v>
      </c>
      <c r="E2060">
        <v>3948</v>
      </c>
      <c r="F2060" t="s">
        <v>147</v>
      </c>
      <c r="G2060">
        <v>80000</v>
      </c>
      <c r="H2060" t="s">
        <v>41</v>
      </c>
      <c r="I2060" t="s">
        <v>72</v>
      </c>
      <c r="J2060" t="s">
        <v>66</v>
      </c>
      <c r="K2060" t="s">
        <v>44</v>
      </c>
      <c r="L2060" t="s">
        <v>55</v>
      </c>
    </row>
    <row r="2061" spans="1:13" x14ac:dyDescent="0.25">
      <c r="A2061">
        <v>1489</v>
      </c>
      <c r="B2061" t="s">
        <v>480</v>
      </c>
      <c r="C2061" t="s">
        <v>61</v>
      </c>
      <c r="E2061">
        <v>5780</v>
      </c>
      <c r="F2061">
        <v>7000</v>
      </c>
      <c r="G2061" t="s">
        <v>108</v>
      </c>
      <c r="H2061" t="s">
        <v>53</v>
      </c>
      <c r="I2061" t="s">
        <v>42</v>
      </c>
      <c r="J2061" t="s">
        <v>96</v>
      </c>
      <c r="K2061" t="s">
        <v>54</v>
      </c>
      <c r="L2061" t="s">
        <v>98</v>
      </c>
      <c r="M2061">
        <v>0</v>
      </c>
    </row>
    <row r="2062" spans="1:13" x14ac:dyDescent="0.25">
      <c r="A2062">
        <v>1238</v>
      </c>
      <c r="B2062" t="s">
        <v>1076</v>
      </c>
      <c r="C2062" t="s">
        <v>75</v>
      </c>
      <c r="D2062">
        <v>2022</v>
      </c>
      <c r="E2062">
        <v>6330</v>
      </c>
      <c r="F2062">
        <v>9000</v>
      </c>
      <c r="G2062">
        <v>15000</v>
      </c>
      <c r="H2062" t="s">
        <v>84</v>
      </c>
      <c r="I2062" t="s">
        <v>42</v>
      </c>
      <c r="J2062" t="s">
        <v>66</v>
      </c>
      <c r="K2062" t="s">
        <v>48</v>
      </c>
      <c r="L2062" t="s">
        <v>90</v>
      </c>
      <c r="M2062">
        <v>3</v>
      </c>
    </row>
    <row r="2063" spans="1:13" x14ac:dyDescent="0.25">
      <c r="A2063">
        <v>1244</v>
      </c>
      <c r="B2063" t="s">
        <v>1494</v>
      </c>
      <c r="C2063" t="s">
        <v>103</v>
      </c>
      <c r="D2063">
        <v>2022</v>
      </c>
      <c r="E2063">
        <v>23480</v>
      </c>
      <c r="F2063" t="s">
        <v>83</v>
      </c>
      <c r="G2063">
        <v>15000</v>
      </c>
      <c r="H2063" t="s">
        <v>58</v>
      </c>
      <c r="I2063" t="s">
        <v>35</v>
      </c>
      <c r="J2063" t="s">
        <v>66</v>
      </c>
      <c r="K2063" t="s">
        <v>37</v>
      </c>
      <c r="L2063" t="s">
        <v>38</v>
      </c>
    </row>
    <row r="2064" spans="1:13" x14ac:dyDescent="0.25">
      <c r="A2064">
        <v>1573</v>
      </c>
      <c r="B2064" t="s">
        <v>295</v>
      </c>
      <c r="C2064" t="s">
        <v>75</v>
      </c>
      <c r="D2064">
        <v>2017</v>
      </c>
      <c r="E2064" t="s">
        <v>1495</v>
      </c>
      <c r="F2064">
        <v>7000</v>
      </c>
      <c r="G2064">
        <v>15000</v>
      </c>
      <c r="H2064" t="s">
        <v>41</v>
      </c>
      <c r="L2064" t="s">
        <v>49</v>
      </c>
    </row>
    <row r="2065" spans="1:13" x14ac:dyDescent="0.25">
      <c r="A2065">
        <v>1192</v>
      </c>
      <c r="B2065" t="s">
        <v>95</v>
      </c>
      <c r="C2065" t="s">
        <v>94</v>
      </c>
      <c r="D2065" t="s">
        <v>52</v>
      </c>
      <c r="E2065" t="s">
        <v>1496</v>
      </c>
      <c r="F2065">
        <v>26000</v>
      </c>
      <c r="G2065">
        <v>40000</v>
      </c>
      <c r="H2065" t="s">
        <v>41</v>
      </c>
      <c r="J2065" t="s">
        <v>66</v>
      </c>
      <c r="K2065" t="s">
        <v>37</v>
      </c>
      <c r="L2065" t="s">
        <v>38</v>
      </c>
      <c r="M2065">
        <v>1</v>
      </c>
    </row>
    <row r="2066" spans="1:13" x14ac:dyDescent="0.25">
      <c r="A2066">
        <v>1239</v>
      </c>
      <c r="B2066" t="s">
        <v>1497</v>
      </c>
      <c r="C2066" t="s">
        <v>61</v>
      </c>
      <c r="D2066">
        <v>2020</v>
      </c>
      <c r="E2066">
        <v>10377</v>
      </c>
      <c r="F2066">
        <v>15000</v>
      </c>
      <c r="G2066">
        <v>15000</v>
      </c>
      <c r="I2066" t="s">
        <v>35</v>
      </c>
      <c r="J2066" t="s">
        <v>96</v>
      </c>
      <c r="K2066" t="s">
        <v>37</v>
      </c>
      <c r="L2066" t="s">
        <v>55</v>
      </c>
      <c r="M2066">
        <v>0</v>
      </c>
    </row>
    <row r="2067" spans="1:13" x14ac:dyDescent="0.25">
      <c r="A2067">
        <v>1094</v>
      </c>
      <c r="B2067" t="s">
        <v>1498</v>
      </c>
      <c r="C2067" t="s">
        <v>40</v>
      </c>
      <c r="D2067" t="s">
        <v>52</v>
      </c>
      <c r="E2067">
        <v>9512</v>
      </c>
      <c r="F2067">
        <v>15000</v>
      </c>
      <c r="G2067">
        <v>120000</v>
      </c>
      <c r="I2067" t="s">
        <v>72</v>
      </c>
      <c r="J2067" t="s">
        <v>36</v>
      </c>
      <c r="K2067" t="s">
        <v>44</v>
      </c>
      <c r="L2067" t="s">
        <v>126</v>
      </c>
      <c r="M2067">
        <v>0</v>
      </c>
    </row>
    <row r="2068" spans="1:13" x14ac:dyDescent="0.25">
      <c r="A2068">
        <v>1269</v>
      </c>
      <c r="B2068" t="s">
        <v>417</v>
      </c>
      <c r="C2068" t="s">
        <v>119</v>
      </c>
      <c r="D2068">
        <v>2017</v>
      </c>
      <c r="E2068">
        <v>8961</v>
      </c>
      <c r="F2068">
        <v>12000</v>
      </c>
      <c r="G2068">
        <v>15000</v>
      </c>
      <c r="H2068" t="s">
        <v>84</v>
      </c>
      <c r="I2068" t="s">
        <v>72</v>
      </c>
      <c r="K2068" t="s">
        <v>116</v>
      </c>
      <c r="L2068" t="s">
        <v>98</v>
      </c>
      <c r="M2068">
        <v>2</v>
      </c>
    </row>
    <row r="2069" spans="1:13" x14ac:dyDescent="0.25">
      <c r="A2069">
        <v>1366</v>
      </c>
      <c r="B2069" t="s">
        <v>981</v>
      </c>
      <c r="C2069" t="s">
        <v>68</v>
      </c>
      <c r="D2069">
        <v>2021</v>
      </c>
      <c r="E2069">
        <v>24239</v>
      </c>
      <c r="F2069">
        <v>31000</v>
      </c>
      <c r="G2069" t="s">
        <v>130</v>
      </c>
      <c r="H2069" t="s">
        <v>84</v>
      </c>
      <c r="I2069" t="s">
        <v>59</v>
      </c>
      <c r="J2069" t="s">
        <v>66</v>
      </c>
      <c r="K2069" t="s">
        <v>37</v>
      </c>
      <c r="L2069" t="s">
        <v>98</v>
      </c>
      <c r="M2069">
        <v>0</v>
      </c>
    </row>
    <row r="2070" spans="1:13" x14ac:dyDescent="0.25">
      <c r="A2070">
        <v>1095</v>
      </c>
      <c r="B2070" t="s">
        <v>1214</v>
      </c>
      <c r="C2070" t="s">
        <v>47</v>
      </c>
      <c r="D2070" t="s">
        <v>52</v>
      </c>
      <c r="E2070">
        <v>25873</v>
      </c>
      <c r="F2070">
        <v>31000</v>
      </c>
      <c r="G2070">
        <v>120000</v>
      </c>
      <c r="H2070" t="s">
        <v>41</v>
      </c>
      <c r="I2070" t="s">
        <v>72</v>
      </c>
      <c r="J2070" t="s">
        <v>43</v>
      </c>
      <c r="K2070" t="s">
        <v>73</v>
      </c>
      <c r="L2070" t="s">
        <v>38</v>
      </c>
    </row>
    <row r="2071" spans="1:13" x14ac:dyDescent="0.25">
      <c r="A2071">
        <v>1023</v>
      </c>
      <c r="B2071" t="s">
        <v>899</v>
      </c>
      <c r="C2071" t="s">
        <v>94</v>
      </c>
      <c r="D2071">
        <v>2017</v>
      </c>
      <c r="E2071" t="s">
        <v>1499</v>
      </c>
      <c r="F2071">
        <v>7000</v>
      </c>
      <c r="G2071">
        <v>60000</v>
      </c>
      <c r="H2071" t="s">
        <v>34</v>
      </c>
      <c r="I2071" t="s">
        <v>59</v>
      </c>
      <c r="K2071" t="s">
        <v>77</v>
      </c>
      <c r="L2071" t="s">
        <v>90</v>
      </c>
      <c r="M2071">
        <v>1</v>
      </c>
    </row>
    <row r="2072" spans="1:13" x14ac:dyDescent="0.25">
      <c r="A2072">
        <v>1325</v>
      </c>
      <c r="B2072" t="s">
        <v>1003</v>
      </c>
      <c r="C2072" t="s">
        <v>47</v>
      </c>
      <c r="D2072">
        <v>2021</v>
      </c>
      <c r="E2072">
        <v>1961</v>
      </c>
      <c r="F2072" t="s">
        <v>147</v>
      </c>
      <c r="G2072" t="s">
        <v>76</v>
      </c>
      <c r="I2072" t="s">
        <v>35</v>
      </c>
      <c r="J2072" t="s">
        <v>96</v>
      </c>
      <c r="K2072" t="s">
        <v>73</v>
      </c>
      <c r="M2072">
        <v>3</v>
      </c>
    </row>
    <row r="2073" spans="1:13" x14ac:dyDescent="0.25">
      <c r="A2073">
        <v>1031</v>
      </c>
      <c r="B2073" t="s">
        <v>1500</v>
      </c>
      <c r="C2073" t="s">
        <v>47</v>
      </c>
      <c r="D2073">
        <v>2017</v>
      </c>
      <c r="E2073">
        <v>8557</v>
      </c>
      <c r="F2073">
        <v>12000</v>
      </c>
      <c r="G2073">
        <v>25000</v>
      </c>
      <c r="I2073" t="s">
        <v>72</v>
      </c>
      <c r="J2073" t="s">
        <v>96</v>
      </c>
    </row>
    <row r="2074" spans="1:13" x14ac:dyDescent="0.25">
      <c r="A2074">
        <v>1005</v>
      </c>
      <c r="B2074" t="s">
        <v>996</v>
      </c>
      <c r="C2074" t="s">
        <v>47</v>
      </c>
      <c r="E2074">
        <v>7166</v>
      </c>
      <c r="F2074">
        <v>12000</v>
      </c>
      <c r="G2074" t="s">
        <v>33</v>
      </c>
      <c r="H2074" t="s">
        <v>63</v>
      </c>
      <c r="J2074" t="s">
        <v>66</v>
      </c>
      <c r="K2074" t="s">
        <v>44</v>
      </c>
      <c r="M2074">
        <v>2</v>
      </c>
    </row>
    <row r="2075" spans="1:13" x14ac:dyDescent="0.25">
      <c r="A2075">
        <v>1589</v>
      </c>
      <c r="B2075" t="s">
        <v>128</v>
      </c>
      <c r="C2075" t="s">
        <v>65</v>
      </c>
      <c r="D2075">
        <v>2019</v>
      </c>
      <c r="E2075">
        <v>19267</v>
      </c>
      <c r="F2075">
        <v>22000</v>
      </c>
      <c r="G2075">
        <v>15000</v>
      </c>
      <c r="H2075" t="s">
        <v>69</v>
      </c>
      <c r="J2075" t="s">
        <v>66</v>
      </c>
      <c r="K2075" t="s">
        <v>77</v>
      </c>
      <c r="L2075" t="s">
        <v>98</v>
      </c>
      <c r="M2075">
        <v>3</v>
      </c>
    </row>
    <row r="2076" spans="1:13" x14ac:dyDescent="0.25">
      <c r="A2076">
        <v>1197</v>
      </c>
      <c r="B2076" t="s">
        <v>1223</v>
      </c>
      <c r="C2076" t="s">
        <v>47</v>
      </c>
      <c r="D2076">
        <v>2022</v>
      </c>
      <c r="E2076" t="s">
        <v>1501</v>
      </c>
      <c r="F2076">
        <v>31000</v>
      </c>
      <c r="G2076" t="s">
        <v>33</v>
      </c>
      <c r="H2076" t="s">
        <v>69</v>
      </c>
      <c r="I2076" t="s">
        <v>42</v>
      </c>
      <c r="J2076" t="s">
        <v>43</v>
      </c>
      <c r="K2076" t="s">
        <v>54</v>
      </c>
      <c r="L2076" t="s">
        <v>55</v>
      </c>
      <c r="M2076">
        <v>2</v>
      </c>
    </row>
    <row r="2077" spans="1:13" x14ac:dyDescent="0.25">
      <c r="A2077">
        <v>1491</v>
      </c>
      <c r="B2077" t="s">
        <v>1502</v>
      </c>
      <c r="C2077" t="s">
        <v>51</v>
      </c>
      <c r="D2077">
        <v>2020</v>
      </c>
      <c r="E2077">
        <v>20763</v>
      </c>
      <c r="F2077">
        <v>26000</v>
      </c>
      <c r="G2077">
        <v>40000</v>
      </c>
      <c r="I2077" t="s">
        <v>35</v>
      </c>
      <c r="J2077" t="s">
        <v>66</v>
      </c>
      <c r="K2077" t="s">
        <v>73</v>
      </c>
      <c r="L2077" t="s">
        <v>98</v>
      </c>
      <c r="M2077">
        <v>1</v>
      </c>
    </row>
    <row r="2078" spans="1:13" x14ac:dyDescent="0.25">
      <c r="A2078">
        <v>1452</v>
      </c>
      <c r="B2078" t="s">
        <v>403</v>
      </c>
      <c r="C2078" t="s">
        <v>32</v>
      </c>
      <c r="D2078">
        <v>2021</v>
      </c>
      <c r="E2078">
        <v>19619</v>
      </c>
      <c r="F2078" t="s">
        <v>115</v>
      </c>
      <c r="G2078">
        <v>40000</v>
      </c>
      <c r="H2078" t="s">
        <v>69</v>
      </c>
      <c r="I2078" t="s">
        <v>35</v>
      </c>
      <c r="K2078" t="s">
        <v>37</v>
      </c>
      <c r="L2078" t="s">
        <v>49</v>
      </c>
      <c r="M2078">
        <v>2</v>
      </c>
    </row>
    <row r="2079" spans="1:13" x14ac:dyDescent="0.25">
      <c r="A2079">
        <v>1115</v>
      </c>
      <c r="B2079" t="s">
        <v>1446</v>
      </c>
      <c r="C2079" t="s">
        <v>65</v>
      </c>
      <c r="D2079">
        <v>2015</v>
      </c>
      <c r="E2079">
        <v>19540</v>
      </c>
      <c r="F2079">
        <v>22000</v>
      </c>
      <c r="G2079">
        <v>60000</v>
      </c>
      <c r="H2079" t="s">
        <v>84</v>
      </c>
      <c r="I2079" t="s">
        <v>35</v>
      </c>
      <c r="J2079" t="s">
        <v>43</v>
      </c>
      <c r="L2079" t="s">
        <v>98</v>
      </c>
      <c r="M2079">
        <v>0</v>
      </c>
    </row>
    <row r="2080" spans="1:13" x14ac:dyDescent="0.25">
      <c r="A2080">
        <v>1077</v>
      </c>
      <c r="B2080" t="s">
        <v>906</v>
      </c>
      <c r="C2080" t="s">
        <v>32</v>
      </c>
      <c r="D2080">
        <v>2018</v>
      </c>
      <c r="E2080" t="s">
        <v>1503</v>
      </c>
      <c r="F2080">
        <v>26000</v>
      </c>
      <c r="G2080">
        <v>15000</v>
      </c>
      <c r="H2080" t="s">
        <v>41</v>
      </c>
      <c r="I2080" t="s">
        <v>72</v>
      </c>
      <c r="J2080" t="s">
        <v>96</v>
      </c>
      <c r="K2080" t="s">
        <v>44</v>
      </c>
      <c r="L2080" t="s">
        <v>45</v>
      </c>
      <c r="M2080">
        <v>3</v>
      </c>
    </row>
    <row r="2081" spans="1:13" x14ac:dyDescent="0.25">
      <c r="A2081">
        <v>1252</v>
      </c>
      <c r="B2081" t="s">
        <v>1504</v>
      </c>
      <c r="C2081" t="s">
        <v>79</v>
      </c>
      <c r="D2081">
        <v>2018</v>
      </c>
      <c r="E2081">
        <v>7738</v>
      </c>
      <c r="F2081">
        <v>12000</v>
      </c>
      <c r="G2081">
        <v>120000</v>
      </c>
      <c r="H2081" t="s">
        <v>53</v>
      </c>
      <c r="I2081" t="s">
        <v>59</v>
      </c>
      <c r="J2081" t="s">
        <v>43</v>
      </c>
      <c r="K2081" t="s">
        <v>37</v>
      </c>
      <c r="L2081" t="s">
        <v>45</v>
      </c>
      <c r="M2081">
        <v>0</v>
      </c>
    </row>
    <row r="2082" spans="1:13" x14ac:dyDescent="0.25">
      <c r="A2082">
        <v>1287</v>
      </c>
      <c r="B2082" t="s">
        <v>154</v>
      </c>
      <c r="C2082" t="s">
        <v>47</v>
      </c>
      <c r="D2082">
        <v>2018</v>
      </c>
      <c r="E2082">
        <v>11381</v>
      </c>
      <c r="F2082">
        <v>18000</v>
      </c>
      <c r="G2082">
        <v>120000</v>
      </c>
      <c r="H2082" t="s">
        <v>34</v>
      </c>
      <c r="I2082" t="s">
        <v>59</v>
      </c>
      <c r="J2082" t="s">
        <v>36</v>
      </c>
      <c r="K2082" t="s">
        <v>73</v>
      </c>
      <c r="L2082" t="s">
        <v>38</v>
      </c>
      <c r="M2082">
        <v>0</v>
      </c>
    </row>
    <row r="2083" spans="1:13" x14ac:dyDescent="0.25">
      <c r="A2083">
        <v>1508</v>
      </c>
      <c r="B2083" t="s">
        <v>889</v>
      </c>
      <c r="C2083" t="s">
        <v>75</v>
      </c>
      <c r="D2083">
        <v>2015</v>
      </c>
      <c r="E2083">
        <v>23873</v>
      </c>
      <c r="F2083">
        <v>26000</v>
      </c>
      <c r="G2083">
        <v>120000</v>
      </c>
      <c r="H2083" t="s">
        <v>34</v>
      </c>
      <c r="J2083" t="s">
        <v>43</v>
      </c>
      <c r="K2083" t="s">
        <v>54</v>
      </c>
      <c r="L2083" t="s">
        <v>90</v>
      </c>
      <c r="M2083">
        <v>0</v>
      </c>
    </row>
    <row r="2084" spans="1:13" x14ac:dyDescent="0.25">
      <c r="A2084">
        <v>1376</v>
      </c>
      <c r="B2084" t="s">
        <v>835</v>
      </c>
      <c r="C2084" t="s">
        <v>138</v>
      </c>
      <c r="D2084">
        <v>2017</v>
      </c>
      <c r="E2084">
        <v>23102</v>
      </c>
      <c r="F2084">
        <v>26000</v>
      </c>
      <c r="G2084">
        <v>80000</v>
      </c>
      <c r="H2084" t="s">
        <v>63</v>
      </c>
      <c r="I2084" t="s">
        <v>59</v>
      </c>
      <c r="J2084" t="s">
        <v>36</v>
      </c>
      <c r="K2084" t="s">
        <v>77</v>
      </c>
      <c r="L2084" t="s">
        <v>45</v>
      </c>
      <c r="M2084">
        <v>0</v>
      </c>
    </row>
    <row r="2085" spans="1:13" x14ac:dyDescent="0.25">
      <c r="A2085">
        <v>1071</v>
      </c>
      <c r="B2085" t="s">
        <v>156</v>
      </c>
      <c r="C2085" t="s">
        <v>75</v>
      </c>
      <c r="D2085">
        <v>2020</v>
      </c>
      <c r="E2085" t="s">
        <v>1505</v>
      </c>
      <c r="F2085">
        <v>22000</v>
      </c>
      <c r="G2085">
        <v>15000</v>
      </c>
      <c r="H2085" t="s">
        <v>41</v>
      </c>
      <c r="I2085" t="s">
        <v>42</v>
      </c>
      <c r="J2085" t="s">
        <v>96</v>
      </c>
      <c r="L2085" t="s">
        <v>45</v>
      </c>
    </row>
    <row r="2086" spans="1:13" x14ac:dyDescent="0.25">
      <c r="A2086">
        <v>1430</v>
      </c>
      <c r="B2086" t="s">
        <v>754</v>
      </c>
      <c r="C2086" t="s">
        <v>65</v>
      </c>
      <c r="D2086">
        <v>2017</v>
      </c>
      <c r="E2086" t="s">
        <v>1506</v>
      </c>
      <c r="F2086">
        <v>31000</v>
      </c>
      <c r="G2086">
        <v>60000</v>
      </c>
      <c r="H2086" t="s">
        <v>63</v>
      </c>
      <c r="I2086" t="s">
        <v>35</v>
      </c>
      <c r="J2086" t="s">
        <v>96</v>
      </c>
      <c r="K2086" t="s">
        <v>100</v>
      </c>
      <c r="L2086" t="s">
        <v>109</v>
      </c>
      <c r="M2086">
        <v>2</v>
      </c>
    </row>
    <row r="2087" spans="1:13" x14ac:dyDescent="0.25">
      <c r="A2087">
        <v>1300</v>
      </c>
      <c r="B2087" t="s">
        <v>745</v>
      </c>
      <c r="C2087" t="s">
        <v>51</v>
      </c>
      <c r="E2087" t="s">
        <v>1507</v>
      </c>
      <c r="F2087" t="s">
        <v>83</v>
      </c>
      <c r="G2087">
        <v>60000</v>
      </c>
      <c r="I2087" t="s">
        <v>72</v>
      </c>
      <c r="J2087" t="s">
        <v>43</v>
      </c>
      <c r="K2087" t="s">
        <v>100</v>
      </c>
      <c r="L2087" t="s">
        <v>55</v>
      </c>
      <c r="M2087">
        <v>2</v>
      </c>
    </row>
    <row r="2088" spans="1:13" x14ac:dyDescent="0.25">
      <c r="A2088">
        <v>1068</v>
      </c>
      <c r="B2088" t="s">
        <v>1508</v>
      </c>
      <c r="C2088" t="s">
        <v>57</v>
      </c>
      <c r="D2088">
        <v>2022</v>
      </c>
      <c r="E2088">
        <v>5081</v>
      </c>
      <c r="F2088">
        <v>7000</v>
      </c>
      <c r="G2088">
        <v>15000</v>
      </c>
      <c r="J2088" t="s">
        <v>96</v>
      </c>
      <c r="K2088" t="s">
        <v>44</v>
      </c>
      <c r="L2088" t="s">
        <v>90</v>
      </c>
      <c r="M2088">
        <v>1</v>
      </c>
    </row>
    <row r="2089" spans="1:13" x14ac:dyDescent="0.25">
      <c r="A2089">
        <v>1564</v>
      </c>
      <c r="B2089" t="s">
        <v>1286</v>
      </c>
      <c r="C2089" t="s">
        <v>61</v>
      </c>
      <c r="D2089" t="s">
        <v>52</v>
      </c>
      <c r="E2089">
        <v>2171</v>
      </c>
      <c r="F2089">
        <v>9000</v>
      </c>
      <c r="G2089">
        <v>60000</v>
      </c>
      <c r="I2089" t="s">
        <v>35</v>
      </c>
      <c r="J2089" t="s">
        <v>36</v>
      </c>
      <c r="K2089" t="s">
        <v>73</v>
      </c>
      <c r="L2089" t="s">
        <v>49</v>
      </c>
      <c r="M2089">
        <v>3</v>
      </c>
    </row>
    <row r="2090" spans="1:13" x14ac:dyDescent="0.25">
      <c r="A2090">
        <v>1345</v>
      </c>
      <c r="B2090" t="s">
        <v>1509</v>
      </c>
      <c r="C2090" t="s">
        <v>40</v>
      </c>
      <c r="D2090">
        <v>2021</v>
      </c>
      <c r="E2090">
        <v>2405</v>
      </c>
      <c r="F2090">
        <v>9000</v>
      </c>
      <c r="G2090">
        <v>25000</v>
      </c>
      <c r="H2090" t="s">
        <v>53</v>
      </c>
      <c r="I2090" t="s">
        <v>35</v>
      </c>
      <c r="J2090" t="s">
        <v>96</v>
      </c>
      <c r="K2090" t="s">
        <v>54</v>
      </c>
      <c r="M2090">
        <v>2</v>
      </c>
    </row>
    <row r="2091" spans="1:13" x14ac:dyDescent="0.25">
      <c r="A2091">
        <v>1320</v>
      </c>
      <c r="B2091" t="s">
        <v>1510</v>
      </c>
      <c r="C2091" t="s">
        <v>75</v>
      </c>
      <c r="D2091">
        <v>2018</v>
      </c>
      <c r="E2091">
        <v>5220</v>
      </c>
      <c r="F2091">
        <v>12000</v>
      </c>
      <c r="G2091">
        <v>120000</v>
      </c>
      <c r="H2091" t="s">
        <v>53</v>
      </c>
      <c r="I2091" t="s">
        <v>42</v>
      </c>
      <c r="J2091" t="s">
        <v>43</v>
      </c>
      <c r="K2091" t="s">
        <v>100</v>
      </c>
      <c r="M2091">
        <v>3</v>
      </c>
    </row>
    <row r="2092" spans="1:13" x14ac:dyDescent="0.25">
      <c r="A2092">
        <v>1213</v>
      </c>
      <c r="B2092" t="s">
        <v>200</v>
      </c>
      <c r="C2092" t="s">
        <v>79</v>
      </c>
      <c r="D2092">
        <v>2020</v>
      </c>
      <c r="E2092" t="s">
        <v>1511</v>
      </c>
      <c r="F2092" t="s">
        <v>87</v>
      </c>
      <c r="G2092">
        <v>80000</v>
      </c>
      <c r="H2092" t="s">
        <v>34</v>
      </c>
      <c r="I2092" t="s">
        <v>72</v>
      </c>
      <c r="J2092" t="s">
        <v>43</v>
      </c>
      <c r="K2092" t="s">
        <v>116</v>
      </c>
      <c r="L2092" t="s">
        <v>49</v>
      </c>
      <c r="M2092">
        <v>0</v>
      </c>
    </row>
    <row r="2093" spans="1:13" x14ac:dyDescent="0.25">
      <c r="A2093">
        <v>1537</v>
      </c>
      <c r="B2093" t="s">
        <v>541</v>
      </c>
      <c r="C2093" t="s">
        <v>61</v>
      </c>
      <c r="D2093">
        <v>2022</v>
      </c>
      <c r="E2093">
        <v>5029</v>
      </c>
      <c r="F2093">
        <v>12000</v>
      </c>
      <c r="G2093">
        <v>120000</v>
      </c>
      <c r="H2093" t="s">
        <v>69</v>
      </c>
      <c r="I2093" t="s">
        <v>35</v>
      </c>
      <c r="J2093" t="s">
        <v>36</v>
      </c>
      <c r="K2093" t="s">
        <v>116</v>
      </c>
      <c r="L2093" t="s">
        <v>49</v>
      </c>
      <c r="M2093">
        <v>0</v>
      </c>
    </row>
    <row r="2094" spans="1:13" x14ac:dyDescent="0.25">
      <c r="A2094">
        <v>1260</v>
      </c>
      <c r="B2094" t="s">
        <v>1512</v>
      </c>
      <c r="C2094" t="s">
        <v>103</v>
      </c>
      <c r="D2094">
        <v>2015</v>
      </c>
      <c r="E2094">
        <v>4713</v>
      </c>
      <c r="F2094">
        <v>9000</v>
      </c>
      <c r="G2094">
        <v>40000</v>
      </c>
      <c r="H2094" t="s">
        <v>53</v>
      </c>
      <c r="I2094" t="s">
        <v>35</v>
      </c>
      <c r="K2094" t="s">
        <v>116</v>
      </c>
      <c r="L2094" t="s">
        <v>109</v>
      </c>
      <c r="M2094">
        <v>2</v>
      </c>
    </row>
    <row r="2095" spans="1:13" x14ac:dyDescent="0.25">
      <c r="A2095">
        <v>1559</v>
      </c>
      <c r="B2095" t="s">
        <v>760</v>
      </c>
      <c r="C2095" t="s">
        <v>57</v>
      </c>
      <c r="D2095">
        <v>2018</v>
      </c>
      <c r="E2095">
        <v>24007</v>
      </c>
      <c r="F2095">
        <v>31000</v>
      </c>
      <c r="G2095">
        <v>25000</v>
      </c>
      <c r="H2095" t="s">
        <v>58</v>
      </c>
      <c r="I2095" t="s">
        <v>42</v>
      </c>
      <c r="J2095" t="s">
        <v>43</v>
      </c>
      <c r="K2095" t="s">
        <v>116</v>
      </c>
      <c r="L2095" t="s">
        <v>45</v>
      </c>
    </row>
    <row r="2096" spans="1:13" x14ac:dyDescent="0.25">
      <c r="A2096">
        <v>1573</v>
      </c>
      <c r="B2096" t="s">
        <v>1327</v>
      </c>
      <c r="C2096" t="s">
        <v>133</v>
      </c>
      <c r="D2096">
        <v>2021</v>
      </c>
      <c r="E2096">
        <v>2160</v>
      </c>
      <c r="F2096">
        <v>7000</v>
      </c>
      <c r="G2096">
        <v>15000</v>
      </c>
      <c r="H2096" t="s">
        <v>58</v>
      </c>
      <c r="I2096" t="s">
        <v>72</v>
      </c>
      <c r="J2096" t="s">
        <v>36</v>
      </c>
      <c r="K2096" t="s">
        <v>100</v>
      </c>
      <c r="L2096" t="s">
        <v>49</v>
      </c>
    </row>
    <row r="2097" spans="1:13" x14ac:dyDescent="0.25">
      <c r="A2097">
        <v>1585</v>
      </c>
      <c r="B2097" t="s">
        <v>798</v>
      </c>
      <c r="C2097" t="s">
        <v>40</v>
      </c>
      <c r="D2097">
        <v>2022</v>
      </c>
      <c r="E2097">
        <v>7673</v>
      </c>
      <c r="F2097" t="s">
        <v>204</v>
      </c>
      <c r="G2097">
        <v>25000</v>
      </c>
      <c r="H2097" t="s">
        <v>34</v>
      </c>
      <c r="I2097" t="s">
        <v>59</v>
      </c>
      <c r="J2097" t="s">
        <v>36</v>
      </c>
      <c r="K2097" t="s">
        <v>100</v>
      </c>
      <c r="M2097">
        <v>3</v>
      </c>
    </row>
    <row r="2098" spans="1:13" x14ac:dyDescent="0.25">
      <c r="A2098">
        <v>1470</v>
      </c>
      <c r="B2098" t="s">
        <v>141</v>
      </c>
      <c r="C2098" t="s">
        <v>79</v>
      </c>
      <c r="D2098">
        <v>2017</v>
      </c>
      <c r="E2098" t="s">
        <v>1513</v>
      </c>
      <c r="F2098">
        <v>15000</v>
      </c>
      <c r="G2098">
        <v>80000</v>
      </c>
      <c r="H2098" t="s">
        <v>58</v>
      </c>
      <c r="I2098" t="s">
        <v>35</v>
      </c>
      <c r="J2098" t="s">
        <v>36</v>
      </c>
      <c r="K2098" t="s">
        <v>73</v>
      </c>
      <c r="L2098" t="s">
        <v>38</v>
      </c>
      <c r="M2098">
        <v>3</v>
      </c>
    </row>
    <row r="2099" spans="1:13" x14ac:dyDescent="0.25">
      <c r="A2099">
        <v>1499</v>
      </c>
      <c r="B2099" t="s">
        <v>318</v>
      </c>
      <c r="C2099" t="s">
        <v>40</v>
      </c>
      <c r="E2099">
        <v>5618</v>
      </c>
      <c r="F2099" t="s">
        <v>147</v>
      </c>
      <c r="G2099">
        <v>60000</v>
      </c>
      <c r="H2099" t="s">
        <v>34</v>
      </c>
      <c r="I2099" t="s">
        <v>59</v>
      </c>
      <c r="K2099" t="s">
        <v>77</v>
      </c>
      <c r="L2099" t="s">
        <v>90</v>
      </c>
      <c r="M2099">
        <v>0</v>
      </c>
    </row>
    <row r="2100" spans="1:13" x14ac:dyDescent="0.25">
      <c r="A2100">
        <v>1158</v>
      </c>
      <c r="B2100" t="s">
        <v>800</v>
      </c>
      <c r="C2100" t="s">
        <v>133</v>
      </c>
      <c r="D2100">
        <v>2014</v>
      </c>
      <c r="E2100">
        <v>9867</v>
      </c>
      <c r="F2100">
        <v>15000</v>
      </c>
      <c r="G2100">
        <v>40000</v>
      </c>
      <c r="H2100" t="s">
        <v>69</v>
      </c>
      <c r="J2100" t="s">
        <v>43</v>
      </c>
      <c r="K2100" t="s">
        <v>48</v>
      </c>
      <c r="L2100" t="s">
        <v>90</v>
      </c>
    </row>
    <row r="2101" spans="1:13" x14ac:dyDescent="0.25">
      <c r="A2101">
        <v>1348</v>
      </c>
      <c r="B2101" t="s">
        <v>1514</v>
      </c>
      <c r="C2101" t="s">
        <v>103</v>
      </c>
      <c r="D2101">
        <v>2019</v>
      </c>
      <c r="E2101">
        <v>3654</v>
      </c>
      <c r="F2101">
        <v>7000</v>
      </c>
      <c r="G2101">
        <v>60000</v>
      </c>
      <c r="H2101" t="s">
        <v>34</v>
      </c>
      <c r="I2101" t="s">
        <v>72</v>
      </c>
      <c r="J2101" t="s">
        <v>96</v>
      </c>
      <c r="K2101" t="s">
        <v>37</v>
      </c>
      <c r="M2101">
        <v>1</v>
      </c>
    </row>
    <row r="2102" spans="1:13" x14ac:dyDescent="0.25">
      <c r="A2102">
        <v>1358</v>
      </c>
      <c r="B2102" t="s">
        <v>1033</v>
      </c>
      <c r="C2102" t="s">
        <v>32</v>
      </c>
      <c r="D2102">
        <v>2021</v>
      </c>
      <c r="E2102" t="s">
        <v>1515</v>
      </c>
      <c r="F2102">
        <v>18000</v>
      </c>
      <c r="G2102" t="s">
        <v>92</v>
      </c>
      <c r="H2102" t="s">
        <v>69</v>
      </c>
      <c r="I2102" t="s">
        <v>72</v>
      </c>
      <c r="J2102" t="s">
        <v>66</v>
      </c>
      <c r="K2102" t="s">
        <v>100</v>
      </c>
      <c r="L2102" t="s">
        <v>126</v>
      </c>
      <c r="M2102">
        <v>1</v>
      </c>
    </row>
    <row r="2103" spans="1:13" x14ac:dyDescent="0.25">
      <c r="A2103">
        <v>1221</v>
      </c>
      <c r="B2103" t="s">
        <v>1147</v>
      </c>
      <c r="C2103" t="s">
        <v>103</v>
      </c>
      <c r="D2103">
        <v>2016</v>
      </c>
      <c r="E2103" t="s">
        <v>1516</v>
      </c>
      <c r="F2103">
        <v>26000</v>
      </c>
      <c r="G2103">
        <v>80000</v>
      </c>
      <c r="H2103" t="s">
        <v>69</v>
      </c>
      <c r="I2103" t="s">
        <v>72</v>
      </c>
      <c r="J2103" t="s">
        <v>66</v>
      </c>
      <c r="K2103" t="s">
        <v>44</v>
      </c>
      <c r="L2103" t="s">
        <v>55</v>
      </c>
      <c r="M2103">
        <v>1</v>
      </c>
    </row>
    <row r="2104" spans="1:13" x14ac:dyDescent="0.25">
      <c r="A2104">
        <v>1390</v>
      </c>
      <c r="B2104" t="s">
        <v>890</v>
      </c>
      <c r="C2104" t="s">
        <v>119</v>
      </c>
      <c r="D2104">
        <v>2014</v>
      </c>
      <c r="E2104">
        <v>3888</v>
      </c>
      <c r="F2104" t="s">
        <v>147</v>
      </c>
      <c r="G2104">
        <v>60000</v>
      </c>
      <c r="H2104" t="s">
        <v>58</v>
      </c>
      <c r="I2104" t="s">
        <v>42</v>
      </c>
      <c r="J2104" t="s">
        <v>96</v>
      </c>
      <c r="K2104" t="s">
        <v>116</v>
      </c>
      <c r="L2104" t="s">
        <v>98</v>
      </c>
      <c r="M2104">
        <v>3</v>
      </c>
    </row>
    <row r="2105" spans="1:13" x14ac:dyDescent="0.25">
      <c r="A2105">
        <v>1204</v>
      </c>
      <c r="B2105" t="s">
        <v>911</v>
      </c>
      <c r="C2105" t="s">
        <v>79</v>
      </c>
      <c r="D2105">
        <v>2015</v>
      </c>
      <c r="E2105">
        <v>5200</v>
      </c>
      <c r="F2105">
        <v>12000</v>
      </c>
      <c r="G2105">
        <v>40000</v>
      </c>
      <c r="H2105" t="s">
        <v>41</v>
      </c>
      <c r="I2105" t="s">
        <v>35</v>
      </c>
      <c r="J2105" t="s">
        <v>96</v>
      </c>
      <c r="K2105" t="s">
        <v>77</v>
      </c>
      <c r="L2105" t="s">
        <v>98</v>
      </c>
      <c r="M2105">
        <v>3</v>
      </c>
    </row>
    <row r="2106" spans="1:13" x14ac:dyDescent="0.25">
      <c r="A2106">
        <v>1222</v>
      </c>
      <c r="B2106" t="s">
        <v>1099</v>
      </c>
      <c r="C2106" t="s">
        <v>47</v>
      </c>
      <c r="D2106">
        <v>2017</v>
      </c>
      <c r="E2106">
        <v>7441</v>
      </c>
      <c r="F2106" t="s">
        <v>204</v>
      </c>
      <c r="G2106">
        <v>60000</v>
      </c>
      <c r="H2106" t="s">
        <v>63</v>
      </c>
      <c r="I2106" t="s">
        <v>59</v>
      </c>
      <c r="J2106" t="s">
        <v>66</v>
      </c>
      <c r="L2106" t="s">
        <v>38</v>
      </c>
      <c r="M2106">
        <v>3</v>
      </c>
    </row>
    <row r="2107" spans="1:13" x14ac:dyDescent="0.25">
      <c r="A2107">
        <v>1345</v>
      </c>
      <c r="B2107" t="s">
        <v>237</v>
      </c>
      <c r="C2107" t="s">
        <v>164</v>
      </c>
      <c r="D2107">
        <v>2017</v>
      </c>
      <c r="E2107">
        <v>28553</v>
      </c>
      <c r="F2107">
        <v>31000</v>
      </c>
      <c r="G2107" t="s">
        <v>108</v>
      </c>
      <c r="H2107" t="s">
        <v>53</v>
      </c>
      <c r="I2107" t="s">
        <v>59</v>
      </c>
      <c r="J2107" t="s">
        <v>36</v>
      </c>
      <c r="K2107" t="s">
        <v>73</v>
      </c>
    </row>
    <row r="2108" spans="1:13" x14ac:dyDescent="0.25">
      <c r="A2108">
        <v>1456</v>
      </c>
      <c r="B2108" t="s">
        <v>1517</v>
      </c>
      <c r="C2108" t="s">
        <v>51</v>
      </c>
      <c r="D2108">
        <v>2016</v>
      </c>
      <c r="E2108" t="s">
        <v>1518</v>
      </c>
      <c r="F2108">
        <v>15000</v>
      </c>
      <c r="G2108" t="s">
        <v>130</v>
      </c>
      <c r="H2108" t="s">
        <v>53</v>
      </c>
      <c r="I2108" t="s">
        <v>35</v>
      </c>
      <c r="L2108" t="s">
        <v>38</v>
      </c>
    </row>
    <row r="2109" spans="1:13" x14ac:dyDescent="0.25">
      <c r="A2109">
        <v>1368</v>
      </c>
      <c r="B2109" t="s">
        <v>994</v>
      </c>
      <c r="C2109" t="s">
        <v>65</v>
      </c>
      <c r="D2109">
        <v>2019</v>
      </c>
      <c r="E2109">
        <v>24325</v>
      </c>
      <c r="F2109">
        <v>26000</v>
      </c>
      <c r="G2109">
        <v>120000</v>
      </c>
      <c r="H2109" t="s">
        <v>41</v>
      </c>
      <c r="I2109" t="s">
        <v>72</v>
      </c>
      <c r="J2109" t="s">
        <v>43</v>
      </c>
      <c r="K2109" t="s">
        <v>77</v>
      </c>
      <c r="L2109" t="s">
        <v>55</v>
      </c>
      <c r="M2109">
        <v>0</v>
      </c>
    </row>
    <row r="2110" spans="1:13" x14ac:dyDescent="0.25">
      <c r="A2110">
        <v>1394</v>
      </c>
      <c r="B2110" t="s">
        <v>1052</v>
      </c>
      <c r="C2110" t="s">
        <v>79</v>
      </c>
      <c r="D2110" t="s">
        <v>52</v>
      </c>
      <c r="E2110">
        <v>4552</v>
      </c>
      <c r="F2110">
        <v>9000</v>
      </c>
      <c r="G2110">
        <v>60000</v>
      </c>
      <c r="H2110" t="s">
        <v>34</v>
      </c>
      <c r="I2110" t="s">
        <v>72</v>
      </c>
      <c r="J2110" t="s">
        <v>96</v>
      </c>
      <c r="K2110" t="s">
        <v>44</v>
      </c>
      <c r="L2110" t="s">
        <v>45</v>
      </c>
      <c r="M2110">
        <v>2</v>
      </c>
    </row>
    <row r="2111" spans="1:13" x14ac:dyDescent="0.25">
      <c r="A2111">
        <v>1227</v>
      </c>
      <c r="B2111" t="s">
        <v>544</v>
      </c>
      <c r="C2111" t="s">
        <v>164</v>
      </c>
      <c r="D2111">
        <v>2015</v>
      </c>
      <c r="E2111">
        <v>15547</v>
      </c>
      <c r="F2111">
        <v>22000</v>
      </c>
      <c r="G2111">
        <v>60000</v>
      </c>
      <c r="H2111" t="s">
        <v>41</v>
      </c>
      <c r="I2111" t="s">
        <v>72</v>
      </c>
      <c r="J2111" t="s">
        <v>66</v>
      </c>
      <c r="K2111" t="s">
        <v>100</v>
      </c>
      <c r="L2111" t="s">
        <v>55</v>
      </c>
      <c r="M2111">
        <v>1</v>
      </c>
    </row>
    <row r="2112" spans="1:13" x14ac:dyDescent="0.25">
      <c r="A2112">
        <v>1135</v>
      </c>
      <c r="B2112" t="s">
        <v>1519</v>
      </c>
      <c r="C2112" t="s">
        <v>103</v>
      </c>
      <c r="D2112">
        <v>2022</v>
      </c>
      <c r="E2112">
        <v>19328</v>
      </c>
      <c r="F2112">
        <v>22000</v>
      </c>
      <c r="G2112">
        <v>80000</v>
      </c>
      <c r="H2112" t="s">
        <v>41</v>
      </c>
      <c r="I2112" t="s">
        <v>42</v>
      </c>
      <c r="K2112" t="s">
        <v>116</v>
      </c>
      <c r="L2112" t="s">
        <v>55</v>
      </c>
    </row>
    <row r="2113" spans="1:13" x14ac:dyDescent="0.25">
      <c r="A2113">
        <v>1023</v>
      </c>
      <c r="B2113" t="s">
        <v>316</v>
      </c>
      <c r="C2113" t="s">
        <v>47</v>
      </c>
      <c r="D2113" t="s">
        <v>52</v>
      </c>
      <c r="E2113">
        <v>8320</v>
      </c>
      <c r="F2113" t="s">
        <v>89</v>
      </c>
      <c r="G2113">
        <v>15000</v>
      </c>
      <c r="H2113" t="s">
        <v>34</v>
      </c>
      <c r="I2113" t="s">
        <v>72</v>
      </c>
      <c r="J2113" t="s">
        <v>96</v>
      </c>
      <c r="K2113" t="s">
        <v>37</v>
      </c>
      <c r="L2113" t="s">
        <v>126</v>
      </c>
      <c r="M2113">
        <v>1</v>
      </c>
    </row>
    <row r="2114" spans="1:13" x14ac:dyDescent="0.25">
      <c r="A2114">
        <v>1414</v>
      </c>
      <c r="B2114" t="s">
        <v>812</v>
      </c>
      <c r="C2114" t="s">
        <v>61</v>
      </c>
      <c r="D2114">
        <v>2014</v>
      </c>
      <c r="E2114">
        <v>21442</v>
      </c>
      <c r="F2114">
        <v>26000</v>
      </c>
      <c r="G2114">
        <v>60000</v>
      </c>
      <c r="I2114" t="s">
        <v>42</v>
      </c>
      <c r="J2114" t="s">
        <v>96</v>
      </c>
      <c r="K2114" t="s">
        <v>116</v>
      </c>
      <c r="L2114" t="s">
        <v>98</v>
      </c>
      <c r="M2114">
        <v>3</v>
      </c>
    </row>
    <row r="2115" spans="1:13" x14ac:dyDescent="0.25">
      <c r="A2115">
        <v>1597</v>
      </c>
      <c r="B2115" t="s">
        <v>399</v>
      </c>
      <c r="C2115" t="s">
        <v>75</v>
      </c>
      <c r="D2115">
        <v>2018</v>
      </c>
      <c r="E2115">
        <v>23835</v>
      </c>
      <c r="F2115">
        <v>26000</v>
      </c>
      <c r="G2115">
        <v>25000</v>
      </c>
      <c r="H2115" t="s">
        <v>41</v>
      </c>
      <c r="I2115" t="s">
        <v>42</v>
      </c>
      <c r="K2115" t="s">
        <v>44</v>
      </c>
      <c r="L2115" t="s">
        <v>90</v>
      </c>
      <c r="M2115">
        <v>2</v>
      </c>
    </row>
    <row r="2116" spans="1:13" x14ac:dyDescent="0.25">
      <c r="A2116">
        <v>1333</v>
      </c>
      <c r="B2116" t="s">
        <v>1520</v>
      </c>
      <c r="C2116" t="s">
        <v>164</v>
      </c>
      <c r="D2116">
        <v>2021</v>
      </c>
      <c r="E2116">
        <v>23750</v>
      </c>
      <c r="F2116">
        <v>26000</v>
      </c>
      <c r="G2116" t="s">
        <v>33</v>
      </c>
      <c r="I2116" t="s">
        <v>72</v>
      </c>
      <c r="J2116" t="s">
        <v>66</v>
      </c>
      <c r="K2116" t="s">
        <v>48</v>
      </c>
      <c r="L2116" t="s">
        <v>38</v>
      </c>
    </row>
    <row r="2117" spans="1:13" x14ac:dyDescent="0.25">
      <c r="A2117">
        <v>1205</v>
      </c>
      <c r="B2117" t="s">
        <v>914</v>
      </c>
      <c r="C2117" t="s">
        <v>65</v>
      </c>
      <c r="E2117">
        <v>18633</v>
      </c>
      <c r="F2117">
        <v>22000</v>
      </c>
      <c r="G2117">
        <v>80000</v>
      </c>
      <c r="H2117" t="s">
        <v>69</v>
      </c>
      <c r="I2117" t="s">
        <v>59</v>
      </c>
      <c r="J2117" t="s">
        <v>96</v>
      </c>
      <c r="K2117" t="s">
        <v>48</v>
      </c>
      <c r="L2117" t="s">
        <v>109</v>
      </c>
      <c r="M2117">
        <v>1</v>
      </c>
    </row>
    <row r="2118" spans="1:13" x14ac:dyDescent="0.25">
      <c r="A2118">
        <v>1032</v>
      </c>
      <c r="B2118" t="s">
        <v>1342</v>
      </c>
      <c r="C2118" t="s">
        <v>75</v>
      </c>
      <c r="D2118">
        <v>2021</v>
      </c>
      <c r="E2118" t="s">
        <v>1521</v>
      </c>
      <c r="F2118">
        <v>7000</v>
      </c>
      <c r="G2118" t="s">
        <v>121</v>
      </c>
      <c r="H2118" t="s">
        <v>58</v>
      </c>
      <c r="I2118" t="s">
        <v>59</v>
      </c>
      <c r="J2118" t="s">
        <v>66</v>
      </c>
      <c r="K2118" t="s">
        <v>48</v>
      </c>
      <c r="L2118" t="s">
        <v>98</v>
      </c>
      <c r="M2118">
        <v>1</v>
      </c>
    </row>
    <row r="2119" spans="1:13" x14ac:dyDescent="0.25">
      <c r="A2119">
        <v>1190</v>
      </c>
      <c r="B2119" t="s">
        <v>1190</v>
      </c>
      <c r="C2119" t="s">
        <v>57</v>
      </c>
      <c r="D2119">
        <v>2019</v>
      </c>
      <c r="E2119" t="s">
        <v>1522</v>
      </c>
      <c r="F2119">
        <v>26000</v>
      </c>
      <c r="G2119">
        <v>120000</v>
      </c>
      <c r="I2119" t="s">
        <v>72</v>
      </c>
      <c r="K2119" t="s">
        <v>77</v>
      </c>
      <c r="L2119" t="s">
        <v>49</v>
      </c>
      <c r="M2119">
        <v>3</v>
      </c>
    </row>
    <row r="2120" spans="1:13" x14ac:dyDescent="0.25">
      <c r="A2120">
        <v>1010</v>
      </c>
      <c r="B2120" t="s">
        <v>1523</v>
      </c>
      <c r="C2120" t="s">
        <v>94</v>
      </c>
      <c r="D2120">
        <v>2014</v>
      </c>
      <c r="E2120">
        <v>6986</v>
      </c>
      <c r="F2120">
        <v>9000</v>
      </c>
      <c r="G2120">
        <v>80000</v>
      </c>
      <c r="H2120" t="s">
        <v>41</v>
      </c>
      <c r="I2120" t="s">
        <v>59</v>
      </c>
      <c r="J2120" t="s">
        <v>66</v>
      </c>
      <c r="K2120" t="s">
        <v>100</v>
      </c>
      <c r="L2120" t="s">
        <v>98</v>
      </c>
      <c r="M2120">
        <v>2</v>
      </c>
    </row>
    <row r="2121" spans="1:13" x14ac:dyDescent="0.25">
      <c r="A2121">
        <v>1365</v>
      </c>
      <c r="B2121" t="s">
        <v>475</v>
      </c>
      <c r="C2121" t="s">
        <v>51</v>
      </c>
      <c r="D2121">
        <v>2021</v>
      </c>
      <c r="E2121">
        <v>10158</v>
      </c>
      <c r="F2121">
        <v>15000</v>
      </c>
      <c r="G2121">
        <v>120000</v>
      </c>
      <c r="I2121" t="s">
        <v>59</v>
      </c>
      <c r="J2121" t="s">
        <v>36</v>
      </c>
      <c r="K2121" t="s">
        <v>73</v>
      </c>
      <c r="L2121" t="s">
        <v>38</v>
      </c>
      <c r="M2121">
        <v>3</v>
      </c>
    </row>
    <row r="2122" spans="1:13" x14ac:dyDescent="0.25">
      <c r="A2122">
        <v>1572</v>
      </c>
      <c r="B2122" t="s">
        <v>283</v>
      </c>
      <c r="C2122" t="s">
        <v>32</v>
      </c>
      <c r="D2122">
        <v>2020</v>
      </c>
      <c r="E2122" t="s">
        <v>1524</v>
      </c>
      <c r="F2122">
        <v>18000</v>
      </c>
      <c r="G2122">
        <v>120000</v>
      </c>
      <c r="H2122" t="s">
        <v>53</v>
      </c>
      <c r="I2122" t="s">
        <v>72</v>
      </c>
      <c r="J2122" t="s">
        <v>43</v>
      </c>
      <c r="K2122" t="s">
        <v>48</v>
      </c>
      <c r="L2122" t="s">
        <v>45</v>
      </c>
      <c r="M2122">
        <v>2</v>
      </c>
    </row>
    <row r="2123" spans="1:13" x14ac:dyDescent="0.25">
      <c r="A2123">
        <v>1058</v>
      </c>
      <c r="B2123" t="s">
        <v>659</v>
      </c>
      <c r="C2123" t="s">
        <v>133</v>
      </c>
      <c r="D2123">
        <v>2017</v>
      </c>
      <c r="E2123">
        <v>10392</v>
      </c>
      <c r="F2123">
        <v>15000</v>
      </c>
      <c r="G2123">
        <v>80000</v>
      </c>
      <c r="H2123" t="s">
        <v>63</v>
      </c>
      <c r="I2123" t="s">
        <v>42</v>
      </c>
      <c r="K2123" t="s">
        <v>73</v>
      </c>
      <c r="L2123" t="s">
        <v>109</v>
      </c>
      <c r="M2123">
        <v>3</v>
      </c>
    </row>
    <row r="2124" spans="1:13" x14ac:dyDescent="0.25">
      <c r="A2124">
        <v>1555</v>
      </c>
      <c r="B2124" t="s">
        <v>1126</v>
      </c>
      <c r="C2124" t="s">
        <v>103</v>
      </c>
      <c r="D2124">
        <v>2019</v>
      </c>
      <c r="E2124">
        <v>6433</v>
      </c>
      <c r="F2124">
        <v>9000</v>
      </c>
      <c r="G2124">
        <v>80000</v>
      </c>
      <c r="H2124" t="s">
        <v>84</v>
      </c>
      <c r="M2124">
        <v>1</v>
      </c>
    </row>
    <row r="2125" spans="1:13" x14ac:dyDescent="0.25">
      <c r="A2125">
        <v>1412</v>
      </c>
      <c r="B2125" t="s">
        <v>390</v>
      </c>
      <c r="C2125" t="s">
        <v>138</v>
      </c>
      <c r="D2125">
        <v>2018</v>
      </c>
      <c r="E2125">
        <v>11094</v>
      </c>
      <c r="F2125">
        <v>15000</v>
      </c>
      <c r="G2125">
        <v>40000</v>
      </c>
      <c r="H2125" t="s">
        <v>34</v>
      </c>
      <c r="I2125" t="s">
        <v>42</v>
      </c>
      <c r="J2125" t="s">
        <v>96</v>
      </c>
      <c r="K2125" t="s">
        <v>73</v>
      </c>
      <c r="L2125" t="s">
        <v>90</v>
      </c>
      <c r="M2125">
        <v>1</v>
      </c>
    </row>
    <row r="2126" spans="1:13" x14ac:dyDescent="0.25">
      <c r="A2126">
        <v>1271</v>
      </c>
      <c r="B2126" t="s">
        <v>1365</v>
      </c>
      <c r="C2126" t="s">
        <v>68</v>
      </c>
      <c r="D2126">
        <v>2022</v>
      </c>
      <c r="E2126">
        <v>21779</v>
      </c>
      <c r="F2126">
        <v>26000</v>
      </c>
      <c r="G2126">
        <v>40000</v>
      </c>
      <c r="H2126" t="s">
        <v>63</v>
      </c>
      <c r="I2126" t="s">
        <v>72</v>
      </c>
      <c r="K2126" t="s">
        <v>48</v>
      </c>
      <c r="L2126" t="s">
        <v>109</v>
      </c>
      <c r="M2126">
        <v>1</v>
      </c>
    </row>
    <row r="2127" spans="1:13" x14ac:dyDescent="0.25">
      <c r="A2127">
        <v>1032</v>
      </c>
      <c r="B2127" t="s">
        <v>880</v>
      </c>
      <c r="C2127" t="s">
        <v>32</v>
      </c>
      <c r="D2127">
        <v>2016</v>
      </c>
      <c r="E2127">
        <v>5087</v>
      </c>
      <c r="F2127">
        <v>9000</v>
      </c>
      <c r="G2127" t="s">
        <v>108</v>
      </c>
      <c r="H2127" t="s">
        <v>41</v>
      </c>
      <c r="I2127" t="s">
        <v>42</v>
      </c>
      <c r="J2127" t="s">
        <v>96</v>
      </c>
      <c r="K2127" t="s">
        <v>54</v>
      </c>
      <c r="L2127" t="s">
        <v>98</v>
      </c>
    </row>
    <row r="2128" spans="1:13" x14ac:dyDescent="0.25">
      <c r="A2128">
        <v>1217</v>
      </c>
      <c r="B2128" t="s">
        <v>878</v>
      </c>
      <c r="C2128" t="s">
        <v>51</v>
      </c>
      <c r="D2128">
        <v>2020</v>
      </c>
      <c r="E2128">
        <v>22546</v>
      </c>
      <c r="F2128">
        <v>26000</v>
      </c>
      <c r="G2128">
        <v>15000</v>
      </c>
      <c r="H2128" t="s">
        <v>34</v>
      </c>
      <c r="J2128" t="s">
        <v>36</v>
      </c>
      <c r="K2128" t="s">
        <v>37</v>
      </c>
      <c r="L2128" t="s">
        <v>98</v>
      </c>
      <c r="M2128">
        <v>0</v>
      </c>
    </row>
    <row r="2129" spans="1:13" x14ac:dyDescent="0.25">
      <c r="A2129">
        <v>1588</v>
      </c>
      <c r="B2129" t="s">
        <v>1525</v>
      </c>
      <c r="C2129" t="s">
        <v>57</v>
      </c>
      <c r="D2129">
        <v>2016</v>
      </c>
      <c r="E2129">
        <v>7638</v>
      </c>
      <c r="F2129">
        <v>9000</v>
      </c>
      <c r="G2129">
        <v>40000</v>
      </c>
      <c r="H2129" t="s">
        <v>63</v>
      </c>
      <c r="J2129" t="s">
        <v>43</v>
      </c>
      <c r="L2129" t="s">
        <v>49</v>
      </c>
    </row>
    <row r="2130" spans="1:13" x14ac:dyDescent="0.25">
      <c r="A2130">
        <v>1226</v>
      </c>
      <c r="B2130" t="s">
        <v>178</v>
      </c>
      <c r="C2130" t="s">
        <v>68</v>
      </c>
      <c r="D2130">
        <v>2014</v>
      </c>
      <c r="E2130">
        <v>14429</v>
      </c>
      <c r="F2130">
        <v>18000</v>
      </c>
      <c r="G2130">
        <v>15000</v>
      </c>
      <c r="H2130" t="s">
        <v>34</v>
      </c>
      <c r="I2130" t="s">
        <v>59</v>
      </c>
      <c r="J2130" t="s">
        <v>36</v>
      </c>
      <c r="K2130" t="s">
        <v>37</v>
      </c>
      <c r="L2130" t="s">
        <v>38</v>
      </c>
    </row>
    <row r="2131" spans="1:13" x14ac:dyDescent="0.25">
      <c r="A2131">
        <v>1346</v>
      </c>
      <c r="B2131" t="s">
        <v>1278</v>
      </c>
      <c r="C2131" t="s">
        <v>61</v>
      </c>
      <c r="D2131">
        <v>2019</v>
      </c>
      <c r="E2131">
        <v>4630</v>
      </c>
      <c r="F2131">
        <v>7000</v>
      </c>
      <c r="G2131">
        <v>15000</v>
      </c>
      <c r="H2131" t="s">
        <v>41</v>
      </c>
      <c r="I2131" t="s">
        <v>35</v>
      </c>
      <c r="J2131" t="s">
        <v>36</v>
      </c>
      <c r="K2131" t="s">
        <v>37</v>
      </c>
      <c r="L2131" t="s">
        <v>90</v>
      </c>
      <c r="M2131">
        <v>2</v>
      </c>
    </row>
    <row r="2132" spans="1:13" x14ac:dyDescent="0.25">
      <c r="A2132">
        <v>1572</v>
      </c>
      <c r="B2132" t="s">
        <v>372</v>
      </c>
      <c r="C2132" t="s">
        <v>79</v>
      </c>
      <c r="D2132">
        <v>2021</v>
      </c>
      <c r="E2132" t="s">
        <v>1526</v>
      </c>
      <c r="F2132">
        <v>9000</v>
      </c>
      <c r="G2132">
        <v>80000</v>
      </c>
      <c r="H2132" t="s">
        <v>84</v>
      </c>
      <c r="J2132" t="s">
        <v>96</v>
      </c>
      <c r="K2132" t="s">
        <v>37</v>
      </c>
      <c r="L2132" t="s">
        <v>38</v>
      </c>
      <c r="M2132">
        <v>3</v>
      </c>
    </row>
    <row r="2133" spans="1:13" x14ac:dyDescent="0.25">
      <c r="A2133">
        <v>1097</v>
      </c>
      <c r="B2133" t="s">
        <v>750</v>
      </c>
      <c r="C2133" t="s">
        <v>79</v>
      </c>
      <c r="D2133">
        <v>2014</v>
      </c>
      <c r="E2133">
        <v>20011</v>
      </c>
      <c r="F2133">
        <v>22000</v>
      </c>
      <c r="G2133">
        <v>40000</v>
      </c>
      <c r="H2133" t="s">
        <v>34</v>
      </c>
      <c r="J2133" t="s">
        <v>43</v>
      </c>
      <c r="K2133" t="s">
        <v>37</v>
      </c>
      <c r="M2133">
        <v>3</v>
      </c>
    </row>
    <row r="2134" spans="1:13" x14ac:dyDescent="0.25">
      <c r="A2134">
        <v>1318</v>
      </c>
      <c r="B2134" t="s">
        <v>439</v>
      </c>
      <c r="C2134" t="s">
        <v>133</v>
      </c>
      <c r="D2134">
        <v>2015</v>
      </c>
      <c r="E2134">
        <v>25607</v>
      </c>
      <c r="F2134" t="s">
        <v>87</v>
      </c>
      <c r="G2134">
        <v>15000</v>
      </c>
      <c r="H2134" t="s">
        <v>58</v>
      </c>
      <c r="J2134" t="s">
        <v>96</v>
      </c>
      <c r="K2134" t="s">
        <v>73</v>
      </c>
      <c r="L2134" t="s">
        <v>55</v>
      </c>
      <c r="M2134">
        <v>0</v>
      </c>
    </row>
    <row r="2135" spans="1:13" x14ac:dyDescent="0.25">
      <c r="A2135">
        <v>1143</v>
      </c>
      <c r="B2135" t="s">
        <v>146</v>
      </c>
      <c r="C2135" t="s">
        <v>103</v>
      </c>
      <c r="D2135">
        <v>2015</v>
      </c>
      <c r="E2135" t="s">
        <v>1527</v>
      </c>
      <c r="F2135">
        <v>12000</v>
      </c>
      <c r="G2135">
        <v>80000</v>
      </c>
      <c r="H2135" t="s">
        <v>58</v>
      </c>
      <c r="I2135" t="s">
        <v>42</v>
      </c>
      <c r="J2135" t="s">
        <v>36</v>
      </c>
      <c r="K2135" t="s">
        <v>54</v>
      </c>
      <c r="L2135" t="s">
        <v>126</v>
      </c>
      <c r="M2135">
        <v>0</v>
      </c>
    </row>
    <row r="2136" spans="1:13" x14ac:dyDescent="0.25">
      <c r="A2136">
        <v>1534</v>
      </c>
      <c r="B2136" t="s">
        <v>1528</v>
      </c>
      <c r="C2136" t="s">
        <v>47</v>
      </c>
      <c r="D2136">
        <v>2021</v>
      </c>
      <c r="E2136">
        <v>3937</v>
      </c>
      <c r="F2136">
        <v>9000</v>
      </c>
      <c r="G2136">
        <v>60000</v>
      </c>
      <c r="H2136" t="s">
        <v>69</v>
      </c>
      <c r="J2136" t="s">
        <v>36</v>
      </c>
      <c r="K2136" t="s">
        <v>48</v>
      </c>
      <c r="L2136" t="s">
        <v>98</v>
      </c>
      <c r="M2136">
        <v>0</v>
      </c>
    </row>
    <row r="2137" spans="1:13" x14ac:dyDescent="0.25">
      <c r="A2137">
        <v>1235</v>
      </c>
      <c r="B2137" t="s">
        <v>1428</v>
      </c>
      <c r="C2137" t="s">
        <v>75</v>
      </c>
      <c r="D2137">
        <v>2016</v>
      </c>
      <c r="E2137">
        <v>23925</v>
      </c>
      <c r="F2137">
        <v>26000</v>
      </c>
      <c r="G2137">
        <v>120000</v>
      </c>
      <c r="H2137" t="s">
        <v>63</v>
      </c>
      <c r="I2137" t="s">
        <v>35</v>
      </c>
      <c r="J2137" t="s">
        <v>43</v>
      </c>
      <c r="K2137" t="s">
        <v>44</v>
      </c>
      <c r="L2137" t="s">
        <v>55</v>
      </c>
      <c r="M2137">
        <v>0</v>
      </c>
    </row>
    <row r="2138" spans="1:13" x14ac:dyDescent="0.25">
      <c r="A2138">
        <v>1064</v>
      </c>
      <c r="B2138" t="s">
        <v>685</v>
      </c>
      <c r="C2138" t="s">
        <v>57</v>
      </c>
      <c r="D2138">
        <v>2015</v>
      </c>
      <c r="E2138">
        <v>4465</v>
      </c>
      <c r="F2138">
        <v>9000</v>
      </c>
      <c r="G2138">
        <v>80000</v>
      </c>
      <c r="H2138" t="s">
        <v>58</v>
      </c>
      <c r="I2138" t="s">
        <v>42</v>
      </c>
      <c r="K2138" t="s">
        <v>77</v>
      </c>
      <c r="L2138" t="s">
        <v>38</v>
      </c>
      <c r="M2138">
        <v>0</v>
      </c>
    </row>
    <row r="2139" spans="1:13" x14ac:dyDescent="0.25">
      <c r="A2139">
        <v>1594</v>
      </c>
      <c r="B2139" t="s">
        <v>1529</v>
      </c>
      <c r="C2139" t="s">
        <v>57</v>
      </c>
      <c r="D2139">
        <v>2019</v>
      </c>
      <c r="E2139">
        <v>16839</v>
      </c>
      <c r="F2139" t="s">
        <v>115</v>
      </c>
      <c r="G2139">
        <v>80000</v>
      </c>
      <c r="H2139" t="s">
        <v>58</v>
      </c>
      <c r="I2139" t="s">
        <v>42</v>
      </c>
      <c r="J2139" t="s">
        <v>36</v>
      </c>
      <c r="K2139" t="s">
        <v>54</v>
      </c>
      <c r="L2139" t="s">
        <v>109</v>
      </c>
    </row>
    <row r="2140" spans="1:13" x14ac:dyDescent="0.25">
      <c r="A2140">
        <v>1110</v>
      </c>
      <c r="B2140" t="s">
        <v>207</v>
      </c>
      <c r="C2140" t="s">
        <v>103</v>
      </c>
      <c r="D2140">
        <v>2022</v>
      </c>
      <c r="E2140">
        <v>3227</v>
      </c>
      <c r="F2140">
        <v>9000</v>
      </c>
      <c r="G2140">
        <v>15000</v>
      </c>
      <c r="H2140" t="s">
        <v>69</v>
      </c>
      <c r="I2140" t="s">
        <v>72</v>
      </c>
      <c r="J2140" t="s">
        <v>36</v>
      </c>
      <c r="K2140" t="s">
        <v>44</v>
      </c>
      <c r="L2140" t="s">
        <v>90</v>
      </c>
      <c r="M2140">
        <v>0</v>
      </c>
    </row>
    <row r="2141" spans="1:13" x14ac:dyDescent="0.25">
      <c r="A2141">
        <v>1531</v>
      </c>
      <c r="B2141" t="s">
        <v>1165</v>
      </c>
      <c r="C2141" t="s">
        <v>75</v>
      </c>
      <c r="D2141">
        <v>2016</v>
      </c>
      <c r="E2141" t="s">
        <v>1530</v>
      </c>
      <c r="F2141">
        <v>7000</v>
      </c>
      <c r="G2141">
        <v>25000</v>
      </c>
      <c r="H2141" t="s">
        <v>41</v>
      </c>
      <c r="I2141" t="s">
        <v>72</v>
      </c>
      <c r="J2141" t="s">
        <v>96</v>
      </c>
      <c r="K2141" t="s">
        <v>48</v>
      </c>
      <c r="L2141" t="s">
        <v>126</v>
      </c>
    </row>
    <row r="2142" spans="1:13" x14ac:dyDescent="0.25">
      <c r="A2142">
        <v>1565</v>
      </c>
      <c r="B2142" t="s">
        <v>1531</v>
      </c>
      <c r="C2142" t="s">
        <v>75</v>
      </c>
      <c r="E2142">
        <v>27898</v>
      </c>
      <c r="F2142">
        <v>31000</v>
      </c>
      <c r="G2142">
        <v>15000</v>
      </c>
      <c r="H2142" t="s">
        <v>69</v>
      </c>
      <c r="I2142" t="s">
        <v>72</v>
      </c>
      <c r="K2142" t="s">
        <v>44</v>
      </c>
      <c r="L2142" t="s">
        <v>126</v>
      </c>
      <c r="M2142">
        <v>3</v>
      </c>
    </row>
    <row r="2143" spans="1:13" x14ac:dyDescent="0.25">
      <c r="A2143">
        <v>1134</v>
      </c>
      <c r="B2143" t="s">
        <v>1402</v>
      </c>
      <c r="C2143" t="s">
        <v>40</v>
      </c>
      <c r="E2143">
        <v>20716</v>
      </c>
      <c r="F2143">
        <v>22000</v>
      </c>
      <c r="G2143">
        <v>80000</v>
      </c>
      <c r="H2143" t="s">
        <v>34</v>
      </c>
      <c r="K2143" t="s">
        <v>77</v>
      </c>
      <c r="M2143">
        <v>2</v>
      </c>
    </row>
    <row r="2144" spans="1:13" x14ac:dyDescent="0.25">
      <c r="A2144">
        <v>1080</v>
      </c>
      <c r="B2144" t="s">
        <v>938</v>
      </c>
      <c r="C2144" t="s">
        <v>68</v>
      </c>
      <c r="D2144">
        <v>2021</v>
      </c>
      <c r="E2144">
        <v>12017</v>
      </c>
      <c r="F2144">
        <v>18000</v>
      </c>
      <c r="G2144">
        <v>25000</v>
      </c>
      <c r="H2144" t="s">
        <v>69</v>
      </c>
      <c r="J2144" t="s">
        <v>96</v>
      </c>
      <c r="K2144" t="s">
        <v>116</v>
      </c>
      <c r="L2144" t="s">
        <v>55</v>
      </c>
      <c r="M2144">
        <v>3</v>
      </c>
    </row>
    <row r="2145" spans="1:13" x14ac:dyDescent="0.25">
      <c r="A2145">
        <v>1294</v>
      </c>
      <c r="B2145" t="s">
        <v>160</v>
      </c>
      <c r="C2145" t="s">
        <v>57</v>
      </c>
      <c r="D2145">
        <v>2019</v>
      </c>
      <c r="E2145">
        <v>8863</v>
      </c>
      <c r="F2145">
        <v>15000</v>
      </c>
      <c r="G2145">
        <v>120000</v>
      </c>
      <c r="H2145" t="s">
        <v>63</v>
      </c>
      <c r="I2145" t="s">
        <v>42</v>
      </c>
      <c r="J2145" t="s">
        <v>36</v>
      </c>
      <c r="K2145" t="s">
        <v>37</v>
      </c>
      <c r="L2145" t="s">
        <v>98</v>
      </c>
      <c r="M2145">
        <v>2</v>
      </c>
    </row>
    <row r="2146" spans="1:13" x14ac:dyDescent="0.25">
      <c r="A2146">
        <v>1384</v>
      </c>
      <c r="B2146" t="s">
        <v>1532</v>
      </c>
      <c r="C2146" t="s">
        <v>133</v>
      </c>
      <c r="D2146">
        <v>2016</v>
      </c>
      <c r="E2146">
        <v>21155</v>
      </c>
      <c r="F2146">
        <v>26000</v>
      </c>
      <c r="G2146">
        <v>15000</v>
      </c>
      <c r="H2146" t="s">
        <v>58</v>
      </c>
      <c r="I2146" t="s">
        <v>59</v>
      </c>
      <c r="J2146" t="s">
        <v>66</v>
      </c>
      <c r="K2146" t="s">
        <v>116</v>
      </c>
      <c r="L2146" t="s">
        <v>98</v>
      </c>
      <c r="M2146">
        <v>0</v>
      </c>
    </row>
    <row r="2147" spans="1:13" x14ac:dyDescent="0.25">
      <c r="A2147">
        <v>1408</v>
      </c>
      <c r="B2147" t="s">
        <v>173</v>
      </c>
      <c r="C2147" t="s">
        <v>32</v>
      </c>
      <c r="D2147">
        <v>2020</v>
      </c>
      <c r="E2147">
        <v>19109</v>
      </c>
      <c r="F2147">
        <v>26000</v>
      </c>
      <c r="G2147">
        <v>25000</v>
      </c>
      <c r="H2147" t="s">
        <v>58</v>
      </c>
      <c r="I2147" t="s">
        <v>72</v>
      </c>
      <c r="J2147" t="s">
        <v>43</v>
      </c>
      <c r="L2147" t="s">
        <v>98</v>
      </c>
      <c r="M2147">
        <v>3</v>
      </c>
    </row>
    <row r="2148" spans="1:13" x14ac:dyDescent="0.25">
      <c r="A2148">
        <v>1509</v>
      </c>
      <c r="B2148" t="s">
        <v>314</v>
      </c>
      <c r="C2148" t="s">
        <v>68</v>
      </c>
      <c r="D2148">
        <v>2015</v>
      </c>
      <c r="E2148">
        <v>21900</v>
      </c>
      <c r="F2148">
        <v>26000</v>
      </c>
      <c r="G2148">
        <v>40000</v>
      </c>
      <c r="H2148" t="s">
        <v>58</v>
      </c>
      <c r="I2148" t="s">
        <v>35</v>
      </c>
      <c r="J2148" t="s">
        <v>96</v>
      </c>
      <c r="K2148" t="s">
        <v>116</v>
      </c>
      <c r="L2148" t="s">
        <v>90</v>
      </c>
      <c r="M2148">
        <v>1</v>
      </c>
    </row>
    <row r="2149" spans="1:13" x14ac:dyDescent="0.25">
      <c r="A2149">
        <v>1207</v>
      </c>
      <c r="B2149" t="s">
        <v>980</v>
      </c>
      <c r="C2149" t="s">
        <v>75</v>
      </c>
      <c r="D2149">
        <v>2016</v>
      </c>
      <c r="E2149">
        <v>18760</v>
      </c>
      <c r="F2149">
        <v>22000</v>
      </c>
      <c r="G2149">
        <v>25000</v>
      </c>
      <c r="H2149" t="s">
        <v>41</v>
      </c>
      <c r="I2149" t="s">
        <v>35</v>
      </c>
      <c r="K2149" t="s">
        <v>44</v>
      </c>
    </row>
    <row r="2150" spans="1:13" x14ac:dyDescent="0.25">
      <c r="A2150">
        <v>1110</v>
      </c>
      <c r="B2150" t="s">
        <v>163</v>
      </c>
      <c r="C2150" t="s">
        <v>51</v>
      </c>
      <c r="E2150">
        <v>21293</v>
      </c>
      <c r="F2150">
        <v>26000</v>
      </c>
      <c r="G2150">
        <v>15000</v>
      </c>
      <c r="H2150" t="s">
        <v>58</v>
      </c>
      <c r="I2150" t="s">
        <v>35</v>
      </c>
      <c r="J2150" t="s">
        <v>96</v>
      </c>
      <c r="K2150" t="s">
        <v>77</v>
      </c>
      <c r="L2150" t="s">
        <v>109</v>
      </c>
      <c r="M2150">
        <v>1</v>
      </c>
    </row>
    <row r="2151" spans="1:13" x14ac:dyDescent="0.25">
      <c r="A2151">
        <v>1423</v>
      </c>
      <c r="B2151" t="s">
        <v>1102</v>
      </c>
      <c r="C2151" t="s">
        <v>75</v>
      </c>
      <c r="D2151">
        <v>2017</v>
      </c>
      <c r="E2151" t="s">
        <v>1533</v>
      </c>
      <c r="F2151">
        <v>9000</v>
      </c>
      <c r="G2151">
        <v>80000</v>
      </c>
      <c r="H2151" t="s">
        <v>53</v>
      </c>
      <c r="I2151" t="s">
        <v>72</v>
      </c>
      <c r="J2151" t="s">
        <v>66</v>
      </c>
      <c r="K2151" t="s">
        <v>77</v>
      </c>
      <c r="L2151" t="s">
        <v>90</v>
      </c>
      <c r="M2151">
        <v>1</v>
      </c>
    </row>
    <row r="2152" spans="1:13" x14ac:dyDescent="0.25">
      <c r="A2152">
        <v>1264</v>
      </c>
      <c r="B2152" t="s">
        <v>1058</v>
      </c>
      <c r="C2152" t="s">
        <v>32</v>
      </c>
      <c r="D2152">
        <v>2014</v>
      </c>
      <c r="E2152">
        <v>3260</v>
      </c>
      <c r="F2152">
        <v>9000</v>
      </c>
      <c r="G2152" t="s">
        <v>33</v>
      </c>
      <c r="H2152" t="s">
        <v>69</v>
      </c>
      <c r="I2152" t="s">
        <v>35</v>
      </c>
      <c r="J2152" t="s">
        <v>96</v>
      </c>
      <c r="K2152" t="s">
        <v>73</v>
      </c>
      <c r="M2152">
        <v>3</v>
      </c>
    </row>
    <row r="2153" spans="1:13" x14ac:dyDescent="0.25">
      <c r="A2153">
        <v>1493</v>
      </c>
      <c r="B2153" t="s">
        <v>993</v>
      </c>
      <c r="C2153" t="s">
        <v>119</v>
      </c>
      <c r="D2153">
        <v>2018</v>
      </c>
      <c r="E2153">
        <v>8797</v>
      </c>
      <c r="F2153">
        <v>15000</v>
      </c>
      <c r="G2153">
        <v>120000</v>
      </c>
      <c r="H2153" t="s">
        <v>69</v>
      </c>
      <c r="I2153" t="s">
        <v>35</v>
      </c>
      <c r="J2153" t="s">
        <v>66</v>
      </c>
      <c r="K2153" t="s">
        <v>37</v>
      </c>
      <c r="L2153" t="s">
        <v>49</v>
      </c>
      <c r="M2153">
        <v>3</v>
      </c>
    </row>
    <row r="2154" spans="1:13" x14ac:dyDescent="0.25">
      <c r="A2154">
        <v>1529</v>
      </c>
      <c r="B2154" t="s">
        <v>601</v>
      </c>
      <c r="C2154" t="s">
        <v>164</v>
      </c>
      <c r="D2154">
        <v>2017</v>
      </c>
      <c r="E2154" t="s">
        <v>1534</v>
      </c>
      <c r="F2154" t="s">
        <v>81</v>
      </c>
      <c r="G2154" t="s">
        <v>33</v>
      </c>
      <c r="H2154" t="s">
        <v>41</v>
      </c>
      <c r="J2154" t="s">
        <v>43</v>
      </c>
      <c r="K2154" t="s">
        <v>100</v>
      </c>
      <c r="L2154" t="s">
        <v>45</v>
      </c>
      <c r="M2154">
        <v>1</v>
      </c>
    </row>
    <row r="2155" spans="1:13" x14ac:dyDescent="0.25">
      <c r="A2155">
        <v>1222</v>
      </c>
      <c r="B2155" t="s">
        <v>1224</v>
      </c>
      <c r="C2155" t="s">
        <v>103</v>
      </c>
      <c r="D2155">
        <v>2019</v>
      </c>
      <c r="E2155">
        <v>24950</v>
      </c>
      <c r="F2155">
        <v>31000</v>
      </c>
      <c r="G2155">
        <v>80000</v>
      </c>
      <c r="H2155" t="s">
        <v>69</v>
      </c>
      <c r="I2155" t="s">
        <v>72</v>
      </c>
      <c r="J2155" t="s">
        <v>66</v>
      </c>
      <c r="K2155" t="s">
        <v>48</v>
      </c>
      <c r="L2155" t="s">
        <v>38</v>
      </c>
      <c r="M2155">
        <v>2</v>
      </c>
    </row>
    <row r="2156" spans="1:13" x14ac:dyDescent="0.25">
      <c r="A2156">
        <v>1318</v>
      </c>
      <c r="B2156" t="s">
        <v>154</v>
      </c>
      <c r="C2156" t="s">
        <v>164</v>
      </c>
      <c r="D2156">
        <v>2017</v>
      </c>
      <c r="E2156">
        <v>28779</v>
      </c>
      <c r="F2156">
        <v>31000</v>
      </c>
      <c r="G2156">
        <v>120000</v>
      </c>
      <c r="H2156" t="s">
        <v>53</v>
      </c>
      <c r="I2156" t="s">
        <v>72</v>
      </c>
      <c r="J2156" t="s">
        <v>36</v>
      </c>
      <c r="K2156" t="s">
        <v>37</v>
      </c>
      <c r="L2156" t="s">
        <v>55</v>
      </c>
    </row>
    <row r="2157" spans="1:13" x14ac:dyDescent="0.25">
      <c r="A2157">
        <v>1257</v>
      </c>
      <c r="B2157" t="s">
        <v>1535</v>
      </c>
      <c r="C2157" t="s">
        <v>57</v>
      </c>
      <c r="D2157">
        <v>2022</v>
      </c>
      <c r="E2157">
        <v>5623</v>
      </c>
      <c r="F2157">
        <v>7000</v>
      </c>
      <c r="G2157">
        <v>40000</v>
      </c>
      <c r="H2157" t="s">
        <v>58</v>
      </c>
      <c r="J2157" t="s">
        <v>43</v>
      </c>
      <c r="K2157" t="s">
        <v>100</v>
      </c>
      <c r="L2157" t="s">
        <v>126</v>
      </c>
      <c r="M2157">
        <v>2</v>
      </c>
    </row>
    <row r="2158" spans="1:13" x14ac:dyDescent="0.25">
      <c r="A2158">
        <v>1045</v>
      </c>
      <c r="B2158" t="s">
        <v>684</v>
      </c>
      <c r="C2158" t="s">
        <v>138</v>
      </c>
      <c r="D2158">
        <v>2020</v>
      </c>
      <c r="E2158">
        <v>26890</v>
      </c>
      <c r="F2158">
        <v>31000</v>
      </c>
      <c r="G2158">
        <v>60000</v>
      </c>
      <c r="H2158" t="s">
        <v>69</v>
      </c>
      <c r="I2158" t="s">
        <v>72</v>
      </c>
      <c r="K2158" t="s">
        <v>116</v>
      </c>
      <c r="L2158" t="s">
        <v>49</v>
      </c>
      <c r="M2158">
        <v>1</v>
      </c>
    </row>
    <row r="2159" spans="1:13" x14ac:dyDescent="0.25">
      <c r="A2159">
        <v>1220</v>
      </c>
      <c r="B2159" t="s">
        <v>970</v>
      </c>
      <c r="C2159" t="s">
        <v>68</v>
      </c>
      <c r="D2159" t="s">
        <v>52</v>
      </c>
      <c r="E2159">
        <v>28300</v>
      </c>
      <c r="F2159">
        <v>31000</v>
      </c>
      <c r="G2159">
        <v>40000</v>
      </c>
      <c r="H2159" t="s">
        <v>53</v>
      </c>
      <c r="I2159" t="s">
        <v>35</v>
      </c>
      <c r="J2159" t="s">
        <v>96</v>
      </c>
      <c r="K2159" t="s">
        <v>100</v>
      </c>
      <c r="L2159" t="s">
        <v>98</v>
      </c>
      <c r="M2159">
        <v>1</v>
      </c>
    </row>
    <row r="2160" spans="1:13" x14ac:dyDescent="0.25">
      <c r="A2160">
        <v>1263</v>
      </c>
      <c r="B2160" t="s">
        <v>1536</v>
      </c>
      <c r="C2160" t="s">
        <v>32</v>
      </c>
      <c r="D2160" t="s">
        <v>52</v>
      </c>
      <c r="E2160">
        <v>3579</v>
      </c>
      <c r="F2160">
        <v>7000</v>
      </c>
      <c r="G2160" t="s">
        <v>92</v>
      </c>
      <c r="H2160" t="s">
        <v>84</v>
      </c>
      <c r="I2160" t="s">
        <v>35</v>
      </c>
      <c r="J2160" t="s">
        <v>43</v>
      </c>
      <c r="K2160" t="s">
        <v>37</v>
      </c>
      <c r="L2160" t="s">
        <v>45</v>
      </c>
      <c r="M2160">
        <v>2</v>
      </c>
    </row>
    <row r="2161" spans="1:13" x14ac:dyDescent="0.25">
      <c r="A2161">
        <v>1319</v>
      </c>
      <c r="B2161" t="s">
        <v>1281</v>
      </c>
      <c r="C2161" t="s">
        <v>79</v>
      </c>
      <c r="D2161">
        <v>2016</v>
      </c>
      <c r="E2161">
        <v>22113</v>
      </c>
      <c r="F2161">
        <v>26000</v>
      </c>
      <c r="G2161" t="s">
        <v>130</v>
      </c>
      <c r="I2161" t="s">
        <v>35</v>
      </c>
      <c r="J2161" t="s">
        <v>36</v>
      </c>
      <c r="K2161" t="s">
        <v>44</v>
      </c>
      <c r="L2161" t="s">
        <v>38</v>
      </c>
      <c r="M2161">
        <v>1</v>
      </c>
    </row>
    <row r="2162" spans="1:13" x14ac:dyDescent="0.25">
      <c r="A2162">
        <v>1478</v>
      </c>
      <c r="B2162" t="s">
        <v>281</v>
      </c>
      <c r="C2162" t="s">
        <v>119</v>
      </c>
      <c r="D2162">
        <v>2018</v>
      </c>
      <c r="E2162" t="s">
        <v>1537</v>
      </c>
      <c r="F2162" t="s">
        <v>87</v>
      </c>
      <c r="G2162" t="s">
        <v>33</v>
      </c>
      <c r="H2162" t="s">
        <v>53</v>
      </c>
      <c r="I2162" t="s">
        <v>72</v>
      </c>
      <c r="J2162" t="s">
        <v>66</v>
      </c>
      <c r="K2162" t="s">
        <v>54</v>
      </c>
      <c r="L2162" t="s">
        <v>45</v>
      </c>
    </row>
    <row r="2163" spans="1:13" x14ac:dyDescent="0.25">
      <c r="A2163">
        <v>1070</v>
      </c>
      <c r="B2163" t="s">
        <v>1442</v>
      </c>
      <c r="C2163" t="s">
        <v>133</v>
      </c>
      <c r="D2163">
        <v>2019</v>
      </c>
      <c r="E2163">
        <v>15127</v>
      </c>
      <c r="F2163">
        <v>22000</v>
      </c>
      <c r="G2163" t="s">
        <v>121</v>
      </c>
      <c r="J2163" t="s">
        <v>43</v>
      </c>
      <c r="K2163" t="s">
        <v>73</v>
      </c>
      <c r="L2163" t="s">
        <v>90</v>
      </c>
      <c r="M2163">
        <v>0</v>
      </c>
    </row>
    <row r="2164" spans="1:13" x14ac:dyDescent="0.25">
      <c r="A2164">
        <v>1222</v>
      </c>
      <c r="B2164" t="s">
        <v>1064</v>
      </c>
      <c r="C2164" t="s">
        <v>79</v>
      </c>
      <c r="E2164">
        <v>6028</v>
      </c>
      <c r="F2164">
        <v>12000</v>
      </c>
      <c r="G2164" t="s">
        <v>92</v>
      </c>
      <c r="H2164" t="s">
        <v>58</v>
      </c>
      <c r="I2164" t="s">
        <v>59</v>
      </c>
      <c r="J2164" t="s">
        <v>96</v>
      </c>
      <c r="K2164" t="s">
        <v>73</v>
      </c>
      <c r="L2164" t="s">
        <v>38</v>
      </c>
      <c r="M2164">
        <v>1</v>
      </c>
    </row>
    <row r="2165" spans="1:13" x14ac:dyDescent="0.25">
      <c r="A2165">
        <v>1270</v>
      </c>
      <c r="B2165" t="s">
        <v>616</v>
      </c>
      <c r="C2165" t="s">
        <v>32</v>
      </c>
      <c r="D2165">
        <v>2016</v>
      </c>
      <c r="E2165">
        <v>9124</v>
      </c>
      <c r="F2165">
        <v>12000</v>
      </c>
      <c r="G2165">
        <v>25000</v>
      </c>
      <c r="H2165" t="s">
        <v>69</v>
      </c>
      <c r="I2165" t="s">
        <v>59</v>
      </c>
      <c r="J2165" t="s">
        <v>66</v>
      </c>
      <c r="K2165" t="s">
        <v>37</v>
      </c>
      <c r="L2165" t="s">
        <v>45</v>
      </c>
    </row>
    <row r="2166" spans="1:13" x14ac:dyDescent="0.25">
      <c r="A2166">
        <v>1508</v>
      </c>
      <c r="B2166" t="s">
        <v>1027</v>
      </c>
      <c r="C2166" t="s">
        <v>47</v>
      </c>
      <c r="D2166">
        <v>2020</v>
      </c>
      <c r="E2166">
        <v>26234</v>
      </c>
      <c r="F2166">
        <v>31000</v>
      </c>
      <c r="G2166" t="s">
        <v>130</v>
      </c>
      <c r="H2166" t="s">
        <v>34</v>
      </c>
      <c r="I2166" t="s">
        <v>59</v>
      </c>
      <c r="J2166" t="s">
        <v>96</v>
      </c>
      <c r="K2166" t="s">
        <v>48</v>
      </c>
      <c r="L2166" t="s">
        <v>126</v>
      </c>
      <c r="M2166">
        <v>0</v>
      </c>
    </row>
    <row r="2167" spans="1:13" x14ac:dyDescent="0.25">
      <c r="A2167">
        <v>1123</v>
      </c>
      <c r="B2167" t="s">
        <v>708</v>
      </c>
      <c r="C2167" t="s">
        <v>138</v>
      </c>
      <c r="D2167">
        <v>2020</v>
      </c>
      <c r="E2167">
        <v>6498</v>
      </c>
      <c r="F2167">
        <v>12000</v>
      </c>
      <c r="G2167">
        <v>25000</v>
      </c>
      <c r="H2167" t="s">
        <v>58</v>
      </c>
      <c r="I2167" t="s">
        <v>35</v>
      </c>
      <c r="K2167" t="s">
        <v>77</v>
      </c>
      <c r="M2167">
        <v>3</v>
      </c>
    </row>
    <row r="2168" spans="1:13" x14ac:dyDescent="0.25">
      <c r="A2168">
        <v>1267</v>
      </c>
      <c r="B2168" t="s">
        <v>1234</v>
      </c>
      <c r="C2168" t="s">
        <v>57</v>
      </c>
      <c r="D2168">
        <v>2021</v>
      </c>
      <c r="E2168">
        <v>15906</v>
      </c>
      <c r="F2168">
        <v>18000</v>
      </c>
      <c r="G2168" t="s">
        <v>92</v>
      </c>
      <c r="H2168" t="s">
        <v>41</v>
      </c>
      <c r="I2168" t="s">
        <v>72</v>
      </c>
      <c r="J2168" t="s">
        <v>96</v>
      </c>
      <c r="K2168" t="s">
        <v>48</v>
      </c>
      <c r="L2168" t="s">
        <v>90</v>
      </c>
      <c r="M2168">
        <v>0</v>
      </c>
    </row>
    <row r="2169" spans="1:13" x14ac:dyDescent="0.25">
      <c r="A2169">
        <v>1360</v>
      </c>
      <c r="B2169" t="s">
        <v>209</v>
      </c>
      <c r="C2169" t="s">
        <v>94</v>
      </c>
      <c r="D2169">
        <v>2020</v>
      </c>
      <c r="E2169">
        <v>22763</v>
      </c>
      <c r="F2169" t="s">
        <v>83</v>
      </c>
      <c r="G2169" t="s">
        <v>76</v>
      </c>
      <c r="H2169" t="s">
        <v>69</v>
      </c>
      <c r="I2169" t="s">
        <v>42</v>
      </c>
      <c r="J2169" t="s">
        <v>96</v>
      </c>
      <c r="L2169" t="s">
        <v>45</v>
      </c>
    </row>
    <row r="2170" spans="1:13" x14ac:dyDescent="0.25">
      <c r="A2170">
        <v>1157</v>
      </c>
      <c r="B2170" t="s">
        <v>1109</v>
      </c>
      <c r="C2170" t="s">
        <v>75</v>
      </c>
      <c r="D2170">
        <v>2015</v>
      </c>
      <c r="E2170">
        <v>14121</v>
      </c>
      <c r="F2170">
        <v>18000</v>
      </c>
      <c r="G2170" t="s">
        <v>92</v>
      </c>
      <c r="H2170" t="s">
        <v>34</v>
      </c>
      <c r="I2170" t="s">
        <v>42</v>
      </c>
      <c r="J2170" t="s">
        <v>43</v>
      </c>
      <c r="L2170" t="s">
        <v>49</v>
      </c>
      <c r="M2170">
        <v>3</v>
      </c>
    </row>
    <row r="2171" spans="1:13" x14ac:dyDescent="0.25">
      <c r="A2171">
        <v>1097</v>
      </c>
      <c r="B2171" t="s">
        <v>466</v>
      </c>
      <c r="C2171" t="s">
        <v>40</v>
      </c>
      <c r="D2171">
        <v>2018</v>
      </c>
      <c r="E2171" t="s">
        <v>1538</v>
      </c>
      <c r="F2171">
        <v>15000</v>
      </c>
      <c r="G2171">
        <v>60000</v>
      </c>
      <c r="H2171" t="s">
        <v>63</v>
      </c>
      <c r="I2171" t="s">
        <v>72</v>
      </c>
      <c r="K2171" t="s">
        <v>44</v>
      </c>
      <c r="L2171" t="s">
        <v>45</v>
      </c>
      <c r="M2171">
        <v>1</v>
      </c>
    </row>
    <row r="2172" spans="1:13" x14ac:dyDescent="0.25">
      <c r="A2172">
        <v>1106</v>
      </c>
      <c r="B2172" t="s">
        <v>1261</v>
      </c>
      <c r="C2172" t="s">
        <v>75</v>
      </c>
      <c r="E2172">
        <v>9300</v>
      </c>
      <c r="F2172">
        <v>15000</v>
      </c>
      <c r="G2172" t="s">
        <v>92</v>
      </c>
      <c r="H2172" t="s">
        <v>34</v>
      </c>
      <c r="I2172" t="s">
        <v>72</v>
      </c>
      <c r="K2172" t="s">
        <v>116</v>
      </c>
      <c r="L2172" t="s">
        <v>90</v>
      </c>
      <c r="M2172">
        <v>3</v>
      </c>
    </row>
    <row r="2173" spans="1:13" x14ac:dyDescent="0.25">
      <c r="A2173">
        <v>1499</v>
      </c>
      <c r="B2173" t="s">
        <v>727</v>
      </c>
      <c r="C2173" t="s">
        <v>94</v>
      </c>
      <c r="D2173">
        <v>2021</v>
      </c>
      <c r="E2173">
        <v>20967</v>
      </c>
      <c r="F2173">
        <v>26000</v>
      </c>
      <c r="G2173">
        <v>80000</v>
      </c>
      <c r="H2173" t="s">
        <v>34</v>
      </c>
      <c r="I2173" t="s">
        <v>35</v>
      </c>
      <c r="J2173" t="s">
        <v>66</v>
      </c>
      <c r="K2173" t="s">
        <v>54</v>
      </c>
      <c r="L2173" t="s">
        <v>49</v>
      </c>
      <c r="M2173">
        <v>3</v>
      </c>
    </row>
    <row r="2174" spans="1:13" x14ac:dyDescent="0.25">
      <c r="A2174">
        <v>1568</v>
      </c>
      <c r="B2174" t="s">
        <v>1302</v>
      </c>
      <c r="C2174" t="s">
        <v>65</v>
      </c>
      <c r="E2174" t="s">
        <v>1539</v>
      </c>
      <c r="F2174">
        <v>9000</v>
      </c>
      <c r="G2174">
        <v>80000</v>
      </c>
      <c r="H2174" t="s">
        <v>69</v>
      </c>
      <c r="I2174" t="s">
        <v>42</v>
      </c>
      <c r="J2174" t="s">
        <v>43</v>
      </c>
      <c r="K2174" t="s">
        <v>116</v>
      </c>
      <c r="L2174" t="s">
        <v>90</v>
      </c>
      <c r="M2174">
        <v>1</v>
      </c>
    </row>
    <row r="2175" spans="1:13" x14ac:dyDescent="0.25">
      <c r="A2175">
        <v>1117</v>
      </c>
      <c r="B2175" t="s">
        <v>1005</v>
      </c>
      <c r="C2175" t="s">
        <v>47</v>
      </c>
      <c r="E2175">
        <v>1986</v>
      </c>
      <c r="F2175" t="s">
        <v>147</v>
      </c>
      <c r="G2175" t="s">
        <v>108</v>
      </c>
      <c r="H2175" t="s">
        <v>84</v>
      </c>
      <c r="I2175" t="s">
        <v>42</v>
      </c>
      <c r="K2175" t="s">
        <v>37</v>
      </c>
      <c r="L2175" t="s">
        <v>109</v>
      </c>
      <c r="M2175">
        <v>2</v>
      </c>
    </row>
    <row r="2176" spans="1:13" x14ac:dyDescent="0.25">
      <c r="A2176">
        <v>1257</v>
      </c>
      <c r="B2176" t="s">
        <v>233</v>
      </c>
      <c r="C2176" t="s">
        <v>40</v>
      </c>
      <c r="D2176">
        <v>2018</v>
      </c>
      <c r="E2176">
        <v>15372</v>
      </c>
      <c r="F2176">
        <v>18000</v>
      </c>
      <c r="G2176" t="s">
        <v>33</v>
      </c>
      <c r="H2176" t="s">
        <v>41</v>
      </c>
      <c r="I2176" t="s">
        <v>35</v>
      </c>
      <c r="J2176" t="s">
        <v>36</v>
      </c>
      <c r="L2176" t="s">
        <v>98</v>
      </c>
      <c r="M2176">
        <v>0</v>
      </c>
    </row>
    <row r="2177" spans="1:13" x14ac:dyDescent="0.25">
      <c r="A2177">
        <v>1319</v>
      </c>
      <c r="B2177" t="s">
        <v>770</v>
      </c>
      <c r="C2177" t="s">
        <v>94</v>
      </c>
      <c r="D2177">
        <v>2018</v>
      </c>
      <c r="E2177">
        <v>25039</v>
      </c>
      <c r="F2177">
        <v>31000</v>
      </c>
      <c r="G2177">
        <v>120000</v>
      </c>
      <c r="H2177" t="s">
        <v>84</v>
      </c>
      <c r="I2177" t="s">
        <v>72</v>
      </c>
      <c r="J2177" t="s">
        <v>43</v>
      </c>
      <c r="K2177" t="s">
        <v>77</v>
      </c>
      <c r="M2177">
        <v>0</v>
      </c>
    </row>
    <row r="2178" spans="1:13" x14ac:dyDescent="0.25">
      <c r="A2178">
        <v>1396</v>
      </c>
      <c r="B2178" t="s">
        <v>698</v>
      </c>
      <c r="C2178" t="s">
        <v>94</v>
      </c>
      <c r="D2178">
        <v>2021</v>
      </c>
      <c r="E2178">
        <v>19542</v>
      </c>
      <c r="F2178">
        <v>26000</v>
      </c>
      <c r="G2178">
        <v>60000</v>
      </c>
      <c r="H2178" t="s">
        <v>34</v>
      </c>
      <c r="I2178" t="s">
        <v>35</v>
      </c>
      <c r="J2178" t="s">
        <v>36</v>
      </c>
      <c r="K2178" t="s">
        <v>100</v>
      </c>
      <c r="L2178" t="s">
        <v>38</v>
      </c>
      <c r="M2178">
        <v>3</v>
      </c>
    </row>
    <row r="2179" spans="1:13" x14ac:dyDescent="0.25">
      <c r="A2179">
        <v>1058</v>
      </c>
      <c r="B2179" t="s">
        <v>935</v>
      </c>
      <c r="C2179" t="s">
        <v>57</v>
      </c>
      <c r="D2179">
        <v>2020</v>
      </c>
      <c r="E2179">
        <v>11474</v>
      </c>
      <c r="F2179">
        <v>18000</v>
      </c>
      <c r="G2179">
        <v>25000</v>
      </c>
      <c r="I2179" t="s">
        <v>42</v>
      </c>
      <c r="J2179" t="s">
        <v>96</v>
      </c>
      <c r="K2179" t="s">
        <v>44</v>
      </c>
      <c r="L2179" t="s">
        <v>55</v>
      </c>
      <c r="M2179">
        <v>0</v>
      </c>
    </row>
    <row r="2180" spans="1:13" x14ac:dyDescent="0.25">
      <c r="A2180">
        <v>1500</v>
      </c>
      <c r="B2180" t="s">
        <v>513</v>
      </c>
      <c r="C2180" t="s">
        <v>79</v>
      </c>
      <c r="D2180">
        <v>2019</v>
      </c>
      <c r="E2180">
        <v>28399</v>
      </c>
      <c r="F2180" t="s">
        <v>87</v>
      </c>
      <c r="G2180">
        <v>80000</v>
      </c>
      <c r="H2180" t="s">
        <v>69</v>
      </c>
      <c r="J2180" t="s">
        <v>36</v>
      </c>
      <c r="K2180" t="s">
        <v>116</v>
      </c>
      <c r="L2180" t="s">
        <v>55</v>
      </c>
      <c r="M2180">
        <v>1</v>
      </c>
    </row>
    <row r="2181" spans="1:13" x14ac:dyDescent="0.25">
      <c r="A2181">
        <v>1348</v>
      </c>
      <c r="B2181" t="s">
        <v>157</v>
      </c>
      <c r="C2181" t="s">
        <v>57</v>
      </c>
      <c r="D2181">
        <v>2020</v>
      </c>
      <c r="E2181">
        <v>2527</v>
      </c>
      <c r="F2181">
        <v>7000</v>
      </c>
      <c r="G2181">
        <v>80000</v>
      </c>
      <c r="H2181" t="s">
        <v>34</v>
      </c>
      <c r="I2181" t="s">
        <v>35</v>
      </c>
      <c r="J2181" t="s">
        <v>36</v>
      </c>
      <c r="L2181" t="s">
        <v>109</v>
      </c>
    </row>
    <row r="2182" spans="1:13" x14ac:dyDescent="0.25">
      <c r="A2182">
        <v>1300</v>
      </c>
      <c r="B2182" t="s">
        <v>1540</v>
      </c>
      <c r="C2182" t="s">
        <v>133</v>
      </c>
      <c r="D2182">
        <v>2017</v>
      </c>
      <c r="E2182">
        <v>17900</v>
      </c>
      <c r="F2182">
        <v>22000</v>
      </c>
      <c r="G2182">
        <v>80000</v>
      </c>
      <c r="H2182" t="s">
        <v>34</v>
      </c>
      <c r="I2182" t="s">
        <v>72</v>
      </c>
      <c r="J2182" t="s">
        <v>96</v>
      </c>
      <c r="K2182" t="s">
        <v>116</v>
      </c>
      <c r="L2182" t="s">
        <v>126</v>
      </c>
      <c r="M2182">
        <v>1</v>
      </c>
    </row>
    <row r="2183" spans="1:13" x14ac:dyDescent="0.25">
      <c r="A2183">
        <v>1434</v>
      </c>
      <c r="B2183" t="s">
        <v>763</v>
      </c>
      <c r="C2183" t="s">
        <v>94</v>
      </c>
      <c r="D2183">
        <v>2017</v>
      </c>
      <c r="E2183">
        <v>7760</v>
      </c>
      <c r="F2183">
        <v>12000</v>
      </c>
      <c r="G2183">
        <v>60000</v>
      </c>
      <c r="H2183" t="s">
        <v>34</v>
      </c>
      <c r="I2183" t="s">
        <v>72</v>
      </c>
      <c r="J2183" t="s">
        <v>96</v>
      </c>
      <c r="L2183" t="s">
        <v>55</v>
      </c>
      <c r="M2183">
        <v>3</v>
      </c>
    </row>
    <row r="2184" spans="1:13" x14ac:dyDescent="0.25">
      <c r="A2184">
        <v>1453</v>
      </c>
      <c r="B2184" t="s">
        <v>868</v>
      </c>
      <c r="C2184" t="s">
        <v>94</v>
      </c>
      <c r="E2184">
        <v>11815</v>
      </c>
      <c r="F2184">
        <v>18000</v>
      </c>
      <c r="G2184">
        <v>80000</v>
      </c>
      <c r="H2184" t="s">
        <v>53</v>
      </c>
      <c r="I2184" t="s">
        <v>72</v>
      </c>
      <c r="J2184" t="s">
        <v>43</v>
      </c>
      <c r="K2184" t="s">
        <v>54</v>
      </c>
      <c r="L2184" t="s">
        <v>109</v>
      </c>
      <c r="M2184">
        <v>0</v>
      </c>
    </row>
    <row r="2185" spans="1:13" x14ac:dyDescent="0.25">
      <c r="A2185">
        <v>1507</v>
      </c>
      <c r="B2185" t="s">
        <v>1126</v>
      </c>
      <c r="C2185" t="s">
        <v>164</v>
      </c>
      <c r="D2185">
        <v>2018</v>
      </c>
      <c r="E2185" t="s">
        <v>1541</v>
      </c>
      <c r="F2185">
        <v>7000</v>
      </c>
      <c r="G2185">
        <v>40000</v>
      </c>
      <c r="H2185" t="s">
        <v>69</v>
      </c>
      <c r="K2185" t="s">
        <v>48</v>
      </c>
      <c r="L2185" t="s">
        <v>109</v>
      </c>
      <c r="M2185">
        <v>1</v>
      </c>
    </row>
    <row r="2186" spans="1:13" x14ac:dyDescent="0.25">
      <c r="A2186">
        <v>1286</v>
      </c>
      <c r="B2186" t="s">
        <v>1156</v>
      </c>
      <c r="C2186" t="s">
        <v>65</v>
      </c>
      <c r="D2186">
        <v>2019</v>
      </c>
      <c r="E2186">
        <v>2388</v>
      </c>
      <c r="F2186">
        <v>7000</v>
      </c>
      <c r="G2186">
        <v>25000</v>
      </c>
      <c r="J2186" t="s">
        <v>36</v>
      </c>
      <c r="K2186" t="s">
        <v>44</v>
      </c>
      <c r="L2186" t="s">
        <v>38</v>
      </c>
    </row>
    <row r="2187" spans="1:13" x14ac:dyDescent="0.25">
      <c r="A2187">
        <v>1191</v>
      </c>
      <c r="B2187" t="s">
        <v>1542</v>
      </c>
      <c r="C2187" t="s">
        <v>47</v>
      </c>
      <c r="D2187">
        <v>2017</v>
      </c>
      <c r="E2187">
        <v>16246</v>
      </c>
      <c r="F2187" t="s">
        <v>115</v>
      </c>
      <c r="G2187">
        <v>60000</v>
      </c>
      <c r="H2187" t="s">
        <v>34</v>
      </c>
      <c r="I2187" t="s">
        <v>72</v>
      </c>
      <c r="K2187" t="s">
        <v>73</v>
      </c>
      <c r="L2187" t="s">
        <v>45</v>
      </c>
      <c r="M2187">
        <v>0</v>
      </c>
    </row>
    <row r="2188" spans="1:13" x14ac:dyDescent="0.25">
      <c r="A2188">
        <v>1089</v>
      </c>
      <c r="B2188" t="s">
        <v>219</v>
      </c>
      <c r="C2188" t="s">
        <v>133</v>
      </c>
      <c r="D2188">
        <v>2017</v>
      </c>
      <c r="E2188">
        <v>29547</v>
      </c>
      <c r="F2188">
        <v>31000</v>
      </c>
      <c r="G2188">
        <v>25000</v>
      </c>
      <c r="H2188" t="s">
        <v>58</v>
      </c>
      <c r="I2188" t="s">
        <v>72</v>
      </c>
      <c r="J2188" t="s">
        <v>36</v>
      </c>
      <c r="K2188" t="s">
        <v>44</v>
      </c>
      <c r="L2188" t="s">
        <v>49</v>
      </c>
      <c r="M2188">
        <v>0</v>
      </c>
    </row>
    <row r="2189" spans="1:13" x14ac:dyDescent="0.25">
      <c r="A2189">
        <v>1462</v>
      </c>
      <c r="B2189" t="s">
        <v>1543</v>
      </c>
      <c r="C2189" t="s">
        <v>164</v>
      </c>
      <c r="D2189">
        <v>2020</v>
      </c>
      <c r="E2189">
        <v>19113</v>
      </c>
      <c r="F2189">
        <v>22000</v>
      </c>
      <c r="G2189" t="s">
        <v>121</v>
      </c>
      <c r="H2189" t="s">
        <v>69</v>
      </c>
      <c r="I2189" t="s">
        <v>59</v>
      </c>
      <c r="J2189" t="s">
        <v>43</v>
      </c>
      <c r="K2189" t="s">
        <v>54</v>
      </c>
      <c r="L2189" t="s">
        <v>98</v>
      </c>
      <c r="M2189">
        <v>2</v>
      </c>
    </row>
    <row r="2190" spans="1:13" x14ac:dyDescent="0.25">
      <c r="A2190">
        <v>1497</v>
      </c>
      <c r="B2190" t="s">
        <v>1081</v>
      </c>
      <c r="C2190" t="s">
        <v>94</v>
      </c>
      <c r="D2190">
        <v>2020</v>
      </c>
      <c r="E2190" t="s">
        <v>1544</v>
      </c>
      <c r="F2190">
        <v>7000</v>
      </c>
      <c r="G2190">
        <v>25000</v>
      </c>
      <c r="H2190" t="s">
        <v>69</v>
      </c>
      <c r="I2190" t="s">
        <v>35</v>
      </c>
      <c r="J2190" t="s">
        <v>96</v>
      </c>
      <c r="K2190" t="s">
        <v>100</v>
      </c>
      <c r="L2190" t="s">
        <v>126</v>
      </c>
    </row>
    <row r="2191" spans="1:13" x14ac:dyDescent="0.25">
      <c r="A2191">
        <v>1500</v>
      </c>
      <c r="B2191" t="s">
        <v>459</v>
      </c>
      <c r="C2191" t="s">
        <v>51</v>
      </c>
      <c r="D2191">
        <v>2015</v>
      </c>
      <c r="E2191">
        <v>5827</v>
      </c>
      <c r="F2191">
        <v>7000</v>
      </c>
      <c r="G2191">
        <v>15000</v>
      </c>
      <c r="H2191" t="s">
        <v>63</v>
      </c>
      <c r="I2191" t="s">
        <v>35</v>
      </c>
      <c r="J2191" t="s">
        <v>43</v>
      </c>
      <c r="K2191" t="s">
        <v>54</v>
      </c>
      <c r="M2191">
        <v>2</v>
      </c>
    </row>
    <row r="2192" spans="1:13" x14ac:dyDescent="0.25">
      <c r="A2192">
        <v>1241</v>
      </c>
      <c r="B2192" t="s">
        <v>959</v>
      </c>
      <c r="C2192" t="s">
        <v>138</v>
      </c>
      <c r="D2192">
        <v>2021</v>
      </c>
      <c r="E2192">
        <v>25754</v>
      </c>
      <c r="F2192" t="s">
        <v>87</v>
      </c>
      <c r="G2192" t="s">
        <v>33</v>
      </c>
      <c r="H2192" t="s">
        <v>69</v>
      </c>
      <c r="I2192" t="s">
        <v>42</v>
      </c>
      <c r="J2192" t="s">
        <v>96</v>
      </c>
      <c r="K2192" t="s">
        <v>116</v>
      </c>
      <c r="L2192" t="s">
        <v>109</v>
      </c>
      <c r="M2192">
        <v>2</v>
      </c>
    </row>
    <row r="2193" spans="1:13" x14ac:dyDescent="0.25">
      <c r="A2193">
        <v>1187</v>
      </c>
      <c r="B2193" t="s">
        <v>898</v>
      </c>
      <c r="C2193" t="s">
        <v>133</v>
      </c>
      <c r="D2193">
        <v>2022</v>
      </c>
      <c r="E2193">
        <v>13813</v>
      </c>
      <c r="F2193">
        <v>15000</v>
      </c>
      <c r="G2193">
        <v>40000</v>
      </c>
      <c r="H2193" t="s">
        <v>34</v>
      </c>
      <c r="J2193" t="s">
        <v>43</v>
      </c>
      <c r="K2193" t="s">
        <v>44</v>
      </c>
      <c r="L2193" t="s">
        <v>98</v>
      </c>
      <c r="M2193">
        <v>3</v>
      </c>
    </row>
    <row r="2194" spans="1:13" x14ac:dyDescent="0.25">
      <c r="A2194">
        <v>1122</v>
      </c>
      <c r="B2194" t="s">
        <v>794</v>
      </c>
      <c r="C2194" t="s">
        <v>68</v>
      </c>
      <c r="D2194">
        <v>2021</v>
      </c>
      <c r="E2194">
        <v>2269</v>
      </c>
      <c r="F2194">
        <v>9000</v>
      </c>
      <c r="G2194" t="s">
        <v>108</v>
      </c>
      <c r="H2194" t="s">
        <v>34</v>
      </c>
      <c r="I2194" t="s">
        <v>35</v>
      </c>
      <c r="J2194" t="s">
        <v>66</v>
      </c>
      <c r="K2194" t="s">
        <v>37</v>
      </c>
      <c r="L2194" t="s">
        <v>90</v>
      </c>
      <c r="M2194">
        <v>1</v>
      </c>
    </row>
    <row r="2195" spans="1:13" x14ac:dyDescent="0.25">
      <c r="A2195">
        <v>1304</v>
      </c>
      <c r="B2195" t="s">
        <v>687</v>
      </c>
      <c r="C2195" t="s">
        <v>133</v>
      </c>
      <c r="D2195">
        <v>2021</v>
      </c>
      <c r="E2195">
        <v>12100</v>
      </c>
      <c r="F2195" t="s">
        <v>129</v>
      </c>
      <c r="G2195">
        <v>40000</v>
      </c>
      <c r="H2195" t="s">
        <v>53</v>
      </c>
      <c r="I2195" t="s">
        <v>42</v>
      </c>
      <c r="J2195" t="s">
        <v>43</v>
      </c>
      <c r="K2195" t="s">
        <v>48</v>
      </c>
      <c r="M2195">
        <v>3</v>
      </c>
    </row>
    <row r="2196" spans="1:13" x14ac:dyDescent="0.25">
      <c r="A2196">
        <v>1045</v>
      </c>
      <c r="B2196" t="s">
        <v>1187</v>
      </c>
      <c r="C2196" t="s">
        <v>40</v>
      </c>
      <c r="D2196">
        <v>2019</v>
      </c>
      <c r="E2196">
        <v>1259</v>
      </c>
      <c r="F2196">
        <v>7000</v>
      </c>
      <c r="G2196">
        <v>60000</v>
      </c>
      <c r="H2196" t="s">
        <v>63</v>
      </c>
      <c r="I2196" t="s">
        <v>35</v>
      </c>
      <c r="J2196" t="s">
        <v>36</v>
      </c>
      <c r="K2196" t="s">
        <v>48</v>
      </c>
      <c r="L2196" t="s">
        <v>45</v>
      </c>
      <c r="M2196">
        <v>0</v>
      </c>
    </row>
    <row r="2197" spans="1:13" x14ac:dyDescent="0.25">
      <c r="A2197">
        <v>1308</v>
      </c>
      <c r="B2197" t="s">
        <v>446</v>
      </c>
      <c r="C2197" t="s">
        <v>133</v>
      </c>
      <c r="D2197">
        <v>2014</v>
      </c>
      <c r="E2197">
        <v>28321</v>
      </c>
      <c r="F2197">
        <v>31000</v>
      </c>
      <c r="G2197">
        <v>80000</v>
      </c>
      <c r="H2197" t="s">
        <v>53</v>
      </c>
      <c r="I2197" t="s">
        <v>35</v>
      </c>
      <c r="J2197" t="s">
        <v>66</v>
      </c>
      <c r="K2197" t="s">
        <v>54</v>
      </c>
      <c r="M2197">
        <v>2</v>
      </c>
    </row>
    <row r="2198" spans="1:13" x14ac:dyDescent="0.25">
      <c r="A2198">
        <v>1007</v>
      </c>
      <c r="B2198" t="s">
        <v>1545</v>
      </c>
      <c r="C2198" t="s">
        <v>138</v>
      </c>
      <c r="D2198">
        <v>2017</v>
      </c>
      <c r="E2198">
        <v>19594</v>
      </c>
      <c r="F2198">
        <v>26000</v>
      </c>
      <c r="G2198">
        <v>40000</v>
      </c>
      <c r="I2198" t="s">
        <v>42</v>
      </c>
      <c r="K2198" t="s">
        <v>73</v>
      </c>
      <c r="L2198" t="s">
        <v>126</v>
      </c>
      <c r="M2198">
        <v>1</v>
      </c>
    </row>
    <row r="2199" spans="1:13" x14ac:dyDescent="0.25">
      <c r="A2199">
        <v>1251</v>
      </c>
      <c r="B2199" t="s">
        <v>1546</v>
      </c>
      <c r="C2199" t="s">
        <v>32</v>
      </c>
      <c r="D2199">
        <v>2021</v>
      </c>
      <c r="E2199">
        <v>10806</v>
      </c>
      <c r="F2199" t="s">
        <v>89</v>
      </c>
      <c r="G2199">
        <v>120000</v>
      </c>
      <c r="H2199" t="s">
        <v>63</v>
      </c>
      <c r="K2199" t="s">
        <v>54</v>
      </c>
      <c r="L2199" t="s">
        <v>45</v>
      </c>
      <c r="M2199">
        <v>2</v>
      </c>
    </row>
    <row r="2200" spans="1:13" x14ac:dyDescent="0.25">
      <c r="A2200">
        <v>1024</v>
      </c>
      <c r="B2200" t="s">
        <v>1500</v>
      </c>
      <c r="C2200" t="s">
        <v>68</v>
      </c>
      <c r="D2200">
        <v>2022</v>
      </c>
      <c r="E2200" t="s">
        <v>1547</v>
      </c>
      <c r="F2200">
        <v>22000</v>
      </c>
      <c r="G2200">
        <v>120000</v>
      </c>
      <c r="I2200" t="s">
        <v>72</v>
      </c>
      <c r="J2200" t="s">
        <v>43</v>
      </c>
      <c r="K2200" t="s">
        <v>73</v>
      </c>
      <c r="L2200" t="s">
        <v>109</v>
      </c>
      <c r="M2200">
        <v>1</v>
      </c>
    </row>
    <row r="2201" spans="1:13" x14ac:dyDescent="0.25">
      <c r="A2201">
        <v>1211</v>
      </c>
      <c r="B2201" t="s">
        <v>1226</v>
      </c>
      <c r="C2201" t="s">
        <v>103</v>
      </c>
      <c r="E2201">
        <v>3038</v>
      </c>
      <c r="F2201">
        <v>7000</v>
      </c>
      <c r="G2201">
        <v>15000</v>
      </c>
      <c r="H2201" t="s">
        <v>34</v>
      </c>
      <c r="I2201" t="s">
        <v>59</v>
      </c>
      <c r="J2201" t="s">
        <v>66</v>
      </c>
      <c r="K2201" t="s">
        <v>77</v>
      </c>
      <c r="L2201" t="s">
        <v>126</v>
      </c>
    </row>
    <row r="2202" spans="1:13" x14ac:dyDescent="0.25">
      <c r="A2202">
        <v>1003</v>
      </c>
      <c r="B2202" t="s">
        <v>868</v>
      </c>
      <c r="C2202" t="s">
        <v>57</v>
      </c>
      <c r="D2202">
        <v>2017</v>
      </c>
      <c r="E2202">
        <v>18112</v>
      </c>
      <c r="F2202" t="s">
        <v>115</v>
      </c>
      <c r="G2202">
        <v>60000</v>
      </c>
      <c r="H2202" t="s">
        <v>84</v>
      </c>
      <c r="I2202" t="s">
        <v>72</v>
      </c>
      <c r="J2202" t="s">
        <v>96</v>
      </c>
      <c r="K2202" t="s">
        <v>73</v>
      </c>
      <c r="L2202" t="s">
        <v>90</v>
      </c>
      <c r="M2202">
        <v>3</v>
      </c>
    </row>
    <row r="2203" spans="1:13" x14ac:dyDescent="0.25">
      <c r="A2203">
        <v>1220</v>
      </c>
      <c r="B2203" t="s">
        <v>952</v>
      </c>
      <c r="C2203" t="s">
        <v>47</v>
      </c>
      <c r="D2203">
        <v>2016</v>
      </c>
      <c r="E2203" t="s">
        <v>1548</v>
      </c>
      <c r="F2203">
        <v>7000</v>
      </c>
      <c r="G2203">
        <v>15000</v>
      </c>
      <c r="H2203" t="s">
        <v>41</v>
      </c>
      <c r="I2203" t="s">
        <v>72</v>
      </c>
      <c r="J2203" t="s">
        <v>66</v>
      </c>
      <c r="K2203" t="s">
        <v>77</v>
      </c>
      <c r="L2203" t="s">
        <v>49</v>
      </c>
    </row>
    <row r="2204" spans="1:13" x14ac:dyDescent="0.25">
      <c r="A2204">
        <v>1308</v>
      </c>
      <c r="B2204" t="s">
        <v>1549</v>
      </c>
      <c r="C2204" t="s">
        <v>164</v>
      </c>
      <c r="D2204">
        <v>2014</v>
      </c>
      <c r="E2204">
        <v>23966</v>
      </c>
      <c r="F2204" t="s">
        <v>83</v>
      </c>
      <c r="G2204">
        <v>80000</v>
      </c>
      <c r="H2204" t="s">
        <v>53</v>
      </c>
      <c r="I2204" t="s">
        <v>35</v>
      </c>
      <c r="J2204" t="s">
        <v>96</v>
      </c>
      <c r="K2204" t="s">
        <v>54</v>
      </c>
      <c r="M2204">
        <v>2</v>
      </c>
    </row>
    <row r="2205" spans="1:13" x14ac:dyDescent="0.25">
      <c r="A2205">
        <v>1209</v>
      </c>
      <c r="B2205" t="s">
        <v>679</v>
      </c>
      <c r="C2205" t="s">
        <v>138</v>
      </c>
      <c r="D2205">
        <v>2017</v>
      </c>
      <c r="E2205">
        <v>17024</v>
      </c>
      <c r="F2205">
        <v>22000</v>
      </c>
      <c r="G2205">
        <v>60000</v>
      </c>
      <c r="H2205" t="s">
        <v>69</v>
      </c>
      <c r="I2205" t="s">
        <v>72</v>
      </c>
      <c r="J2205" t="s">
        <v>96</v>
      </c>
      <c r="K2205" t="s">
        <v>77</v>
      </c>
      <c r="M2205">
        <v>0</v>
      </c>
    </row>
    <row r="2206" spans="1:13" x14ac:dyDescent="0.25">
      <c r="A2206">
        <v>1527</v>
      </c>
      <c r="B2206" t="s">
        <v>731</v>
      </c>
      <c r="C2206" t="s">
        <v>79</v>
      </c>
      <c r="D2206">
        <v>2015</v>
      </c>
      <c r="E2206">
        <v>9810</v>
      </c>
      <c r="F2206">
        <v>12000</v>
      </c>
      <c r="G2206">
        <v>60000</v>
      </c>
      <c r="H2206" t="s">
        <v>58</v>
      </c>
      <c r="J2206" t="s">
        <v>96</v>
      </c>
      <c r="K2206" t="s">
        <v>37</v>
      </c>
      <c r="M2206">
        <v>2</v>
      </c>
    </row>
    <row r="2207" spans="1:13" x14ac:dyDescent="0.25">
      <c r="A2207">
        <v>1540</v>
      </c>
      <c r="B2207" t="s">
        <v>1254</v>
      </c>
      <c r="C2207" t="s">
        <v>57</v>
      </c>
      <c r="D2207">
        <v>2019</v>
      </c>
      <c r="E2207">
        <v>17175</v>
      </c>
      <c r="F2207">
        <v>22000</v>
      </c>
      <c r="G2207" t="s">
        <v>108</v>
      </c>
      <c r="H2207" t="s">
        <v>63</v>
      </c>
      <c r="J2207" t="s">
        <v>36</v>
      </c>
      <c r="K2207" t="s">
        <v>77</v>
      </c>
      <c r="L2207" t="s">
        <v>126</v>
      </c>
    </row>
    <row r="2208" spans="1:13" x14ac:dyDescent="0.25">
      <c r="A2208">
        <v>1310</v>
      </c>
      <c r="B2208" t="s">
        <v>1138</v>
      </c>
      <c r="C2208" t="s">
        <v>32</v>
      </c>
      <c r="E2208">
        <v>19047</v>
      </c>
      <c r="F2208">
        <v>26000</v>
      </c>
      <c r="G2208">
        <v>120000</v>
      </c>
      <c r="H2208" t="s">
        <v>63</v>
      </c>
      <c r="I2208" t="s">
        <v>35</v>
      </c>
      <c r="J2208" t="s">
        <v>96</v>
      </c>
      <c r="M2208">
        <v>2</v>
      </c>
    </row>
    <row r="2209" spans="1:13" x14ac:dyDescent="0.25">
      <c r="A2209">
        <v>1261</v>
      </c>
      <c r="B2209" t="s">
        <v>1083</v>
      </c>
      <c r="C2209" t="s">
        <v>32</v>
      </c>
      <c r="D2209">
        <v>2019</v>
      </c>
      <c r="E2209">
        <v>1314</v>
      </c>
      <c r="F2209">
        <v>7000</v>
      </c>
      <c r="G2209" t="s">
        <v>121</v>
      </c>
      <c r="H2209" t="s">
        <v>63</v>
      </c>
      <c r="I2209" t="s">
        <v>35</v>
      </c>
      <c r="J2209" t="s">
        <v>43</v>
      </c>
      <c r="K2209" t="s">
        <v>48</v>
      </c>
      <c r="L2209" t="s">
        <v>109</v>
      </c>
      <c r="M2209">
        <v>2</v>
      </c>
    </row>
    <row r="2210" spans="1:13" x14ac:dyDescent="0.25">
      <c r="A2210">
        <v>1523</v>
      </c>
      <c r="B2210" t="s">
        <v>1550</v>
      </c>
      <c r="C2210" t="s">
        <v>79</v>
      </c>
      <c r="E2210" t="s">
        <v>1551</v>
      </c>
      <c r="F2210" t="s">
        <v>89</v>
      </c>
      <c r="G2210">
        <v>40000</v>
      </c>
      <c r="H2210" t="s">
        <v>58</v>
      </c>
      <c r="I2210" t="s">
        <v>42</v>
      </c>
      <c r="J2210" t="s">
        <v>43</v>
      </c>
      <c r="K2210" t="s">
        <v>116</v>
      </c>
      <c r="L2210" t="s">
        <v>109</v>
      </c>
      <c r="M2210">
        <v>2</v>
      </c>
    </row>
    <row r="2211" spans="1:13" x14ac:dyDescent="0.25">
      <c r="A2211">
        <v>1588</v>
      </c>
      <c r="B2211" t="s">
        <v>316</v>
      </c>
      <c r="C2211" t="s">
        <v>138</v>
      </c>
      <c r="D2211">
        <v>2021</v>
      </c>
      <c r="E2211">
        <v>27776</v>
      </c>
      <c r="F2211">
        <v>31000</v>
      </c>
      <c r="G2211">
        <v>60000</v>
      </c>
      <c r="H2211" t="s">
        <v>84</v>
      </c>
      <c r="I2211" t="s">
        <v>42</v>
      </c>
      <c r="J2211" t="s">
        <v>66</v>
      </c>
      <c r="L2211" t="s">
        <v>55</v>
      </c>
      <c r="M2211">
        <v>1</v>
      </c>
    </row>
    <row r="2212" spans="1:13" x14ac:dyDescent="0.25">
      <c r="A2212">
        <v>1039</v>
      </c>
      <c r="B2212" t="s">
        <v>1184</v>
      </c>
      <c r="C2212" t="s">
        <v>51</v>
      </c>
      <c r="E2212" t="s">
        <v>1552</v>
      </c>
      <c r="F2212" t="s">
        <v>89</v>
      </c>
      <c r="G2212">
        <v>60000</v>
      </c>
      <c r="H2212" t="s">
        <v>63</v>
      </c>
      <c r="I2212" t="s">
        <v>72</v>
      </c>
      <c r="K2212" t="s">
        <v>54</v>
      </c>
      <c r="M2212">
        <v>2</v>
      </c>
    </row>
    <row r="2213" spans="1:13" x14ac:dyDescent="0.25">
      <c r="A2213">
        <v>1436</v>
      </c>
      <c r="B2213" t="s">
        <v>189</v>
      </c>
      <c r="C2213" t="s">
        <v>103</v>
      </c>
      <c r="D2213">
        <v>2021</v>
      </c>
      <c r="E2213" t="s">
        <v>1553</v>
      </c>
      <c r="F2213">
        <v>18000</v>
      </c>
      <c r="G2213">
        <v>120000</v>
      </c>
      <c r="H2213" t="s">
        <v>34</v>
      </c>
      <c r="I2213" t="s">
        <v>59</v>
      </c>
      <c r="J2213" t="s">
        <v>36</v>
      </c>
      <c r="K2213" t="s">
        <v>100</v>
      </c>
      <c r="L2213" t="s">
        <v>109</v>
      </c>
      <c r="M2213">
        <v>2</v>
      </c>
    </row>
    <row r="2214" spans="1:13" x14ac:dyDescent="0.25">
      <c r="A2214">
        <v>1457</v>
      </c>
      <c r="B2214" t="s">
        <v>1502</v>
      </c>
      <c r="C2214" t="s">
        <v>119</v>
      </c>
      <c r="D2214">
        <v>2019</v>
      </c>
      <c r="E2214">
        <v>2311</v>
      </c>
      <c r="F2214">
        <v>7000</v>
      </c>
      <c r="G2214" t="s">
        <v>33</v>
      </c>
      <c r="H2214" t="s">
        <v>69</v>
      </c>
      <c r="I2214" t="s">
        <v>35</v>
      </c>
      <c r="J2214" t="s">
        <v>66</v>
      </c>
      <c r="K2214" t="s">
        <v>100</v>
      </c>
      <c r="L2214" t="s">
        <v>55</v>
      </c>
      <c r="M2214">
        <v>1</v>
      </c>
    </row>
    <row r="2215" spans="1:13" x14ac:dyDescent="0.25">
      <c r="A2215">
        <v>1376</v>
      </c>
      <c r="B2215" t="s">
        <v>148</v>
      </c>
      <c r="C2215" t="s">
        <v>133</v>
      </c>
      <c r="D2215">
        <v>2020</v>
      </c>
      <c r="E2215">
        <v>20486</v>
      </c>
      <c r="F2215">
        <v>22000</v>
      </c>
      <c r="G2215" t="s">
        <v>33</v>
      </c>
      <c r="H2215" t="s">
        <v>84</v>
      </c>
      <c r="I2215" t="s">
        <v>59</v>
      </c>
      <c r="J2215" t="s">
        <v>36</v>
      </c>
      <c r="K2215" t="s">
        <v>73</v>
      </c>
      <c r="L2215" t="s">
        <v>109</v>
      </c>
      <c r="M2215">
        <v>2</v>
      </c>
    </row>
    <row r="2216" spans="1:13" x14ac:dyDescent="0.25">
      <c r="A2216">
        <v>1344</v>
      </c>
      <c r="B2216" t="s">
        <v>1481</v>
      </c>
      <c r="C2216" t="s">
        <v>79</v>
      </c>
      <c r="D2216">
        <v>2019</v>
      </c>
      <c r="E2216">
        <v>11107</v>
      </c>
      <c r="F2216">
        <v>15000</v>
      </c>
      <c r="G2216">
        <v>40000</v>
      </c>
      <c r="H2216" t="s">
        <v>58</v>
      </c>
      <c r="I2216" t="s">
        <v>35</v>
      </c>
      <c r="J2216" t="s">
        <v>43</v>
      </c>
      <c r="L2216" t="s">
        <v>38</v>
      </c>
      <c r="M2216">
        <v>1</v>
      </c>
    </row>
    <row r="2217" spans="1:13" x14ac:dyDescent="0.25">
      <c r="A2217">
        <v>1521</v>
      </c>
      <c r="B2217" t="s">
        <v>1508</v>
      </c>
      <c r="C2217" t="s">
        <v>79</v>
      </c>
      <c r="D2217" t="s">
        <v>52</v>
      </c>
      <c r="E2217" t="s">
        <v>1554</v>
      </c>
      <c r="F2217">
        <v>31000</v>
      </c>
      <c r="G2217">
        <v>120000</v>
      </c>
      <c r="H2217" t="s">
        <v>41</v>
      </c>
      <c r="I2217" t="s">
        <v>72</v>
      </c>
      <c r="K2217" t="s">
        <v>37</v>
      </c>
      <c r="L2217" t="s">
        <v>126</v>
      </c>
    </row>
    <row r="2218" spans="1:13" x14ac:dyDescent="0.25">
      <c r="A2218">
        <v>1090</v>
      </c>
      <c r="B2218" t="s">
        <v>1060</v>
      </c>
      <c r="C2218" t="s">
        <v>103</v>
      </c>
      <c r="D2218">
        <v>2014</v>
      </c>
      <c r="E2218">
        <v>16350</v>
      </c>
      <c r="F2218">
        <v>18000</v>
      </c>
      <c r="G2218">
        <v>25000</v>
      </c>
      <c r="H2218" t="s">
        <v>63</v>
      </c>
      <c r="I2218" t="s">
        <v>42</v>
      </c>
      <c r="J2218" t="s">
        <v>36</v>
      </c>
      <c r="K2218" t="s">
        <v>116</v>
      </c>
      <c r="L2218" t="s">
        <v>38</v>
      </c>
      <c r="M2218">
        <v>1</v>
      </c>
    </row>
    <row r="2219" spans="1:13" x14ac:dyDescent="0.25">
      <c r="A2219">
        <v>1070</v>
      </c>
      <c r="B2219" t="s">
        <v>1371</v>
      </c>
      <c r="C2219" t="s">
        <v>94</v>
      </c>
      <c r="D2219">
        <v>2022</v>
      </c>
      <c r="E2219">
        <v>19954</v>
      </c>
      <c r="F2219">
        <v>26000</v>
      </c>
      <c r="G2219">
        <v>15000</v>
      </c>
      <c r="H2219" t="s">
        <v>63</v>
      </c>
      <c r="I2219" t="s">
        <v>35</v>
      </c>
      <c r="J2219" t="s">
        <v>36</v>
      </c>
      <c r="K2219" t="s">
        <v>73</v>
      </c>
      <c r="L2219" t="s">
        <v>109</v>
      </c>
      <c r="M2219">
        <v>2</v>
      </c>
    </row>
    <row r="2220" spans="1:13" x14ac:dyDescent="0.25">
      <c r="A2220">
        <v>1209</v>
      </c>
      <c r="B2220" t="s">
        <v>816</v>
      </c>
      <c r="C2220" t="s">
        <v>47</v>
      </c>
      <c r="E2220" t="s">
        <v>1555</v>
      </c>
      <c r="F2220">
        <v>9000</v>
      </c>
      <c r="G2220">
        <v>15000</v>
      </c>
      <c r="H2220" t="s">
        <v>41</v>
      </c>
      <c r="J2220" t="s">
        <v>66</v>
      </c>
      <c r="K2220" t="s">
        <v>77</v>
      </c>
      <c r="L2220" t="s">
        <v>38</v>
      </c>
    </row>
    <row r="2221" spans="1:13" x14ac:dyDescent="0.25">
      <c r="A2221">
        <v>1002</v>
      </c>
      <c r="B2221" t="s">
        <v>1386</v>
      </c>
      <c r="C2221" t="s">
        <v>103</v>
      </c>
      <c r="D2221">
        <v>2017</v>
      </c>
      <c r="E2221">
        <v>29652</v>
      </c>
      <c r="F2221">
        <v>31000</v>
      </c>
      <c r="G2221">
        <v>80000</v>
      </c>
      <c r="J2221" t="s">
        <v>66</v>
      </c>
      <c r="K2221" t="s">
        <v>37</v>
      </c>
    </row>
    <row r="2222" spans="1:13" x14ac:dyDescent="0.25">
      <c r="A2222">
        <v>1101</v>
      </c>
      <c r="B2222" t="s">
        <v>1405</v>
      </c>
      <c r="C2222" t="s">
        <v>47</v>
      </c>
      <c r="D2222">
        <v>2022</v>
      </c>
      <c r="E2222">
        <v>13316</v>
      </c>
      <c r="F2222">
        <v>18000</v>
      </c>
      <c r="G2222">
        <v>40000</v>
      </c>
      <c r="H2222" t="s">
        <v>34</v>
      </c>
      <c r="I2222" t="s">
        <v>42</v>
      </c>
      <c r="J2222" t="s">
        <v>96</v>
      </c>
      <c r="K2222" t="s">
        <v>100</v>
      </c>
      <c r="L2222" t="s">
        <v>126</v>
      </c>
    </row>
    <row r="2223" spans="1:13" x14ac:dyDescent="0.25">
      <c r="A2223">
        <v>1414</v>
      </c>
      <c r="B2223" t="s">
        <v>237</v>
      </c>
      <c r="C2223" t="s">
        <v>119</v>
      </c>
      <c r="D2223">
        <v>2018</v>
      </c>
      <c r="E2223">
        <v>5592</v>
      </c>
      <c r="F2223">
        <v>9000</v>
      </c>
      <c r="G2223" t="s">
        <v>33</v>
      </c>
      <c r="H2223" t="s">
        <v>34</v>
      </c>
      <c r="I2223" t="s">
        <v>72</v>
      </c>
      <c r="J2223" t="s">
        <v>96</v>
      </c>
      <c r="K2223" t="s">
        <v>73</v>
      </c>
      <c r="L2223" t="s">
        <v>45</v>
      </c>
      <c r="M2223">
        <v>3</v>
      </c>
    </row>
    <row r="2224" spans="1:13" x14ac:dyDescent="0.25">
      <c r="A2224">
        <v>1416</v>
      </c>
      <c r="B2224" t="s">
        <v>1040</v>
      </c>
      <c r="C2224" t="s">
        <v>47</v>
      </c>
      <c r="D2224" t="s">
        <v>52</v>
      </c>
      <c r="E2224">
        <v>6091</v>
      </c>
      <c r="F2224">
        <v>12000</v>
      </c>
      <c r="G2224">
        <v>60000</v>
      </c>
      <c r="H2224" t="s">
        <v>84</v>
      </c>
      <c r="J2224" t="s">
        <v>43</v>
      </c>
      <c r="K2224" t="s">
        <v>116</v>
      </c>
      <c r="L2224" t="s">
        <v>45</v>
      </c>
      <c r="M2224">
        <v>2</v>
      </c>
    </row>
    <row r="2225" spans="1:13" x14ac:dyDescent="0.25">
      <c r="A2225">
        <v>1313</v>
      </c>
      <c r="B2225" t="s">
        <v>1209</v>
      </c>
      <c r="C2225" t="s">
        <v>57</v>
      </c>
      <c r="D2225">
        <v>2018</v>
      </c>
      <c r="E2225">
        <v>21348</v>
      </c>
      <c r="F2225">
        <v>26000</v>
      </c>
      <c r="G2225">
        <v>80000</v>
      </c>
      <c r="H2225" t="s">
        <v>53</v>
      </c>
      <c r="K2225" t="s">
        <v>44</v>
      </c>
      <c r="L2225" t="s">
        <v>38</v>
      </c>
      <c r="M2225">
        <v>0</v>
      </c>
    </row>
    <row r="2226" spans="1:13" x14ac:dyDescent="0.25">
      <c r="A2226">
        <v>1200</v>
      </c>
      <c r="B2226" t="s">
        <v>1556</v>
      </c>
      <c r="C2226" t="s">
        <v>61</v>
      </c>
      <c r="D2226">
        <v>2019</v>
      </c>
      <c r="E2226">
        <v>22453</v>
      </c>
      <c r="F2226" t="s">
        <v>83</v>
      </c>
      <c r="G2226" t="s">
        <v>92</v>
      </c>
      <c r="H2226" t="s">
        <v>34</v>
      </c>
      <c r="J2226" t="s">
        <v>36</v>
      </c>
      <c r="L2226" t="s">
        <v>98</v>
      </c>
      <c r="M2226">
        <v>2</v>
      </c>
    </row>
    <row r="2227" spans="1:13" x14ac:dyDescent="0.25">
      <c r="A2227">
        <v>1124</v>
      </c>
      <c r="B2227" t="s">
        <v>245</v>
      </c>
      <c r="C2227" t="s">
        <v>94</v>
      </c>
      <c r="D2227">
        <v>2020</v>
      </c>
      <c r="E2227">
        <v>20746</v>
      </c>
      <c r="F2227">
        <v>26000</v>
      </c>
      <c r="G2227">
        <v>120000</v>
      </c>
      <c r="H2227" t="s">
        <v>58</v>
      </c>
      <c r="I2227" t="s">
        <v>42</v>
      </c>
      <c r="J2227" t="s">
        <v>66</v>
      </c>
      <c r="K2227" t="s">
        <v>54</v>
      </c>
      <c r="L2227" t="s">
        <v>98</v>
      </c>
    </row>
    <row r="2228" spans="1:13" x14ac:dyDescent="0.25">
      <c r="A2228">
        <v>1212</v>
      </c>
      <c r="B2228" t="s">
        <v>774</v>
      </c>
      <c r="C2228" t="s">
        <v>133</v>
      </c>
      <c r="D2228">
        <v>2016</v>
      </c>
      <c r="E2228">
        <v>9145</v>
      </c>
      <c r="F2228">
        <v>12000</v>
      </c>
      <c r="G2228">
        <v>15000</v>
      </c>
      <c r="H2228" t="s">
        <v>41</v>
      </c>
      <c r="I2228" t="s">
        <v>59</v>
      </c>
      <c r="J2228" t="s">
        <v>36</v>
      </c>
      <c r="K2228" t="s">
        <v>77</v>
      </c>
      <c r="M2228">
        <v>3</v>
      </c>
    </row>
    <row r="2229" spans="1:13" x14ac:dyDescent="0.25">
      <c r="A2229">
        <v>1052</v>
      </c>
      <c r="B2229" t="s">
        <v>545</v>
      </c>
      <c r="C2229" t="s">
        <v>133</v>
      </c>
      <c r="D2229">
        <v>2018</v>
      </c>
      <c r="E2229">
        <v>16893</v>
      </c>
      <c r="F2229">
        <v>22000</v>
      </c>
      <c r="G2229">
        <v>60000</v>
      </c>
      <c r="H2229" t="s">
        <v>34</v>
      </c>
      <c r="I2229" t="s">
        <v>72</v>
      </c>
      <c r="J2229" t="s">
        <v>43</v>
      </c>
      <c r="K2229" t="s">
        <v>48</v>
      </c>
      <c r="L2229" t="s">
        <v>109</v>
      </c>
      <c r="M2229">
        <v>3</v>
      </c>
    </row>
    <row r="2230" spans="1:13" x14ac:dyDescent="0.25">
      <c r="A2230">
        <v>1068</v>
      </c>
      <c r="B2230" t="s">
        <v>853</v>
      </c>
      <c r="C2230" t="s">
        <v>94</v>
      </c>
      <c r="D2230">
        <v>2022</v>
      </c>
      <c r="E2230">
        <v>3112</v>
      </c>
      <c r="F2230" t="s">
        <v>147</v>
      </c>
      <c r="G2230">
        <v>15000</v>
      </c>
      <c r="I2230" t="s">
        <v>59</v>
      </c>
      <c r="J2230" t="s">
        <v>96</v>
      </c>
      <c r="K2230" t="s">
        <v>54</v>
      </c>
      <c r="L2230" t="s">
        <v>45</v>
      </c>
      <c r="M2230">
        <v>1</v>
      </c>
    </row>
    <row r="2231" spans="1:13" x14ac:dyDescent="0.25">
      <c r="A2231">
        <v>1420</v>
      </c>
      <c r="B2231" t="s">
        <v>539</v>
      </c>
      <c r="C2231" t="s">
        <v>103</v>
      </c>
      <c r="D2231">
        <v>2017</v>
      </c>
      <c r="E2231" t="s">
        <v>1557</v>
      </c>
      <c r="F2231">
        <v>12000</v>
      </c>
      <c r="G2231">
        <v>60000</v>
      </c>
      <c r="H2231" t="s">
        <v>69</v>
      </c>
      <c r="I2231" t="s">
        <v>72</v>
      </c>
      <c r="J2231" t="s">
        <v>66</v>
      </c>
      <c r="K2231" t="s">
        <v>73</v>
      </c>
      <c r="L2231" t="s">
        <v>126</v>
      </c>
      <c r="M2231">
        <v>2</v>
      </c>
    </row>
    <row r="2232" spans="1:13" x14ac:dyDescent="0.25">
      <c r="A2232">
        <v>1102</v>
      </c>
      <c r="B2232" t="s">
        <v>1399</v>
      </c>
      <c r="C2232" t="s">
        <v>164</v>
      </c>
      <c r="D2232">
        <v>2015</v>
      </c>
      <c r="E2232">
        <v>22952</v>
      </c>
      <c r="F2232" t="s">
        <v>83</v>
      </c>
      <c r="G2232" t="s">
        <v>92</v>
      </c>
      <c r="H2232" t="s">
        <v>84</v>
      </c>
      <c r="J2232" t="s">
        <v>36</v>
      </c>
      <c r="L2232" t="s">
        <v>109</v>
      </c>
      <c r="M2232">
        <v>0</v>
      </c>
    </row>
    <row r="2233" spans="1:13" x14ac:dyDescent="0.25">
      <c r="A2233">
        <v>1229</v>
      </c>
      <c r="B2233" t="s">
        <v>1454</v>
      </c>
      <c r="C2233" t="s">
        <v>61</v>
      </c>
      <c r="D2233">
        <v>2020</v>
      </c>
      <c r="E2233">
        <v>20171</v>
      </c>
      <c r="F2233">
        <v>22000</v>
      </c>
      <c r="G2233">
        <v>120000</v>
      </c>
      <c r="H2233" t="s">
        <v>84</v>
      </c>
      <c r="I2233" t="s">
        <v>72</v>
      </c>
      <c r="J2233" t="s">
        <v>66</v>
      </c>
      <c r="K2233" t="s">
        <v>100</v>
      </c>
      <c r="L2233" t="s">
        <v>90</v>
      </c>
    </row>
    <row r="2234" spans="1:13" x14ac:dyDescent="0.25">
      <c r="A2234">
        <v>1501</v>
      </c>
      <c r="B2234" t="s">
        <v>237</v>
      </c>
      <c r="C2234" t="s">
        <v>133</v>
      </c>
      <c r="D2234">
        <v>2020</v>
      </c>
      <c r="E2234">
        <v>23323</v>
      </c>
      <c r="F2234">
        <v>26000</v>
      </c>
      <c r="G2234" t="s">
        <v>108</v>
      </c>
      <c r="H2234" t="s">
        <v>69</v>
      </c>
      <c r="I2234" t="s">
        <v>42</v>
      </c>
      <c r="J2234" t="s">
        <v>66</v>
      </c>
      <c r="K2234" t="s">
        <v>77</v>
      </c>
      <c r="M2234">
        <v>0</v>
      </c>
    </row>
    <row r="2235" spans="1:13" x14ac:dyDescent="0.25">
      <c r="A2235">
        <v>1502</v>
      </c>
      <c r="B2235" t="s">
        <v>1112</v>
      </c>
      <c r="C2235" t="s">
        <v>40</v>
      </c>
      <c r="D2235">
        <v>2020</v>
      </c>
      <c r="E2235" t="s">
        <v>1558</v>
      </c>
      <c r="F2235">
        <v>7000</v>
      </c>
      <c r="G2235" t="s">
        <v>108</v>
      </c>
      <c r="H2235" t="s">
        <v>84</v>
      </c>
      <c r="J2235" t="s">
        <v>96</v>
      </c>
      <c r="K2235" t="s">
        <v>44</v>
      </c>
      <c r="L2235" t="s">
        <v>55</v>
      </c>
      <c r="M2235">
        <v>2</v>
      </c>
    </row>
    <row r="2236" spans="1:13" x14ac:dyDescent="0.25">
      <c r="A2236">
        <v>1019</v>
      </c>
      <c r="B2236" t="s">
        <v>1363</v>
      </c>
      <c r="C2236" t="s">
        <v>103</v>
      </c>
      <c r="D2236">
        <v>2019</v>
      </c>
      <c r="E2236">
        <v>4913</v>
      </c>
      <c r="F2236">
        <v>7000</v>
      </c>
      <c r="G2236">
        <v>40000</v>
      </c>
      <c r="H2236" t="s">
        <v>84</v>
      </c>
      <c r="I2236" t="s">
        <v>35</v>
      </c>
      <c r="J2236" t="s">
        <v>96</v>
      </c>
      <c r="K2236" t="s">
        <v>77</v>
      </c>
      <c r="L2236" t="s">
        <v>109</v>
      </c>
    </row>
    <row r="2237" spans="1:13" x14ac:dyDescent="0.25">
      <c r="A2237">
        <v>1490</v>
      </c>
      <c r="B2237" t="s">
        <v>1021</v>
      </c>
      <c r="C2237" t="s">
        <v>47</v>
      </c>
      <c r="D2237">
        <v>2014</v>
      </c>
      <c r="E2237">
        <v>11860</v>
      </c>
      <c r="F2237">
        <v>18000</v>
      </c>
      <c r="G2237">
        <v>15000</v>
      </c>
      <c r="H2237" t="s">
        <v>53</v>
      </c>
      <c r="I2237" t="s">
        <v>35</v>
      </c>
      <c r="J2237" t="s">
        <v>43</v>
      </c>
      <c r="K2237" t="s">
        <v>37</v>
      </c>
      <c r="L2237" t="s">
        <v>126</v>
      </c>
    </row>
    <row r="2238" spans="1:13" x14ac:dyDescent="0.25">
      <c r="A2238">
        <v>1294</v>
      </c>
      <c r="B2238" t="s">
        <v>1399</v>
      </c>
      <c r="C2238" t="s">
        <v>164</v>
      </c>
      <c r="D2238">
        <v>2016</v>
      </c>
      <c r="E2238">
        <v>3497</v>
      </c>
      <c r="F2238">
        <v>9000</v>
      </c>
      <c r="G2238">
        <v>60000</v>
      </c>
      <c r="H2238" t="s">
        <v>84</v>
      </c>
      <c r="I2238" t="s">
        <v>72</v>
      </c>
      <c r="J2238" t="s">
        <v>43</v>
      </c>
      <c r="K2238" t="s">
        <v>77</v>
      </c>
      <c r="L2238" t="s">
        <v>90</v>
      </c>
      <c r="M2238">
        <v>0</v>
      </c>
    </row>
    <row r="2239" spans="1:13" x14ac:dyDescent="0.25">
      <c r="A2239">
        <v>1288</v>
      </c>
      <c r="B2239" t="s">
        <v>827</v>
      </c>
      <c r="C2239" t="s">
        <v>51</v>
      </c>
      <c r="D2239">
        <v>2017</v>
      </c>
      <c r="E2239">
        <v>6966</v>
      </c>
      <c r="F2239" t="s">
        <v>81</v>
      </c>
      <c r="G2239">
        <v>80000</v>
      </c>
      <c r="H2239" t="s">
        <v>34</v>
      </c>
      <c r="I2239" t="s">
        <v>72</v>
      </c>
      <c r="J2239" t="s">
        <v>43</v>
      </c>
      <c r="K2239" t="s">
        <v>73</v>
      </c>
      <c r="L2239" t="s">
        <v>90</v>
      </c>
      <c r="M2239">
        <v>1</v>
      </c>
    </row>
    <row r="2240" spans="1:13" x14ac:dyDescent="0.25">
      <c r="A2240">
        <v>1522</v>
      </c>
      <c r="B2240" t="s">
        <v>829</v>
      </c>
      <c r="C2240" t="s">
        <v>47</v>
      </c>
      <c r="D2240">
        <v>2020</v>
      </c>
      <c r="E2240" t="s">
        <v>1559</v>
      </c>
      <c r="F2240">
        <v>9000</v>
      </c>
      <c r="G2240">
        <v>60000</v>
      </c>
      <c r="H2240" t="s">
        <v>63</v>
      </c>
      <c r="I2240" t="s">
        <v>72</v>
      </c>
      <c r="J2240" t="s">
        <v>96</v>
      </c>
      <c r="K2240" t="s">
        <v>100</v>
      </c>
      <c r="L2240" t="s">
        <v>98</v>
      </c>
      <c r="M2240">
        <v>3</v>
      </c>
    </row>
    <row r="2241" spans="1:13" x14ac:dyDescent="0.25">
      <c r="A2241">
        <v>1058</v>
      </c>
      <c r="B2241" t="s">
        <v>1363</v>
      </c>
      <c r="C2241" t="s">
        <v>164</v>
      </c>
      <c r="D2241">
        <v>2014</v>
      </c>
      <c r="E2241" t="s">
        <v>1560</v>
      </c>
      <c r="F2241">
        <v>15000</v>
      </c>
      <c r="G2241" t="s">
        <v>92</v>
      </c>
      <c r="H2241" t="s">
        <v>41</v>
      </c>
      <c r="I2241" t="s">
        <v>72</v>
      </c>
      <c r="J2241" t="s">
        <v>43</v>
      </c>
      <c r="L2241" t="s">
        <v>55</v>
      </c>
      <c r="M2241">
        <v>0</v>
      </c>
    </row>
    <row r="2242" spans="1:13" x14ac:dyDescent="0.25">
      <c r="A2242">
        <v>1072</v>
      </c>
      <c r="B2242" t="s">
        <v>1321</v>
      </c>
      <c r="C2242" t="s">
        <v>103</v>
      </c>
      <c r="E2242">
        <v>2213</v>
      </c>
      <c r="F2242" t="s">
        <v>147</v>
      </c>
      <c r="G2242">
        <v>40000</v>
      </c>
      <c r="H2242" t="s">
        <v>34</v>
      </c>
      <c r="I2242" t="s">
        <v>59</v>
      </c>
      <c r="K2242" t="s">
        <v>77</v>
      </c>
      <c r="L2242" t="s">
        <v>90</v>
      </c>
      <c r="M2242">
        <v>1</v>
      </c>
    </row>
    <row r="2243" spans="1:13" x14ac:dyDescent="0.25">
      <c r="A2243">
        <v>1379</v>
      </c>
      <c r="B2243" t="s">
        <v>806</v>
      </c>
      <c r="C2243" t="s">
        <v>79</v>
      </c>
      <c r="D2243">
        <v>2017</v>
      </c>
      <c r="E2243">
        <v>12105</v>
      </c>
      <c r="F2243">
        <v>15000</v>
      </c>
      <c r="G2243">
        <v>120000</v>
      </c>
      <c r="H2243" t="s">
        <v>63</v>
      </c>
      <c r="I2243" t="s">
        <v>35</v>
      </c>
      <c r="J2243" t="s">
        <v>43</v>
      </c>
      <c r="K2243" t="s">
        <v>44</v>
      </c>
      <c r="L2243" t="s">
        <v>55</v>
      </c>
      <c r="M2243">
        <v>0</v>
      </c>
    </row>
    <row r="2244" spans="1:13" x14ac:dyDescent="0.25">
      <c r="A2244">
        <v>1540</v>
      </c>
      <c r="B2244" t="s">
        <v>1003</v>
      </c>
      <c r="C2244" t="s">
        <v>138</v>
      </c>
      <c r="E2244">
        <v>15810</v>
      </c>
      <c r="F2244" t="s">
        <v>129</v>
      </c>
      <c r="G2244" t="s">
        <v>33</v>
      </c>
      <c r="H2244" t="s">
        <v>69</v>
      </c>
      <c r="I2244" t="s">
        <v>59</v>
      </c>
      <c r="K2244" t="s">
        <v>44</v>
      </c>
      <c r="L2244" t="s">
        <v>109</v>
      </c>
      <c r="M2244">
        <v>0</v>
      </c>
    </row>
    <row r="2245" spans="1:13" x14ac:dyDescent="0.25">
      <c r="A2245">
        <v>1330</v>
      </c>
      <c r="B2245" t="s">
        <v>541</v>
      </c>
      <c r="C2245" t="s">
        <v>40</v>
      </c>
      <c r="D2245">
        <v>2016</v>
      </c>
      <c r="E2245">
        <v>5437</v>
      </c>
      <c r="F2245">
        <v>7000</v>
      </c>
      <c r="G2245" t="s">
        <v>130</v>
      </c>
      <c r="H2245" t="s">
        <v>63</v>
      </c>
      <c r="I2245" t="s">
        <v>35</v>
      </c>
      <c r="J2245" t="s">
        <v>36</v>
      </c>
      <c r="K2245" t="s">
        <v>77</v>
      </c>
      <c r="L2245" t="s">
        <v>38</v>
      </c>
      <c r="M2245">
        <v>2</v>
      </c>
    </row>
    <row r="2246" spans="1:13" x14ac:dyDescent="0.25">
      <c r="A2246">
        <v>1243</v>
      </c>
      <c r="B2246" t="s">
        <v>634</v>
      </c>
      <c r="C2246" t="s">
        <v>94</v>
      </c>
      <c r="D2246">
        <v>2019</v>
      </c>
      <c r="E2246" t="s">
        <v>1561</v>
      </c>
      <c r="F2246">
        <v>15000</v>
      </c>
      <c r="G2246">
        <v>25000</v>
      </c>
      <c r="H2246" t="s">
        <v>69</v>
      </c>
      <c r="I2246" t="s">
        <v>42</v>
      </c>
      <c r="J2246" t="s">
        <v>43</v>
      </c>
      <c r="K2246" t="s">
        <v>73</v>
      </c>
      <c r="L2246" t="s">
        <v>126</v>
      </c>
    </row>
    <row r="2247" spans="1:13" x14ac:dyDescent="0.25">
      <c r="A2247">
        <v>1459</v>
      </c>
      <c r="B2247" t="s">
        <v>134</v>
      </c>
      <c r="C2247" t="s">
        <v>51</v>
      </c>
      <c r="D2247">
        <v>2015</v>
      </c>
      <c r="E2247" t="s">
        <v>1562</v>
      </c>
      <c r="F2247">
        <v>26000</v>
      </c>
      <c r="G2247" t="s">
        <v>130</v>
      </c>
      <c r="I2247" t="s">
        <v>35</v>
      </c>
      <c r="J2247" t="s">
        <v>96</v>
      </c>
      <c r="K2247" t="s">
        <v>116</v>
      </c>
      <c r="L2247" t="s">
        <v>126</v>
      </c>
      <c r="M2247">
        <v>0</v>
      </c>
    </row>
    <row r="2248" spans="1:13" x14ac:dyDescent="0.25">
      <c r="A2248">
        <v>1217</v>
      </c>
      <c r="B2248" t="s">
        <v>1563</v>
      </c>
      <c r="C2248" t="s">
        <v>57</v>
      </c>
      <c r="D2248">
        <v>2019</v>
      </c>
      <c r="E2248">
        <v>5430</v>
      </c>
      <c r="F2248">
        <v>12000</v>
      </c>
      <c r="G2248">
        <v>80000</v>
      </c>
      <c r="I2248" t="s">
        <v>35</v>
      </c>
      <c r="J2248" t="s">
        <v>43</v>
      </c>
      <c r="L2248" t="s">
        <v>109</v>
      </c>
      <c r="M2248">
        <v>3</v>
      </c>
    </row>
    <row r="2249" spans="1:13" x14ac:dyDescent="0.25">
      <c r="A2249">
        <v>1037</v>
      </c>
      <c r="B2249" t="s">
        <v>372</v>
      </c>
      <c r="C2249" t="s">
        <v>32</v>
      </c>
      <c r="D2249">
        <v>2021</v>
      </c>
      <c r="E2249">
        <v>21360</v>
      </c>
      <c r="F2249" t="s">
        <v>83</v>
      </c>
      <c r="G2249">
        <v>80000</v>
      </c>
      <c r="H2249" t="s">
        <v>53</v>
      </c>
      <c r="J2249" t="s">
        <v>66</v>
      </c>
      <c r="K2249" t="s">
        <v>73</v>
      </c>
      <c r="L2249" t="s">
        <v>49</v>
      </c>
      <c r="M2249">
        <v>0</v>
      </c>
    </row>
    <row r="2250" spans="1:13" x14ac:dyDescent="0.25">
      <c r="A2250">
        <v>1193</v>
      </c>
      <c r="B2250" t="s">
        <v>948</v>
      </c>
      <c r="C2250" t="s">
        <v>79</v>
      </c>
      <c r="D2250">
        <v>2019</v>
      </c>
      <c r="E2250">
        <v>3031</v>
      </c>
      <c r="F2250">
        <v>9000</v>
      </c>
      <c r="G2250">
        <v>60000</v>
      </c>
      <c r="H2250" t="s">
        <v>53</v>
      </c>
      <c r="I2250" t="s">
        <v>59</v>
      </c>
      <c r="J2250" t="s">
        <v>96</v>
      </c>
      <c r="K2250" t="s">
        <v>116</v>
      </c>
      <c r="L2250" t="s">
        <v>126</v>
      </c>
    </row>
    <row r="2251" spans="1:13" x14ac:dyDescent="0.25">
      <c r="A2251">
        <v>1363</v>
      </c>
      <c r="B2251" t="s">
        <v>1456</v>
      </c>
      <c r="C2251" t="s">
        <v>65</v>
      </c>
      <c r="D2251">
        <v>2018</v>
      </c>
      <c r="E2251">
        <v>3130</v>
      </c>
      <c r="F2251">
        <v>7000</v>
      </c>
      <c r="G2251">
        <v>60000</v>
      </c>
      <c r="H2251" t="s">
        <v>53</v>
      </c>
      <c r="I2251" t="s">
        <v>72</v>
      </c>
      <c r="J2251" t="s">
        <v>43</v>
      </c>
      <c r="K2251" t="s">
        <v>73</v>
      </c>
      <c r="L2251" t="s">
        <v>55</v>
      </c>
      <c r="M2251">
        <v>3</v>
      </c>
    </row>
    <row r="2252" spans="1:13" x14ac:dyDescent="0.25">
      <c r="A2252">
        <v>1480</v>
      </c>
      <c r="B2252" t="s">
        <v>815</v>
      </c>
      <c r="C2252" t="s">
        <v>79</v>
      </c>
      <c r="D2252">
        <v>2014</v>
      </c>
      <c r="E2252">
        <v>15527</v>
      </c>
      <c r="F2252">
        <v>18000</v>
      </c>
      <c r="G2252">
        <v>60000</v>
      </c>
      <c r="H2252" t="s">
        <v>58</v>
      </c>
      <c r="I2252" t="s">
        <v>59</v>
      </c>
      <c r="J2252" t="s">
        <v>36</v>
      </c>
      <c r="K2252" t="s">
        <v>100</v>
      </c>
      <c r="L2252" t="s">
        <v>98</v>
      </c>
      <c r="M2252">
        <v>0</v>
      </c>
    </row>
    <row r="2253" spans="1:13" x14ac:dyDescent="0.25">
      <c r="A2253">
        <v>1574</v>
      </c>
      <c r="B2253" t="s">
        <v>1217</v>
      </c>
      <c r="C2253" t="s">
        <v>164</v>
      </c>
      <c r="D2253" t="s">
        <v>52</v>
      </c>
      <c r="E2253">
        <v>24469</v>
      </c>
      <c r="F2253">
        <v>26000</v>
      </c>
      <c r="G2253" t="s">
        <v>108</v>
      </c>
      <c r="H2253" t="s">
        <v>84</v>
      </c>
      <c r="I2253" t="s">
        <v>35</v>
      </c>
      <c r="K2253" t="s">
        <v>77</v>
      </c>
      <c r="L2253" t="s">
        <v>98</v>
      </c>
      <c r="M2253">
        <v>0</v>
      </c>
    </row>
    <row r="2254" spans="1:13" x14ac:dyDescent="0.25">
      <c r="A2254">
        <v>1068</v>
      </c>
      <c r="B2254" t="s">
        <v>1097</v>
      </c>
      <c r="C2254" t="s">
        <v>75</v>
      </c>
      <c r="E2254">
        <v>16972</v>
      </c>
      <c r="F2254" t="s">
        <v>129</v>
      </c>
      <c r="G2254">
        <v>80000</v>
      </c>
      <c r="H2254" t="s">
        <v>58</v>
      </c>
      <c r="I2254" t="s">
        <v>59</v>
      </c>
      <c r="J2254" t="s">
        <v>43</v>
      </c>
      <c r="K2254" t="s">
        <v>100</v>
      </c>
      <c r="M2254">
        <v>0</v>
      </c>
    </row>
    <row r="2255" spans="1:13" x14ac:dyDescent="0.25">
      <c r="A2255">
        <v>1050</v>
      </c>
      <c r="B2255" t="s">
        <v>1367</v>
      </c>
      <c r="C2255" t="s">
        <v>79</v>
      </c>
      <c r="D2255" t="s">
        <v>52</v>
      </c>
      <c r="E2255" t="s">
        <v>1564</v>
      </c>
      <c r="F2255">
        <v>31000</v>
      </c>
      <c r="G2255">
        <v>60000</v>
      </c>
      <c r="H2255" t="s">
        <v>34</v>
      </c>
      <c r="J2255" t="s">
        <v>66</v>
      </c>
      <c r="K2255" t="s">
        <v>37</v>
      </c>
      <c r="L2255" t="s">
        <v>49</v>
      </c>
    </row>
    <row r="2256" spans="1:13" x14ac:dyDescent="0.25">
      <c r="A2256">
        <v>1502</v>
      </c>
      <c r="B2256" t="s">
        <v>719</v>
      </c>
      <c r="C2256" t="s">
        <v>61</v>
      </c>
      <c r="D2256">
        <v>2020</v>
      </c>
      <c r="E2256">
        <v>21445</v>
      </c>
      <c r="F2256">
        <v>26000</v>
      </c>
      <c r="G2256">
        <v>40000</v>
      </c>
      <c r="H2256" t="s">
        <v>63</v>
      </c>
      <c r="I2256" t="s">
        <v>59</v>
      </c>
      <c r="K2256" t="s">
        <v>37</v>
      </c>
      <c r="L2256" t="s">
        <v>90</v>
      </c>
      <c r="M2256">
        <v>1</v>
      </c>
    </row>
    <row r="2257" spans="1:13" x14ac:dyDescent="0.25">
      <c r="A2257">
        <v>1245</v>
      </c>
      <c r="B2257" t="s">
        <v>60</v>
      </c>
      <c r="C2257" t="s">
        <v>68</v>
      </c>
      <c r="D2257">
        <v>2019</v>
      </c>
      <c r="E2257">
        <v>4983</v>
      </c>
      <c r="F2257">
        <v>9000</v>
      </c>
      <c r="G2257">
        <v>25000</v>
      </c>
      <c r="I2257" t="s">
        <v>72</v>
      </c>
      <c r="K2257" t="s">
        <v>100</v>
      </c>
      <c r="L2257" t="s">
        <v>109</v>
      </c>
      <c r="M2257">
        <v>0</v>
      </c>
    </row>
    <row r="2258" spans="1:13" x14ac:dyDescent="0.25">
      <c r="A2258">
        <v>1272</v>
      </c>
      <c r="B2258" t="s">
        <v>573</v>
      </c>
      <c r="C2258" t="s">
        <v>68</v>
      </c>
      <c r="D2258">
        <v>2021</v>
      </c>
      <c r="E2258">
        <v>17524</v>
      </c>
      <c r="F2258">
        <v>22000</v>
      </c>
      <c r="G2258">
        <v>15000</v>
      </c>
      <c r="I2258" t="s">
        <v>42</v>
      </c>
      <c r="J2258" t="s">
        <v>96</v>
      </c>
      <c r="L2258" t="s">
        <v>49</v>
      </c>
    </row>
    <row r="2259" spans="1:13" x14ac:dyDescent="0.25">
      <c r="A2259">
        <v>1521</v>
      </c>
      <c r="B2259" t="s">
        <v>99</v>
      </c>
      <c r="C2259" t="s">
        <v>164</v>
      </c>
      <c r="D2259">
        <v>2015</v>
      </c>
      <c r="E2259">
        <v>25932</v>
      </c>
      <c r="F2259">
        <v>31000</v>
      </c>
      <c r="G2259">
        <v>120000</v>
      </c>
      <c r="H2259" t="s">
        <v>53</v>
      </c>
      <c r="I2259" t="s">
        <v>72</v>
      </c>
      <c r="K2259" t="s">
        <v>44</v>
      </c>
      <c r="M2259">
        <v>2</v>
      </c>
    </row>
    <row r="2260" spans="1:13" x14ac:dyDescent="0.25">
      <c r="A2260">
        <v>1480</v>
      </c>
      <c r="B2260" t="s">
        <v>1565</v>
      </c>
      <c r="C2260" t="s">
        <v>47</v>
      </c>
      <c r="D2260">
        <v>2022</v>
      </c>
      <c r="E2260">
        <v>10833</v>
      </c>
      <c r="F2260">
        <v>15000</v>
      </c>
      <c r="G2260" t="s">
        <v>130</v>
      </c>
      <c r="H2260" t="s">
        <v>41</v>
      </c>
      <c r="I2260" t="s">
        <v>35</v>
      </c>
      <c r="K2260" t="s">
        <v>77</v>
      </c>
      <c r="L2260" t="s">
        <v>126</v>
      </c>
      <c r="M2260">
        <v>3</v>
      </c>
    </row>
    <row r="2261" spans="1:13" x14ac:dyDescent="0.25">
      <c r="A2261">
        <v>1114</v>
      </c>
      <c r="B2261" t="s">
        <v>1566</v>
      </c>
      <c r="C2261" t="s">
        <v>65</v>
      </c>
      <c r="D2261">
        <v>2020</v>
      </c>
      <c r="E2261">
        <v>4875</v>
      </c>
      <c r="F2261">
        <v>9000</v>
      </c>
      <c r="G2261">
        <v>25000</v>
      </c>
      <c r="H2261" t="s">
        <v>53</v>
      </c>
      <c r="I2261" t="s">
        <v>42</v>
      </c>
      <c r="J2261" t="s">
        <v>96</v>
      </c>
      <c r="K2261" t="s">
        <v>77</v>
      </c>
      <c r="L2261" t="s">
        <v>126</v>
      </c>
      <c r="M2261">
        <v>1</v>
      </c>
    </row>
    <row r="2262" spans="1:13" x14ac:dyDescent="0.25">
      <c r="A2262">
        <v>1328</v>
      </c>
      <c r="B2262" t="s">
        <v>657</v>
      </c>
      <c r="C2262" t="s">
        <v>75</v>
      </c>
      <c r="D2262">
        <v>2017</v>
      </c>
      <c r="E2262">
        <v>28225</v>
      </c>
      <c r="F2262">
        <v>31000</v>
      </c>
      <c r="G2262">
        <v>80000</v>
      </c>
      <c r="I2262" t="s">
        <v>72</v>
      </c>
      <c r="J2262" t="s">
        <v>66</v>
      </c>
      <c r="K2262" t="s">
        <v>77</v>
      </c>
      <c r="L2262" t="s">
        <v>109</v>
      </c>
      <c r="M2262">
        <v>2</v>
      </c>
    </row>
    <row r="2263" spans="1:13" x14ac:dyDescent="0.25">
      <c r="A2263">
        <v>1562</v>
      </c>
      <c r="B2263" t="s">
        <v>1290</v>
      </c>
      <c r="C2263" t="s">
        <v>57</v>
      </c>
      <c r="D2263">
        <v>2020</v>
      </c>
      <c r="E2263">
        <v>9888</v>
      </c>
      <c r="F2263">
        <v>12000</v>
      </c>
      <c r="G2263">
        <v>15000</v>
      </c>
      <c r="H2263" t="s">
        <v>84</v>
      </c>
      <c r="I2263" t="s">
        <v>42</v>
      </c>
      <c r="K2263" t="s">
        <v>100</v>
      </c>
      <c r="L2263" t="s">
        <v>98</v>
      </c>
    </row>
    <row r="2264" spans="1:13" x14ac:dyDescent="0.25">
      <c r="A2264">
        <v>1584</v>
      </c>
      <c r="B2264" t="s">
        <v>1099</v>
      </c>
      <c r="C2264" t="s">
        <v>47</v>
      </c>
      <c r="D2264">
        <v>2018</v>
      </c>
      <c r="E2264">
        <v>17297</v>
      </c>
      <c r="F2264">
        <v>22000</v>
      </c>
      <c r="G2264" t="s">
        <v>76</v>
      </c>
      <c r="H2264" t="s">
        <v>53</v>
      </c>
      <c r="I2264" t="s">
        <v>35</v>
      </c>
      <c r="J2264" t="s">
        <v>43</v>
      </c>
      <c r="K2264" t="s">
        <v>116</v>
      </c>
      <c r="M2264">
        <v>3</v>
      </c>
    </row>
    <row r="2265" spans="1:13" x14ac:dyDescent="0.25">
      <c r="A2265">
        <v>1449</v>
      </c>
      <c r="B2265" t="s">
        <v>1567</v>
      </c>
      <c r="C2265" t="s">
        <v>61</v>
      </c>
      <c r="D2265">
        <v>2014</v>
      </c>
      <c r="E2265">
        <v>8667</v>
      </c>
      <c r="F2265">
        <v>15000</v>
      </c>
      <c r="G2265">
        <v>80000</v>
      </c>
      <c r="H2265" t="s">
        <v>63</v>
      </c>
      <c r="I2265" t="s">
        <v>72</v>
      </c>
      <c r="J2265" t="s">
        <v>43</v>
      </c>
      <c r="K2265" t="s">
        <v>116</v>
      </c>
      <c r="L2265" t="s">
        <v>55</v>
      </c>
    </row>
    <row r="2266" spans="1:13" x14ac:dyDescent="0.25">
      <c r="A2266">
        <v>1308</v>
      </c>
      <c r="B2266" t="s">
        <v>74</v>
      </c>
      <c r="C2266" t="s">
        <v>75</v>
      </c>
      <c r="D2266">
        <v>2021</v>
      </c>
      <c r="E2266">
        <v>16393</v>
      </c>
      <c r="F2266">
        <v>18000</v>
      </c>
      <c r="G2266" t="s">
        <v>33</v>
      </c>
      <c r="H2266" t="s">
        <v>53</v>
      </c>
      <c r="J2266" t="s">
        <v>36</v>
      </c>
      <c r="K2266" t="s">
        <v>37</v>
      </c>
      <c r="L2266" t="s">
        <v>109</v>
      </c>
      <c r="M2266">
        <v>3</v>
      </c>
    </row>
    <row r="2267" spans="1:13" x14ac:dyDescent="0.25">
      <c r="A2267">
        <v>1278</v>
      </c>
      <c r="B2267" t="s">
        <v>1087</v>
      </c>
      <c r="C2267" t="s">
        <v>79</v>
      </c>
      <c r="D2267">
        <v>2014</v>
      </c>
      <c r="E2267">
        <v>9707</v>
      </c>
      <c r="F2267">
        <v>12000</v>
      </c>
      <c r="G2267" t="s">
        <v>92</v>
      </c>
      <c r="H2267" t="s">
        <v>63</v>
      </c>
      <c r="I2267" t="s">
        <v>59</v>
      </c>
      <c r="J2267" t="s">
        <v>96</v>
      </c>
      <c r="K2267" t="s">
        <v>48</v>
      </c>
      <c r="L2267" t="s">
        <v>90</v>
      </c>
    </row>
    <row r="2268" spans="1:13" x14ac:dyDescent="0.25">
      <c r="A2268">
        <v>1548</v>
      </c>
      <c r="B2268" t="s">
        <v>1392</v>
      </c>
      <c r="C2268" t="s">
        <v>65</v>
      </c>
      <c r="D2268">
        <v>2017</v>
      </c>
      <c r="E2268">
        <v>13178</v>
      </c>
      <c r="F2268">
        <v>15000</v>
      </c>
      <c r="G2268">
        <v>80000</v>
      </c>
      <c r="H2268" t="s">
        <v>41</v>
      </c>
      <c r="K2268" t="s">
        <v>44</v>
      </c>
      <c r="L2268" t="s">
        <v>109</v>
      </c>
      <c r="M2268">
        <v>0</v>
      </c>
    </row>
    <row r="2269" spans="1:13" x14ac:dyDescent="0.25">
      <c r="A2269">
        <v>1272</v>
      </c>
      <c r="B2269" t="s">
        <v>555</v>
      </c>
      <c r="C2269" t="s">
        <v>94</v>
      </c>
      <c r="E2269">
        <v>12256</v>
      </c>
      <c r="F2269" t="s">
        <v>129</v>
      </c>
      <c r="G2269">
        <v>25000</v>
      </c>
      <c r="H2269" t="s">
        <v>41</v>
      </c>
      <c r="I2269" t="s">
        <v>72</v>
      </c>
      <c r="J2269" t="s">
        <v>66</v>
      </c>
      <c r="K2269" t="s">
        <v>116</v>
      </c>
      <c r="L2269" t="s">
        <v>55</v>
      </c>
      <c r="M2269">
        <v>2</v>
      </c>
    </row>
    <row r="2270" spans="1:13" x14ac:dyDescent="0.25">
      <c r="A2270">
        <v>1001</v>
      </c>
      <c r="B2270" t="s">
        <v>128</v>
      </c>
      <c r="C2270" t="s">
        <v>47</v>
      </c>
      <c r="D2270">
        <v>2019</v>
      </c>
      <c r="E2270" t="s">
        <v>1568</v>
      </c>
      <c r="F2270">
        <v>18000</v>
      </c>
      <c r="G2270" t="s">
        <v>121</v>
      </c>
      <c r="H2270" t="s">
        <v>34</v>
      </c>
      <c r="K2270" t="s">
        <v>37</v>
      </c>
      <c r="L2270" t="s">
        <v>38</v>
      </c>
      <c r="M2270">
        <v>1</v>
      </c>
    </row>
    <row r="2271" spans="1:13" x14ac:dyDescent="0.25">
      <c r="A2271">
        <v>1314</v>
      </c>
      <c r="B2271" t="s">
        <v>845</v>
      </c>
      <c r="C2271" t="s">
        <v>119</v>
      </c>
      <c r="D2271">
        <v>2019</v>
      </c>
      <c r="E2271">
        <v>28279</v>
      </c>
      <c r="F2271">
        <v>31000</v>
      </c>
      <c r="G2271" t="s">
        <v>130</v>
      </c>
      <c r="H2271" t="s">
        <v>84</v>
      </c>
      <c r="I2271" t="s">
        <v>72</v>
      </c>
      <c r="J2271" t="s">
        <v>43</v>
      </c>
      <c r="K2271" t="s">
        <v>73</v>
      </c>
      <c r="L2271" t="s">
        <v>38</v>
      </c>
      <c r="M2271">
        <v>2</v>
      </c>
    </row>
    <row r="2272" spans="1:13" x14ac:dyDescent="0.25">
      <c r="A2272">
        <v>1421</v>
      </c>
      <c r="B2272" t="s">
        <v>1026</v>
      </c>
      <c r="C2272" t="s">
        <v>138</v>
      </c>
      <c r="D2272">
        <v>2019</v>
      </c>
      <c r="E2272">
        <v>19733</v>
      </c>
      <c r="F2272">
        <v>26000</v>
      </c>
      <c r="G2272">
        <v>15000</v>
      </c>
      <c r="H2272" t="s">
        <v>34</v>
      </c>
      <c r="I2272" t="s">
        <v>42</v>
      </c>
      <c r="J2272" t="s">
        <v>96</v>
      </c>
      <c r="K2272" t="s">
        <v>44</v>
      </c>
      <c r="L2272" t="s">
        <v>109</v>
      </c>
      <c r="M2272">
        <v>2</v>
      </c>
    </row>
    <row r="2273" spans="1:13" x14ac:dyDescent="0.25">
      <c r="A2273">
        <v>1349</v>
      </c>
      <c r="B2273" t="s">
        <v>1099</v>
      </c>
      <c r="C2273" t="s">
        <v>103</v>
      </c>
      <c r="D2273">
        <v>2016</v>
      </c>
      <c r="E2273">
        <v>4989</v>
      </c>
      <c r="F2273">
        <v>7000</v>
      </c>
      <c r="G2273">
        <v>25000</v>
      </c>
      <c r="H2273" t="s">
        <v>58</v>
      </c>
      <c r="I2273" t="s">
        <v>42</v>
      </c>
      <c r="J2273" t="s">
        <v>66</v>
      </c>
      <c r="K2273" t="s">
        <v>54</v>
      </c>
      <c r="L2273" t="s">
        <v>126</v>
      </c>
      <c r="M2273">
        <v>3</v>
      </c>
    </row>
    <row r="2274" spans="1:13" x14ac:dyDescent="0.25">
      <c r="A2274">
        <v>1282</v>
      </c>
      <c r="B2274" t="s">
        <v>961</v>
      </c>
      <c r="C2274" t="s">
        <v>75</v>
      </c>
      <c r="D2274">
        <v>2021</v>
      </c>
      <c r="E2274">
        <v>11583</v>
      </c>
      <c r="F2274">
        <v>15000</v>
      </c>
      <c r="G2274">
        <v>120000</v>
      </c>
      <c r="H2274" t="s">
        <v>63</v>
      </c>
      <c r="I2274" t="s">
        <v>72</v>
      </c>
      <c r="J2274" t="s">
        <v>43</v>
      </c>
      <c r="K2274" t="s">
        <v>73</v>
      </c>
      <c r="L2274" t="s">
        <v>126</v>
      </c>
      <c r="M2274">
        <v>3</v>
      </c>
    </row>
    <row r="2275" spans="1:13" x14ac:dyDescent="0.25">
      <c r="A2275">
        <v>1366</v>
      </c>
      <c r="B2275" t="s">
        <v>1312</v>
      </c>
      <c r="C2275" t="s">
        <v>68</v>
      </c>
      <c r="D2275">
        <v>2017</v>
      </c>
      <c r="E2275" t="s">
        <v>1569</v>
      </c>
      <c r="F2275">
        <v>9000</v>
      </c>
      <c r="G2275" t="s">
        <v>76</v>
      </c>
      <c r="H2275" t="s">
        <v>69</v>
      </c>
      <c r="I2275" t="s">
        <v>35</v>
      </c>
      <c r="J2275" t="s">
        <v>66</v>
      </c>
      <c r="K2275" t="s">
        <v>73</v>
      </c>
      <c r="L2275" t="s">
        <v>90</v>
      </c>
      <c r="M2275">
        <v>1</v>
      </c>
    </row>
    <row r="2276" spans="1:13" x14ac:dyDescent="0.25">
      <c r="A2276">
        <v>1068</v>
      </c>
      <c r="B2276" t="s">
        <v>1053</v>
      </c>
      <c r="C2276" t="s">
        <v>51</v>
      </c>
      <c r="D2276" t="s">
        <v>52</v>
      </c>
      <c r="E2276">
        <v>5232</v>
      </c>
      <c r="F2276" t="s">
        <v>81</v>
      </c>
      <c r="G2276">
        <v>60000</v>
      </c>
      <c r="H2276" t="s">
        <v>34</v>
      </c>
      <c r="I2276" t="s">
        <v>72</v>
      </c>
      <c r="J2276" t="s">
        <v>36</v>
      </c>
      <c r="L2276" t="s">
        <v>109</v>
      </c>
      <c r="M2276">
        <v>2</v>
      </c>
    </row>
    <row r="2277" spans="1:13" x14ac:dyDescent="0.25">
      <c r="A2277">
        <v>1401</v>
      </c>
      <c r="B2277" t="s">
        <v>1137</v>
      </c>
      <c r="C2277" t="s">
        <v>32</v>
      </c>
      <c r="D2277">
        <v>2017</v>
      </c>
      <c r="E2277">
        <v>12386</v>
      </c>
      <c r="F2277">
        <v>15000</v>
      </c>
      <c r="G2277" t="s">
        <v>108</v>
      </c>
      <c r="H2277" t="s">
        <v>63</v>
      </c>
      <c r="J2277" t="s">
        <v>36</v>
      </c>
      <c r="K2277" t="s">
        <v>44</v>
      </c>
      <c r="L2277" t="s">
        <v>98</v>
      </c>
      <c r="M2277">
        <v>2</v>
      </c>
    </row>
    <row r="2278" spans="1:13" x14ac:dyDescent="0.25">
      <c r="A2278">
        <v>1561</v>
      </c>
      <c r="B2278" t="s">
        <v>1477</v>
      </c>
      <c r="C2278" t="s">
        <v>32</v>
      </c>
      <c r="D2278">
        <v>2021</v>
      </c>
      <c r="E2278" t="s">
        <v>1570</v>
      </c>
      <c r="F2278" t="s">
        <v>81</v>
      </c>
      <c r="G2278">
        <v>120000</v>
      </c>
      <c r="H2278" t="s">
        <v>69</v>
      </c>
      <c r="J2278" t="s">
        <v>66</v>
      </c>
      <c r="K2278" t="s">
        <v>100</v>
      </c>
      <c r="L2278" t="s">
        <v>49</v>
      </c>
    </row>
    <row r="2279" spans="1:13" x14ac:dyDescent="0.25">
      <c r="A2279">
        <v>1584</v>
      </c>
      <c r="B2279" t="s">
        <v>915</v>
      </c>
      <c r="C2279" t="s">
        <v>32</v>
      </c>
      <c r="D2279" t="s">
        <v>52</v>
      </c>
      <c r="E2279">
        <v>5681</v>
      </c>
      <c r="F2279">
        <v>9000</v>
      </c>
      <c r="G2279">
        <v>120000</v>
      </c>
      <c r="H2279" t="s">
        <v>69</v>
      </c>
      <c r="I2279" t="s">
        <v>35</v>
      </c>
      <c r="J2279" t="s">
        <v>96</v>
      </c>
      <c r="K2279" t="s">
        <v>73</v>
      </c>
      <c r="L2279" t="s">
        <v>49</v>
      </c>
      <c r="M2279">
        <v>1</v>
      </c>
    </row>
    <row r="2280" spans="1:13" x14ac:dyDescent="0.25">
      <c r="A2280">
        <v>1172</v>
      </c>
      <c r="B2280" t="s">
        <v>1571</v>
      </c>
      <c r="C2280" t="s">
        <v>79</v>
      </c>
      <c r="D2280">
        <v>2020</v>
      </c>
      <c r="E2280">
        <v>13009</v>
      </c>
      <c r="F2280">
        <v>15000</v>
      </c>
      <c r="G2280">
        <v>80000</v>
      </c>
      <c r="H2280" t="s">
        <v>58</v>
      </c>
      <c r="I2280" t="s">
        <v>35</v>
      </c>
      <c r="J2280" t="s">
        <v>36</v>
      </c>
      <c r="K2280" t="s">
        <v>116</v>
      </c>
      <c r="L2280" t="s">
        <v>45</v>
      </c>
      <c r="M2280">
        <v>0</v>
      </c>
    </row>
    <row r="2281" spans="1:13" x14ac:dyDescent="0.25">
      <c r="A2281">
        <v>1515</v>
      </c>
      <c r="B2281" t="s">
        <v>950</v>
      </c>
      <c r="C2281" t="s">
        <v>164</v>
      </c>
      <c r="D2281">
        <v>2014</v>
      </c>
      <c r="E2281">
        <v>14484</v>
      </c>
      <c r="F2281">
        <v>18000</v>
      </c>
      <c r="G2281">
        <v>120000</v>
      </c>
      <c r="H2281" t="s">
        <v>69</v>
      </c>
      <c r="J2281" t="s">
        <v>36</v>
      </c>
      <c r="L2281" t="s">
        <v>90</v>
      </c>
      <c r="M2281">
        <v>3</v>
      </c>
    </row>
    <row r="2282" spans="1:13" x14ac:dyDescent="0.25">
      <c r="A2282">
        <v>1468</v>
      </c>
      <c r="B2282" t="s">
        <v>1572</v>
      </c>
      <c r="C2282" t="s">
        <v>57</v>
      </c>
      <c r="E2282">
        <v>2577</v>
      </c>
      <c r="F2282">
        <v>9000</v>
      </c>
      <c r="G2282">
        <v>25000</v>
      </c>
      <c r="H2282" t="s">
        <v>84</v>
      </c>
      <c r="I2282" t="s">
        <v>59</v>
      </c>
      <c r="J2282" t="s">
        <v>96</v>
      </c>
      <c r="K2282" t="s">
        <v>54</v>
      </c>
      <c r="L2282" t="s">
        <v>49</v>
      </c>
      <c r="M2282">
        <v>2</v>
      </c>
    </row>
    <row r="2283" spans="1:13" x14ac:dyDescent="0.25">
      <c r="A2283">
        <v>1097</v>
      </c>
      <c r="B2283" t="s">
        <v>854</v>
      </c>
      <c r="C2283" t="s">
        <v>47</v>
      </c>
      <c r="D2283">
        <v>2016</v>
      </c>
      <c r="E2283" t="s">
        <v>1573</v>
      </c>
      <c r="F2283" t="s">
        <v>81</v>
      </c>
      <c r="G2283">
        <v>80000</v>
      </c>
      <c r="H2283" t="s">
        <v>58</v>
      </c>
      <c r="I2283" t="s">
        <v>42</v>
      </c>
      <c r="J2283" t="s">
        <v>36</v>
      </c>
      <c r="K2283" t="s">
        <v>44</v>
      </c>
      <c r="L2283" t="s">
        <v>98</v>
      </c>
    </row>
    <row r="2284" spans="1:13" x14ac:dyDescent="0.25">
      <c r="A2284">
        <v>1012</v>
      </c>
      <c r="B2284" t="s">
        <v>647</v>
      </c>
      <c r="C2284" t="s">
        <v>57</v>
      </c>
      <c r="D2284">
        <v>2017</v>
      </c>
      <c r="E2284">
        <v>12551</v>
      </c>
      <c r="F2284" t="s">
        <v>129</v>
      </c>
      <c r="G2284">
        <v>25000</v>
      </c>
      <c r="H2284" t="s">
        <v>69</v>
      </c>
      <c r="I2284" t="s">
        <v>59</v>
      </c>
      <c r="J2284" t="s">
        <v>66</v>
      </c>
      <c r="K2284" t="s">
        <v>48</v>
      </c>
      <c r="L2284" t="s">
        <v>55</v>
      </c>
      <c r="M2284">
        <v>0</v>
      </c>
    </row>
    <row r="2285" spans="1:13" x14ac:dyDescent="0.25">
      <c r="A2285">
        <v>1259</v>
      </c>
      <c r="B2285" t="s">
        <v>929</v>
      </c>
      <c r="C2285" t="s">
        <v>119</v>
      </c>
      <c r="D2285">
        <v>2016</v>
      </c>
      <c r="E2285" t="s">
        <v>1574</v>
      </c>
      <c r="F2285">
        <v>7000</v>
      </c>
      <c r="G2285">
        <v>25000</v>
      </c>
      <c r="H2285" t="s">
        <v>41</v>
      </c>
      <c r="I2285" t="s">
        <v>59</v>
      </c>
      <c r="J2285" t="s">
        <v>43</v>
      </c>
      <c r="K2285" t="s">
        <v>48</v>
      </c>
      <c r="L2285" t="s">
        <v>126</v>
      </c>
      <c r="M2285">
        <v>2</v>
      </c>
    </row>
    <row r="2286" spans="1:13" x14ac:dyDescent="0.25">
      <c r="A2286">
        <v>1505</v>
      </c>
      <c r="B2286" t="s">
        <v>730</v>
      </c>
      <c r="C2286" t="s">
        <v>164</v>
      </c>
      <c r="E2286">
        <v>8803</v>
      </c>
      <c r="F2286">
        <v>15000</v>
      </c>
      <c r="G2286">
        <v>120000</v>
      </c>
      <c r="H2286" t="s">
        <v>34</v>
      </c>
      <c r="I2286" t="s">
        <v>59</v>
      </c>
      <c r="J2286" t="s">
        <v>96</v>
      </c>
      <c r="K2286" t="s">
        <v>73</v>
      </c>
      <c r="M2286">
        <v>3</v>
      </c>
    </row>
    <row r="2287" spans="1:13" x14ac:dyDescent="0.25">
      <c r="A2287">
        <v>1182</v>
      </c>
      <c r="B2287" t="s">
        <v>1329</v>
      </c>
      <c r="C2287" t="s">
        <v>133</v>
      </c>
      <c r="D2287">
        <v>2016</v>
      </c>
      <c r="E2287">
        <v>4324</v>
      </c>
      <c r="F2287">
        <v>9000</v>
      </c>
      <c r="G2287" t="s">
        <v>76</v>
      </c>
      <c r="H2287" t="s">
        <v>53</v>
      </c>
      <c r="I2287" t="s">
        <v>42</v>
      </c>
      <c r="J2287" t="s">
        <v>36</v>
      </c>
      <c r="K2287" t="s">
        <v>44</v>
      </c>
      <c r="L2287" t="s">
        <v>49</v>
      </c>
      <c r="M2287">
        <v>0</v>
      </c>
    </row>
    <row r="2288" spans="1:13" x14ac:dyDescent="0.25">
      <c r="A2288">
        <v>1283</v>
      </c>
      <c r="B2288" t="s">
        <v>1575</v>
      </c>
      <c r="C2288" t="s">
        <v>133</v>
      </c>
      <c r="D2288">
        <v>2016</v>
      </c>
      <c r="E2288" t="s">
        <v>1576</v>
      </c>
      <c r="F2288">
        <v>18000</v>
      </c>
      <c r="G2288">
        <v>60000</v>
      </c>
      <c r="H2288" t="s">
        <v>34</v>
      </c>
      <c r="K2288" t="s">
        <v>77</v>
      </c>
      <c r="L2288" t="s">
        <v>90</v>
      </c>
      <c r="M2288">
        <v>3</v>
      </c>
    </row>
    <row r="2289" spans="1:13" x14ac:dyDescent="0.25">
      <c r="A2289">
        <v>1568</v>
      </c>
      <c r="B2289" t="s">
        <v>1577</v>
      </c>
      <c r="C2289" t="s">
        <v>103</v>
      </c>
      <c r="D2289">
        <v>2017</v>
      </c>
      <c r="E2289">
        <v>19483</v>
      </c>
      <c r="F2289">
        <v>22000</v>
      </c>
      <c r="G2289" t="s">
        <v>108</v>
      </c>
      <c r="H2289" t="s">
        <v>53</v>
      </c>
      <c r="I2289" t="s">
        <v>59</v>
      </c>
      <c r="J2289" t="s">
        <v>66</v>
      </c>
      <c r="K2289" t="s">
        <v>100</v>
      </c>
      <c r="L2289" t="s">
        <v>55</v>
      </c>
    </row>
    <row r="2290" spans="1:13" x14ac:dyDescent="0.25">
      <c r="A2290">
        <v>1184</v>
      </c>
      <c r="B2290" t="s">
        <v>938</v>
      </c>
      <c r="C2290" t="s">
        <v>103</v>
      </c>
      <c r="D2290">
        <v>2022</v>
      </c>
      <c r="E2290">
        <v>5675</v>
      </c>
      <c r="F2290">
        <v>7000</v>
      </c>
      <c r="G2290">
        <v>60000</v>
      </c>
      <c r="I2290" t="s">
        <v>42</v>
      </c>
      <c r="J2290" t="s">
        <v>36</v>
      </c>
      <c r="L2290" t="s">
        <v>109</v>
      </c>
    </row>
    <row r="2291" spans="1:13" x14ac:dyDescent="0.25">
      <c r="A2291">
        <v>1191</v>
      </c>
      <c r="B2291" t="s">
        <v>1578</v>
      </c>
      <c r="C2291" t="s">
        <v>119</v>
      </c>
      <c r="D2291">
        <v>2015</v>
      </c>
      <c r="E2291">
        <v>4508</v>
      </c>
      <c r="F2291">
        <v>9000</v>
      </c>
      <c r="G2291">
        <v>120000</v>
      </c>
      <c r="H2291" t="s">
        <v>69</v>
      </c>
      <c r="I2291" t="s">
        <v>59</v>
      </c>
      <c r="J2291" t="s">
        <v>36</v>
      </c>
      <c r="K2291" t="s">
        <v>44</v>
      </c>
      <c r="L2291" t="s">
        <v>126</v>
      </c>
      <c r="M2291">
        <v>3</v>
      </c>
    </row>
    <row r="2292" spans="1:13" x14ac:dyDescent="0.25">
      <c r="A2292">
        <v>1564</v>
      </c>
      <c r="B2292" t="s">
        <v>1072</v>
      </c>
      <c r="C2292" t="s">
        <v>40</v>
      </c>
      <c r="D2292">
        <v>2021</v>
      </c>
      <c r="E2292">
        <v>29950</v>
      </c>
      <c r="F2292">
        <v>31000</v>
      </c>
      <c r="G2292">
        <v>40000</v>
      </c>
      <c r="H2292" t="s">
        <v>34</v>
      </c>
      <c r="I2292" t="s">
        <v>42</v>
      </c>
      <c r="J2292" t="s">
        <v>96</v>
      </c>
      <c r="K2292" t="s">
        <v>116</v>
      </c>
      <c r="L2292" t="s">
        <v>98</v>
      </c>
    </row>
    <row r="2293" spans="1:13" x14ac:dyDescent="0.25">
      <c r="A2293">
        <v>1011</v>
      </c>
      <c r="B2293" t="s">
        <v>738</v>
      </c>
      <c r="C2293" t="s">
        <v>103</v>
      </c>
      <c r="D2293">
        <v>2020</v>
      </c>
      <c r="E2293">
        <v>9053</v>
      </c>
      <c r="F2293">
        <v>12000</v>
      </c>
      <c r="G2293">
        <v>15000</v>
      </c>
      <c r="H2293" t="s">
        <v>69</v>
      </c>
      <c r="J2293" t="s">
        <v>96</v>
      </c>
      <c r="K2293" t="s">
        <v>44</v>
      </c>
      <c r="L2293" t="s">
        <v>45</v>
      </c>
      <c r="M2293">
        <v>1</v>
      </c>
    </row>
    <row r="2294" spans="1:13" x14ac:dyDescent="0.25">
      <c r="A2294">
        <v>1193</v>
      </c>
      <c r="B2294" t="s">
        <v>805</v>
      </c>
      <c r="C2294" t="s">
        <v>57</v>
      </c>
      <c r="D2294">
        <v>2019</v>
      </c>
      <c r="E2294">
        <v>20175</v>
      </c>
      <c r="F2294">
        <v>22000</v>
      </c>
      <c r="G2294">
        <v>40000</v>
      </c>
      <c r="H2294" t="s">
        <v>63</v>
      </c>
      <c r="I2294" t="s">
        <v>72</v>
      </c>
      <c r="J2294" t="s">
        <v>36</v>
      </c>
      <c r="K2294" t="s">
        <v>48</v>
      </c>
      <c r="L2294" t="s">
        <v>38</v>
      </c>
      <c r="M2294">
        <v>2</v>
      </c>
    </row>
    <row r="2295" spans="1:13" x14ac:dyDescent="0.25">
      <c r="A2295">
        <v>1316</v>
      </c>
      <c r="B2295" t="s">
        <v>460</v>
      </c>
      <c r="C2295" t="s">
        <v>32</v>
      </c>
      <c r="D2295">
        <v>2015</v>
      </c>
      <c r="E2295">
        <v>2636</v>
      </c>
      <c r="F2295">
        <v>7000</v>
      </c>
      <c r="G2295">
        <v>80000</v>
      </c>
      <c r="H2295" t="s">
        <v>34</v>
      </c>
      <c r="I2295" t="s">
        <v>42</v>
      </c>
      <c r="J2295" t="s">
        <v>43</v>
      </c>
      <c r="K2295" t="s">
        <v>44</v>
      </c>
      <c r="L2295" t="s">
        <v>126</v>
      </c>
      <c r="M2295">
        <v>2</v>
      </c>
    </row>
    <row r="2296" spans="1:13" x14ac:dyDescent="0.25">
      <c r="A2296">
        <v>1145</v>
      </c>
      <c r="B2296" t="s">
        <v>1049</v>
      </c>
      <c r="C2296" t="s">
        <v>40</v>
      </c>
      <c r="D2296">
        <v>2018</v>
      </c>
      <c r="E2296" t="s">
        <v>1579</v>
      </c>
      <c r="F2296">
        <v>9000</v>
      </c>
      <c r="G2296">
        <v>60000</v>
      </c>
      <c r="J2296" t="s">
        <v>43</v>
      </c>
      <c r="K2296" t="s">
        <v>73</v>
      </c>
      <c r="L2296" t="s">
        <v>38</v>
      </c>
      <c r="M2296">
        <v>1</v>
      </c>
    </row>
    <row r="2297" spans="1:13" x14ac:dyDescent="0.25">
      <c r="A2297">
        <v>1451</v>
      </c>
      <c r="B2297" t="s">
        <v>1243</v>
      </c>
      <c r="C2297" t="s">
        <v>47</v>
      </c>
      <c r="D2297" t="s">
        <v>52</v>
      </c>
      <c r="E2297" t="s">
        <v>201</v>
      </c>
      <c r="F2297">
        <v>9000</v>
      </c>
      <c r="G2297">
        <v>25000</v>
      </c>
      <c r="H2297" t="s">
        <v>53</v>
      </c>
      <c r="I2297" t="s">
        <v>72</v>
      </c>
      <c r="J2297" t="s">
        <v>96</v>
      </c>
      <c r="K2297" t="s">
        <v>116</v>
      </c>
      <c r="L2297" t="s">
        <v>109</v>
      </c>
      <c r="M2297">
        <v>1</v>
      </c>
    </row>
    <row r="2298" spans="1:13" x14ac:dyDescent="0.25">
      <c r="A2298">
        <v>1433</v>
      </c>
      <c r="B2298" t="s">
        <v>1167</v>
      </c>
      <c r="C2298" t="s">
        <v>32</v>
      </c>
      <c r="D2298">
        <v>2015</v>
      </c>
      <c r="E2298">
        <v>8402</v>
      </c>
      <c r="F2298">
        <v>12000</v>
      </c>
      <c r="G2298">
        <v>60000</v>
      </c>
      <c r="H2298" t="s">
        <v>53</v>
      </c>
      <c r="I2298" t="s">
        <v>35</v>
      </c>
      <c r="J2298" t="s">
        <v>36</v>
      </c>
      <c r="K2298" t="s">
        <v>54</v>
      </c>
      <c r="L2298" t="s">
        <v>38</v>
      </c>
      <c r="M2298">
        <v>1</v>
      </c>
    </row>
    <row r="2299" spans="1:13" x14ac:dyDescent="0.25">
      <c r="A2299">
        <v>1442</v>
      </c>
      <c r="B2299" t="s">
        <v>984</v>
      </c>
      <c r="C2299" t="s">
        <v>32</v>
      </c>
      <c r="D2299">
        <v>2014</v>
      </c>
      <c r="E2299">
        <v>23028</v>
      </c>
      <c r="F2299">
        <v>26000</v>
      </c>
      <c r="G2299">
        <v>25000</v>
      </c>
      <c r="H2299" t="s">
        <v>69</v>
      </c>
      <c r="I2299" t="s">
        <v>35</v>
      </c>
      <c r="J2299" t="s">
        <v>36</v>
      </c>
      <c r="K2299" t="s">
        <v>77</v>
      </c>
      <c r="M2299">
        <v>0</v>
      </c>
    </row>
    <row r="2300" spans="1:13" x14ac:dyDescent="0.25">
      <c r="A2300">
        <v>1094</v>
      </c>
      <c r="B2300" t="s">
        <v>316</v>
      </c>
      <c r="C2300" t="s">
        <v>40</v>
      </c>
      <c r="D2300">
        <v>2017</v>
      </c>
      <c r="E2300">
        <v>20518</v>
      </c>
      <c r="F2300">
        <v>26000</v>
      </c>
      <c r="G2300" t="s">
        <v>130</v>
      </c>
      <c r="H2300" t="s">
        <v>58</v>
      </c>
      <c r="I2300" t="s">
        <v>72</v>
      </c>
      <c r="J2300" t="s">
        <v>36</v>
      </c>
      <c r="K2300" t="s">
        <v>54</v>
      </c>
      <c r="L2300" t="s">
        <v>126</v>
      </c>
    </row>
    <row r="2301" spans="1:13" x14ac:dyDescent="0.25">
      <c r="A2301">
        <v>1432</v>
      </c>
      <c r="B2301" t="s">
        <v>99</v>
      </c>
      <c r="C2301" t="s">
        <v>75</v>
      </c>
      <c r="D2301">
        <v>2021</v>
      </c>
      <c r="E2301" t="s">
        <v>1580</v>
      </c>
      <c r="F2301">
        <v>7000</v>
      </c>
      <c r="G2301">
        <v>25000</v>
      </c>
      <c r="I2301" t="s">
        <v>42</v>
      </c>
      <c r="J2301" t="s">
        <v>66</v>
      </c>
      <c r="K2301" t="s">
        <v>37</v>
      </c>
      <c r="L2301" t="s">
        <v>45</v>
      </c>
    </row>
    <row r="2302" spans="1:13" x14ac:dyDescent="0.25">
      <c r="A2302">
        <v>1286</v>
      </c>
      <c r="B2302" t="s">
        <v>1581</v>
      </c>
      <c r="C2302" t="s">
        <v>133</v>
      </c>
      <c r="D2302">
        <v>2014</v>
      </c>
      <c r="E2302" t="s">
        <v>1582</v>
      </c>
      <c r="F2302">
        <v>15000</v>
      </c>
      <c r="G2302">
        <v>120000</v>
      </c>
      <c r="H2302" t="s">
        <v>53</v>
      </c>
      <c r="I2302" t="s">
        <v>42</v>
      </c>
      <c r="J2302" t="s">
        <v>96</v>
      </c>
      <c r="K2302" t="s">
        <v>54</v>
      </c>
      <c r="L2302" t="s">
        <v>90</v>
      </c>
      <c r="M2302">
        <v>0</v>
      </c>
    </row>
    <row r="2303" spans="1:13" x14ac:dyDescent="0.25">
      <c r="A2303">
        <v>1301</v>
      </c>
      <c r="B2303" t="s">
        <v>1581</v>
      </c>
      <c r="C2303" t="s">
        <v>68</v>
      </c>
      <c r="D2303">
        <v>2020</v>
      </c>
      <c r="E2303">
        <v>20632</v>
      </c>
      <c r="F2303" t="s">
        <v>115</v>
      </c>
      <c r="G2303" t="s">
        <v>76</v>
      </c>
      <c r="H2303" t="s">
        <v>69</v>
      </c>
      <c r="I2303" t="s">
        <v>35</v>
      </c>
      <c r="J2303" t="s">
        <v>66</v>
      </c>
      <c r="K2303" t="s">
        <v>37</v>
      </c>
      <c r="L2303" t="s">
        <v>38</v>
      </c>
      <c r="M2303">
        <v>2</v>
      </c>
    </row>
    <row r="2304" spans="1:13" x14ac:dyDescent="0.25">
      <c r="A2304">
        <v>1048</v>
      </c>
      <c r="B2304" t="s">
        <v>1583</v>
      </c>
      <c r="C2304" t="s">
        <v>79</v>
      </c>
      <c r="D2304">
        <v>2019</v>
      </c>
      <c r="E2304">
        <v>27515</v>
      </c>
      <c r="F2304">
        <v>31000</v>
      </c>
      <c r="G2304">
        <v>80000</v>
      </c>
      <c r="H2304" t="s">
        <v>58</v>
      </c>
      <c r="I2304" t="s">
        <v>42</v>
      </c>
      <c r="K2304" t="s">
        <v>44</v>
      </c>
      <c r="L2304" t="s">
        <v>98</v>
      </c>
      <c r="M2304">
        <v>3</v>
      </c>
    </row>
    <row r="2305" spans="1:13" x14ac:dyDescent="0.25">
      <c r="A2305">
        <v>1535</v>
      </c>
      <c r="B2305" t="s">
        <v>1214</v>
      </c>
      <c r="C2305" t="s">
        <v>164</v>
      </c>
      <c r="D2305" t="s">
        <v>52</v>
      </c>
      <c r="E2305">
        <v>4906</v>
      </c>
      <c r="F2305">
        <v>9000</v>
      </c>
      <c r="G2305">
        <v>60000</v>
      </c>
      <c r="J2305" t="s">
        <v>43</v>
      </c>
      <c r="K2305" t="s">
        <v>116</v>
      </c>
      <c r="L2305" t="s">
        <v>98</v>
      </c>
      <c r="M2305">
        <v>3</v>
      </c>
    </row>
    <row r="2306" spans="1:13" x14ac:dyDescent="0.25">
      <c r="A2306">
        <v>1475</v>
      </c>
      <c r="B2306" t="s">
        <v>1584</v>
      </c>
      <c r="C2306" t="s">
        <v>138</v>
      </c>
      <c r="D2306">
        <v>2019</v>
      </c>
      <c r="E2306">
        <v>3904</v>
      </c>
      <c r="F2306" t="s">
        <v>81</v>
      </c>
      <c r="G2306" t="s">
        <v>33</v>
      </c>
      <c r="H2306" t="s">
        <v>84</v>
      </c>
      <c r="K2306" t="s">
        <v>77</v>
      </c>
      <c r="L2306" t="s">
        <v>55</v>
      </c>
      <c r="M2306">
        <v>1</v>
      </c>
    </row>
    <row r="2307" spans="1:13" x14ac:dyDescent="0.25">
      <c r="A2307">
        <v>1369</v>
      </c>
      <c r="B2307" t="s">
        <v>986</v>
      </c>
      <c r="C2307" t="s">
        <v>68</v>
      </c>
      <c r="D2307">
        <v>2018</v>
      </c>
      <c r="E2307" t="s">
        <v>1585</v>
      </c>
      <c r="F2307">
        <v>31000</v>
      </c>
      <c r="G2307">
        <v>25000</v>
      </c>
      <c r="H2307" t="s">
        <v>34</v>
      </c>
      <c r="J2307" t="s">
        <v>36</v>
      </c>
      <c r="K2307" t="s">
        <v>116</v>
      </c>
      <c r="L2307" t="s">
        <v>38</v>
      </c>
      <c r="M2307">
        <v>2</v>
      </c>
    </row>
    <row r="2308" spans="1:13" x14ac:dyDescent="0.25">
      <c r="A2308">
        <v>1319</v>
      </c>
      <c r="B2308" t="s">
        <v>581</v>
      </c>
      <c r="C2308" t="s">
        <v>32</v>
      </c>
      <c r="D2308">
        <v>2022</v>
      </c>
      <c r="E2308">
        <v>1259</v>
      </c>
      <c r="F2308" t="s">
        <v>147</v>
      </c>
      <c r="G2308">
        <v>60000</v>
      </c>
      <c r="H2308" t="s">
        <v>84</v>
      </c>
      <c r="I2308" t="s">
        <v>72</v>
      </c>
      <c r="J2308" t="s">
        <v>43</v>
      </c>
      <c r="K2308" t="s">
        <v>44</v>
      </c>
      <c r="M2308">
        <v>2</v>
      </c>
    </row>
    <row r="2309" spans="1:13" x14ac:dyDescent="0.25">
      <c r="A2309">
        <v>1244</v>
      </c>
      <c r="B2309" t="s">
        <v>1121</v>
      </c>
      <c r="C2309" t="s">
        <v>47</v>
      </c>
      <c r="E2309">
        <v>2778</v>
      </c>
      <c r="F2309">
        <v>9000</v>
      </c>
      <c r="G2309" t="s">
        <v>121</v>
      </c>
      <c r="H2309" t="s">
        <v>69</v>
      </c>
      <c r="I2309" t="s">
        <v>72</v>
      </c>
      <c r="K2309" t="s">
        <v>77</v>
      </c>
      <c r="L2309" t="s">
        <v>38</v>
      </c>
    </row>
    <row r="2310" spans="1:13" x14ac:dyDescent="0.25">
      <c r="A2310">
        <v>1257</v>
      </c>
      <c r="B2310" t="s">
        <v>623</v>
      </c>
      <c r="C2310" t="s">
        <v>57</v>
      </c>
      <c r="D2310">
        <v>2021</v>
      </c>
      <c r="E2310" t="s">
        <v>1586</v>
      </c>
      <c r="F2310">
        <v>9000</v>
      </c>
      <c r="G2310">
        <v>120000</v>
      </c>
      <c r="H2310" t="s">
        <v>34</v>
      </c>
      <c r="I2310" t="s">
        <v>59</v>
      </c>
      <c r="J2310" t="s">
        <v>36</v>
      </c>
      <c r="K2310" t="s">
        <v>100</v>
      </c>
      <c r="L2310" t="s">
        <v>126</v>
      </c>
      <c r="M2310">
        <v>3</v>
      </c>
    </row>
    <row r="2311" spans="1:13" x14ac:dyDescent="0.25">
      <c r="A2311">
        <v>1190</v>
      </c>
      <c r="B2311" t="s">
        <v>1007</v>
      </c>
      <c r="C2311" t="s">
        <v>75</v>
      </c>
      <c r="D2311">
        <v>2019</v>
      </c>
      <c r="E2311" t="s">
        <v>1587</v>
      </c>
      <c r="F2311">
        <v>15000</v>
      </c>
      <c r="G2311">
        <v>60000</v>
      </c>
      <c r="H2311" t="s">
        <v>63</v>
      </c>
      <c r="I2311" t="s">
        <v>72</v>
      </c>
      <c r="J2311" t="s">
        <v>66</v>
      </c>
      <c r="K2311" t="s">
        <v>44</v>
      </c>
      <c r="L2311" t="s">
        <v>45</v>
      </c>
      <c r="M2311">
        <v>2</v>
      </c>
    </row>
    <row r="2312" spans="1:13" x14ac:dyDescent="0.25">
      <c r="A2312">
        <v>1538</v>
      </c>
      <c r="B2312" t="s">
        <v>532</v>
      </c>
      <c r="C2312" t="s">
        <v>68</v>
      </c>
      <c r="D2312">
        <v>2021</v>
      </c>
      <c r="E2312">
        <v>21167</v>
      </c>
      <c r="F2312">
        <v>26000</v>
      </c>
      <c r="G2312">
        <v>60000</v>
      </c>
      <c r="H2312" t="s">
        <v>58</v>
      </c>
      <c r="I2312" t="s">
        <v>42</v>
      </c>
      <c r="J2312" t="s">
        <v>36</v>
      </c>
      <c r="K2312" t="s">
        <v>73</v>
      </c>
      <c r="L2312" t="s">
        <v>126</v>
      </c>
      <c r="M2312">
        <v>3</v>
      </c>
    </row>
    <row r="2313" spans="1:13" x14ac:dyDescent="0.25">
      <c r="A2313">
        <v>1506</v>
      </c>
      <c r="B2313" t="s">
        <v>114</v>
      </c>
      <c r="C2313" t="s">
        <v>164</v>
      </c>
      <c r="D2313" t="s">
        <v>52</v>
      </c>
      <c r="E2313">
        <v>5823</v>
      </c>
      <c r="F2313" t="s">
        <v>147</v>
      </c>
      <c r="G2313" t="s">
        <v>130</v>
      </c>
      <c r="H2313" t="s">
        <v>58</v>
      </c>
      <c r="I2313" t="s">
        <v>72</v>
      </c>
      <c r="J2313" t="s">
        <v>43</v>
      </c>
      <c r="K2313" t="s">
        <v>37</v>
      </c>
      <c r="L2313" t="s">
        <v>55</v>
      </c>
      <c r="M2313">
        <v>2</v>
      </c>
    </row>
    <row r="2314" spans="1:13" x14ac:dyDescent="0.25">
      <c r="A2314">
        <v>1318</v>
      </c>
      <c r="B2314" t="s">
        <v>1588</v>
      </c>
      <c r="C2314" t="s">
        <v>133</v>
      </c>
      <c r="D2314">
        <v>2022</v>
      </c>
      <c r="E2314">
        <v>5224</v>
      </c>
      <c r="F2314">
        <v>7000</v>
      </c>
      <c r="G2314" t="s">
        <v>130</v>
      </c>
      <c r="H2314" t="s">
        <v>34</v>
      </c>
      <c r="I2314" t="s">
        <v>72</v>
      </c>
      <c r="J2314" t="s">
        <v>96</v>
      </c>
      <c r="K2314" t="s">
        <v>100</v>
      </c>
      <c r="L2314" t="s">
        <v>98</v>
      </c>
      <c r="M2314">
        <v>1</v>
      </c>
    </row>
    <row r="2315" spans="1:13" x14ac:dyDescent="0.25">
      <c r="A2315">
        <v>1576</v>
      </c>
      <c r="B2315" t="s">
        <v>346</v>
      </c>
      <c r="C2315" t="s">
        <v>51</v>
      </c>
      <c r="D2315">
        <v>2018</v>
      </c>
      <c r="E2315">
        <v>24301</v>
      </c>
      <c r="F2315">
        <v>31000</v>
      </c>
      <c r="G2315" t="s">
        <v>76</v>
      </c>
      <c r="H2315" t="s">
        <v>41</v>
      </c>
      <c r="I2315" t="s">
        <v>35</v>
      </c>
      <c r="K2315" t="s">
        <v>116</v>
      </c>
      <c r="L2315" t="s">
        <v>55</v>
      </c>
      <c r="M2315">
        <v>0</v>
      </c>
    </row>
    <row r="2316" spans="1:13" x14ac:dyDescent="0.25">
      <c r="A2316">
        <v>1292</v>
      </c>
      <c r="B2316" t="s">
        <v>1179</v>
      </c>
      <c r="C2316" t="s">
        <v>119</v>
      </c>
      <c r="D2316">
        <v>2017</v>
      </c>
      <c r="E2316">
        <v>7206</v>
      </c>
      <c r="F2316">
        <v>12000</v>
      </c>
      <c r="G2316">
        <v>40000</v>
      </c>
      <c r="I2316" t="s">
        <v>42</v>
      </c>
      <c r="J2316" t="s">
        <v>66</v>
      </c>
      <c r="K2316" t="s">
        <v>54</v>
      </c>
      <c r="L2316" t="s">
        <v>98</v>
      </c>
      <c r="M2316">
        <v>3</v>
      </c>
    </row>
    <row r="2317" spans="1:13" x14ac:dyDescent="0.25">
      <c r="A2317">
        <v>1218</v>
      </c>
      <c r="B2317" t="s">
        <v>411</v>
      </c>
      <c r="C2317" t="s">
        <v>133</v>
      </c>
      <c r="D2317" t="s">
        <v>52</v>
      </c>
      <c r="E2317">
        <v>11436</v>
      </c>
      <c r="F2317" t="s">
        <v>129</v>
      </c>
      <c r="G2317">
        <v>80000</v>
      </c>
      <c r="H2317" t="s">
        <v>53</v>
      </c>
      <c r="J2317" t="s">
        <v>36</v>
      </c>
      <c r="K2317" t="s">
        <v>116</v>
      </c>
      <c r="L2317" t="s">
        <v>55</v>
      </c>
    </row>
    <row r="2318" spans="1:13" x14ac:dyDescent="0.25">
      <c r="A2318">
        <v>1478</v>
      </c>
      <c r="B2318" t="s">
        <v>662</v>
      </c>
      <c r="C2318" t="s">
        <v>164</v>
      </c>
      <c r="D2318">
        <v>2018</v>
      </c>
      <c r="E2318" t="s">
        <v>1589</v>
      </c>
      <c r="F2318">
        <v>26000</v>
      </c>
      <c r="G2318" t="s">
        <v>121</v>
      </c>
      <c r="H2318" t="s">
        <v>53</v>
      </c>
      <c r="I2318" t="s">
        <v>35</v>
      </c>
      <c r="J2318" t="s">
        <v>36</v>
      </c>
      <c r="L2318" t="s">
        <v>98</v>
      </c>
      <c r="M2318">
        <v>2</v>
      </c>
    </row>
    <row r="2319" spans="1:13" x14ac:dyDescent="0.25">
      <c r="A2319">
        <v>1388</v>
      </c>
      <c r="B2319" t="s">
        <v>952</v>
      </c>
      <c r="C2319" t="s">
        <v>119</v>
      </c>
      <c r="D2319">
        <v>2016</v>
      </c>
      <c r="E2319">
        <v>11835</v>
      </c>
      <c r="F2319" t="s">
        <v>89</v>
      </c>
      <c r="G2319">
        <v>15000</v>
      </c>
      <c r="H2319" t="s">
        <v>58</v>
      </c>
      <c r="I2319" t="s">
        <v>59</v>
      </c>
      <c r="J2319" t="s">
        <v>96</v>
      </c>
      <c r="K2319" t="s">
        <v>37</v>
      </c>
      <c r="L2319" t="s">
        <v>55</v>
      </c>
      <c r="M2319">
        <v>0</v>
      </c>
    </row>
    <row r="2320" spans="1:13" x14ac:dyDescent="0.25">
      <c r="A2320">
        <v>1202</v>
      </c>
      <c r="B2320" t="s">
        <v>1058</v>
      </c>
      <c r="C2320" t="s">
        <v>40</v>
      </c>
      <c r="D2320">
        <v>2017</v>
      </c>
      <c r="E2320">
        <v>13230</v>
      </c>
      <c r="F2320">
        <v>18000</v>
      </c>
      <c r="G2320">
        <v>25000</v>
      </c>
      <c r="I2320" t="s">
        <v>72</v>
      </c>
      <c r="J2320" t="s">
        <v>36</v>
      </c>
      <c r="K2320" t="s">
        <v>44</v>
      </c>
      <c r="L2320" t="s">
        <v>38</v>
      </c>
      <c r="M2320">
        <v>3</v>
      </c>
    </row>
    <row r="2321" spans="1:13" x14ac:dyDescent="0.25">
      <c r="A2321">
        <v>1210</v>
      </c>
      <c r="B2321" t="s">
        <v>367</v>
      </c>
      <c r="C2321" t="s">
        <v>164</v>
      </c>
      <c r="D2321">
        <v>2019</v>
      </c>
      <c r="E2321" t="s">
        <v>1590</v>
      </c>
      <c r="F2321">
        <v>9000</v>
      </c>
      <c r="G2321">
        <v>120000</v>
      </c>
      <c r="H2321" t="s">
        <v>84</v>
      </c>
      <c r="I2321" t="s">
        <v>35</v>
      </c>
      <c r="K2321" t="s">
        <v>73</v>
      </c>
      <c r="L2321" t="s">
        <v>90</v>
      </c>
      <c r="M2321">
        <v>0</v>
      </c>
    </row>
    <row r="2322" spans="1:13" x14ac:dyDescent="0.25">
      <c r="A2322">
        <v>1597</v>
      </c>
      <c r="B2322" t="s">
        <v>1252</v>
      </c>
      <c r="C2322" t="s">
        <v>94</v>
      </c>
      <c r="D2322">
        <v>2014</v>
      </c>
      <c r="E2322">
        <v>27970</v>
      </c>
      <c r="F2322">
        <v>31000</v>
      </c>
      <c r="G2322">
        <v>15000</v>
      </c>
      <c r="H2322" t="s">
        <v>58</v>
      </c>
      <c r="I2322" t="s">
        <v>42</v>
      </c>
      <c r="J2322" t="s">
        <v>36</v>
      </c>
      <c r="K2322" t="s">
        <v>54</v>
      </c>
      <c r="L2322" t="s">
        <v>45</v>
      </c>
      <c r="M2322">
        <v>1</v>
      </c>
    </row>
    <row r="2323" spans="1:13" x14ac:dyDescent="0.25">
      <c r="A2323">
        <v>1573</v>
      </c>
      <c r="B2323" t="s">
        <v>511</v>
      </c>
      <c r="C2323" t="s">
        <v>103</v>
      </c>
      <c r="D2323">
        <v>2021</v>
      </c>
      <c r="E2323">
        <v>11006</v>
      </c>
      <c r="F2323" t="s">
        <v>89</v>
      </c>
      <c r="G2323">
        <v>120000</v>
      </c>
      <c r="H2323" t="s">
        <v>84</v>
      </c>
      <c r="I2323" t="s">
        <v>35</v>
      </c>
      <c r="J2323" t="s">
        <v>43</v>
      </c>
      <c r="K2323" t="s">
        <v>37</v>
      </c>
      <c r="L2323" t="s">
        <v>109</v>
      </c>
    </row>
    <row r="2324" spans="1:13" x14ac:dyDescent="0.25">
      <c r="A2324">
        <v>1546</v>
      </c>
      <c r="B2324" t="s">
        <v>144</v>
      </c>
      <c r="C2324" t="s">
        <v>51</v>
      </c>
      <c r="D2324">
        <v>2018</v>
      </c>
      <c r="E2324">
        <v>5252</v>
      </c>
      <c r="F2324">
        <v>12000</v>
      </c>
      <c r="G2324">
        <v>60000</v>
      </c>
      <c r="I2324" t="s">
        <v>72</v>
      </c>
      <c r="K2324" t="s">
        <v>100</v>
      </c>
      <c r="L2324" t="s">
        <v>98</v>
      </c>
    </row>
    <row r="2325" spans="1:13" x14ac:dyDescent="0.25">
      <c r="A2325">
        <v>1276</v>
      </c>
      <c r="B2325" t="s">
        <v>967</v>
      </c>
      <c r="C2325" t="s">
        <v>164</v>
      </c>
      <c r="D2325" t="s">
        <v>52</v>
      </c>
      <c r="E2325">
        <v>16627</v>
      </c>
      <c r="F2325">
        <v>22000</v>
      </c>
      <c r="G2325">
        <v>15000</v>
      </c>
      <c r="H2325" t="s">
        <v>69</v>
      </c>
      <c r="I2325" t="s">
        <v>35</v>
      </c>
      <c r="J2325" t="s">
        <v>66</v>
      </c>
      <c r="K2325" t="s">
        <v>77</v>
      </c>
      <c r="L2325" t="s">
        <v>90</v>
      </c>
      <c r="M2325">
        <v>1</v>
      </c>
    </row>
    <row r="2326" spans="1:13" x14ac:dyDescent="0.25">
      <c r="A2326">
        <v>1523</v>
      </c>
      <c r="B2326" t="s">
        <v>1170</v>
      </c>
      <c r="C2326" t="s">
        <v>79</v>
      </c>
      <c r="D2326">
        <v>2022</v>
      </c>
      <c r="E2326" t="s">
        <v>1591</v>
      </c>
      <c r="F2326">
        <v>22000</v>
      </c>
      <c r="G2326">
        <v>80000</v>
      </c>
      <c r="H2326" t="s">
        <v>63</v>
      </c>
      <c r="I2326" t="s">
        <v>42</v>
      </c>
      <c r="L2326" t="s">
        <v>126</v>
      </c>
      <c r="M2326">
        <v>2</v>
      </c>
    </row>
    <row r="2327" spans="1:13" x14ac:dyDescent="0.25">
      <c r="A2327">
        <v>1090</v>
      </c>
      <c r="B2327" t="s">
        <v>1550</v>
      </c>
      <c r="C2327" t="s">
        <v>40</v>
      </c>
      <c r="D2327">
        <v>2021</v>
      </c>
      <c r="E2327">
        <v>16928</v>
      </c>
      <c r="F2327">
        <v>22000</v>
      </c>
      <c r="G2327">
        <v>15000</v>
      </c>
      <c r="I2327" t="s">
        <v>42</v>
      </c>
      <c r="J2327" t="s">
        <v>96</v>
      </c>
      <c r="K2327" t="s">
        <v>54</v>
      </c>
      <c r="L2327" t="s">
        <v>45</v>
      </c>
      <c r="M2327">
        <v>1</v>
      </c>
    </row>
    <row r="2328" spans="1:13" x14ac:dyDescent="0.25">
      <c r="A2328">
        <v>1504</v>
      </c>
      <c r="B2328" t="s">
        <v>1477</v>
      </c>
      <c r="C2328" t="s">
        <v>79</v>
      </c>
      <c r="D2328">
        <v>2016</v>
      </c>
      <c r="E2328">
        <v>11256</v>
      </c>
      <c r="F2328">
        <v>18000</v>
      </c>
      <c r="G2328">
        <v>120000</v>
      </c>
      <c r="H2328" t="s">
        <v>69</v>
      </c>
      <c r="J2328" t="s">
        <v>43</v>
      </c>
      <c r="K2328" t="s">
        <v>54</v>
      </c>
      <c r="L2328" t="s">
        <v>38</v>
      </c>
      <c r="M2328">
        <v>0</v>
      </c>
    </row>
    <row r="2329" spans="1:13" x14ac:dyDescent="0.25">
      <c r="A2329">
        <v>1008</v>
      </c>
      <c r="B2329" t="s">
        <v>1137</v>
      </c>
      <c r="C2329" t="s">
        <v>51</v>
      </c>
      <c r="D2329">
        <v>2020</v>
      </c>
      <c r="E2329">
        <v>16601</v>
      </c>
      <c r="F2329">
        <v>18000</v>
      </c>
      <c r="G2329">
        <v>15000</v>
      </c>
      <c r="H2329" t="s">
        <v>58</v>
      </c>
      <c r="I2329" t="s">
        <v>59</v>
      </c>
      <c r="J2329" t="s">
        <v>96</v>
      </c>
      <c r="L2329" t="s">
        <v>98</v>
      </c>
      <c r="M2329">
        <v>1</v>
      </c>
    </row>
    <row r="2330" spans="1:13" x14ac:dyDescent="0.25">
      <c r="A2330">
        <v>1233</v>
      </c>
      <c r="B2330" t="s">
        <v>942</v>
      </c>
      <c r="C2330" t="s">
        <v>138</v>
      </c>
      <c r="D2330">
        <v>2019</v>
      </c>
      <c r="E2330">
        <v>16930</v>
      </c>
      <c r="F2330">
        <v>22000</v>
      </c>
      <c r="G2330">
        <v>25000</v>
      </c>
      <c r="H2330" t="s">
        <v>69</v>
      </c>
      <c r="I2330" t="s">
        <v>59</v>
      </c>
      <c r="J2330" t="s">
        <v>36</v>
      </c>
      <c r="K2330" t="s">
        <v>37</v>
      </c>
      <c r="L2330" t="s">
        <v>90</v>
      </c>
      <c r="M2330">
        <v>0</v>
      </c>
    </row>
    <row r="2331" spans="1:13" x14ac:dyDescent="0.25">
      <c r="A2331">
        <v>1259</v>
      </c>
      <c r="B2331" t="s">
        <v>958</v>
      </c>
      <c r="C2331" t="s">
        <v>40</v>
      </c>
      <c r="D2331">
        <v>2018</v>
      </c>
      <c r="E2331">
        <v>4713</v>
      </c>
      <c r="F2331">
        <v>7000</v>
      </c>
      <c r="G2331" t="s">
        <v>92</v>
      </c>
      <c r="H2331" t="s">
        <v>34</v>
      </c>
      <c r="I2331" t="s">
        <v>35</v>
      </c>
      <c r="J2331" t="s">
        <v>36</v>
      </c>
      <c r="K2331" t="s">
        <v>48</v>
      </c>
      <c r="L2331" t="s">
        <v>126</v>
      </c>
    </row>
    <row r="2332" spans="1:13" x14ac:dyDescent="0.25">
      <c r="A2332">
        <v>1577</v>
      </c>
      <c r="B2332" t="s">
        <v>1298</v>
      </c>
      <c r="C2332" t="s">
        <v>119</v>
      </c>
      <c r="D2332">
        <v>2016</v>
      </c>
      <c r="E2332" t="s">
        <v>1592</v>
      </c>
      <c r="F2332">
        <v>18000</v>
      </c>
      <c r="G2332">
        <v>60000</v>
      </c>
      <c r="H2332" t="s">
        <v>84</v>
      </c>
      <c r="I2332" t="s">
        <v>59</v>
      </c>
      <c r="J2332" t="s">
        <v>96</v>
      </c>
      <c r="K2332" t="s">
        <v>77</v>
      </c>
      <c r="L2332" t="s">
        <v>49</v>
      </c>
      <c r="M2332">
        <v>3</v>
      </c>
    </row>
    <row r="2333" spans="1:13" x14ac:dyDescent="0.25">
      <c r="A2333">
        <v>1598</v>
      </c>
      <c r="B2333" t="s">
        <v>698</v>
      </c>
      <c r="C2333" t="s">
        <v>68</v>
      </c>
      <c r="D2333">
        <v>2017</v>
      </c>
      <c r="E2333">
        <v>10519</v>
      </c>
      <c r="F2333">
        <v>12000</v>
      </c>
      <c r="G2333">
        <v>40000</v>
      </c>
      <c r="H2333" t="s">
        <v>69</v>
      </c>
      <c r="I2333" t="s">
        <v>72</v>
      </c>
      <c r="J2333" t="s">
        <v>66</v>
      </c>
      <c r="K2333" t="s">
        <v>116</v>
      </c>
    </row>
    <row r="2334" spans="1:13" x14ac:dyDescent="0.25">
      <c r="A2334">
        <v>1270</v>
      </c>
      <c r="B2334" t="s">
        <v>937</v>
      </c>
      <c r="C2334" t="s">
        <v>79</v>
      </c>
      <c r="D2334">
        <v>2016</v>
      </c>
      <c r="E2334">
        <v>13257</v>
      </c>
      <c r="F2334">
        <v>15000</v>
      </c>
      <c r="G2334">
        <v>60000</v>
      </c>
      <c r="H2334" t="s">
        <v>69</v>
      </c>
      <c r="J2334" t="s">
        <v>96</v>
      </c>
      <c r="K2334" t="s">
        <v>44</v>
      </c>
      <c r="L2334" t="s">
        <v>55</v>
      </c>
    </row>
    <row r="2335" spans="1:13" x14ac:dyDescent="0.25">
      <c r="A2335">
        <v>1504</v>
      </c>
      <c r="B2335" t="s">
        <v>280</v>
      </c>
      <c r="C2335" t="s">
        <v>32</v>
      </c>
      <c r="D2335">
        <v>2016</v>
      </c>
      <c r="E2335">
        <v>28419</v>
      </c>
      <c r="F2335">
        <v>31000</v>
      </c>
      <c r="G2335">
        <v>120000</v>
      </c>
      <c r="H2335" t="s">
        <v>58</v>
      </c>
      <c r="I2335" t="s">
        <v>59</v>
      </c>
      <c r="J2335" t="s">
        <v>36</v>
      </c>
      <c r="L2335" t="s">
        <v>38</v>
      </c>
      <c r="M2335">
        <v>1</v>
      </c>
    </row>
    <row r="2336" spans="1:13" x14ac:dyDescent="0.25">
      <c r="A2336">
        <v>1213</v>
      </c>
      <c r="B2336" t="s">
        <v>373</v>
      </c>
      <c r="C2336" t="s">
        <v>164</v>
      </c>
      <c r="D2336" t="s">
        <v>52</v>
      </c>
      <c r="E2336">
        <v>15678</v>
      </c>
      <c r="F2336">
        <v>18000</v>
      </c>
      <c r="G2336" t="s">
        <v>76</v>
      </c>
      <c r="H2336" t="s">
        <v>34</v>
      </c>
      <c r="I2336" t="s">
        <v>35</v>
      </c>
      <c r="J2336" t="s">
        <v>43</v>
      </c>
      <c r="K2336" t="s">
        <v>48</v>
      </c>
      <c r="L2336" t="s">
        <v>45</v>
      </c>
      <c r="M2336">
        <v>0</v>
      </c>
    </row>
    <row r="2337" spans="1:13" x14ac:dyDescent="0.25">
      <c r="A2337">
        <v>1375</v>
      </c>
      <c r="B2337" t="s">
        <v>1593</v>
      </c>
      <c r="C2337" t="s">
        <v>65</v>
      </c>
      <c r="D2337">
        <v>2014</v>
      </c>
      <c r="E2337" t="s">
        <v>1594</v>
      </c>
      <c r="F2337">
        <v>18000</v>
      </c>
      <c r="G2337">
        <v>120000</v>
      </c>
      <c r="H2337" t="s">
        <v>84</v>
      </c>
      <c r="I2337" t="s">
        <v>35</v>
      </c>
      <c r="J2337" t="s">
        <v>36</v>
      </c>
      <c r="K2337" t="s">
        <v>44</v>
      </c>
      <c r="L2337" t="s">
        <v>126</v>
      </c>
      <c r="M2337">
        <v>1</v>
      </c>
    </row>
    <row r="2338" spans="1:13" x14ac:dyDescent="0.25">
      <c r="A2338">
        <v>1346</v>
      </c>
      <c r="B2338" t="s">
        <v>270</v>
      </c>
      <c r="C2338" t="s">
        <v>164</v>
      </c>
      <c r="D2338">
        <v>2022</v>
      </c>
      <c r="E2338">
        <v>7094</v>
      </c>
      <c r="F2338">
        <v>12000</v>
      </c>
      <c r="G2338">
        <v>15000</v>
      </c>
      <c r="H2338" t="s">
        <v>58</v>
      </c>
      <c r="I2338" t="s">
        <v>59</v>
      </c>
      <c r="J2338" t="s">
        <v>43</v>
      </c>
      <c r="K2338" t="s">
        <v>116</v>
      </c>
      <c r="L2338" t="s">
        <v>55</v>
      </c>
      <c r="M2338">
        <v>2</v>
      </c>
    </row>
    <row r="2339" spans="1:13" x14ac:dyDescent="0.25">
      <c r="A2339">
        <v>1222</v>
      </c>
      <c r="B2339" t="s">
        <v>868</v>
      </c>
      <c r="C2339" t="s">
        <v>57</v>
      </c>
      <c r="D2339">
        <v>2017</v>
      </c>
      <c r="E2339">
        <v>8273</v>
      </c>
      <c r="F2339">
        <v>15000</v>
      </c>
      <c r="G2339">
        <v>40000</v>
      </c>
      <c r="I2339" t="s">
        <v>42</v>
      </c>
      <c r="J2339" t="s">
        <v>66</v>
      </c>
      <c r="K2339" t="s">
        <v>116</v>
      </c>
      <c r="M2339">
        <v>1</v>
      </c>
    </row>
    <row r="2340" spans="1:13" x14ac:dyDescent="0.25">
      <c r="A2340">
        <v>1042</v>
      </c>
      <c r="B2340" t="s">
        <v>786</v>
      </c>
      <c r="C2340" t="s">
        <v>103</v>
      </c>
      <c r="E2340" t="s">
        <v>1595</v>
      </c>
      <c r="F2340">
        <v>12000</v>
      </c>
      <c r="G2340">
        <v>15000</v>
      </c>
      <c r="H2340" t="s">
        <v>58</v>
      </c>
      <c r="I2340" t="s">
        <v>35</v>
      </c>
      <c r="J2340" t="s">
        <v>96</v>
      </c>
      <c r="K2340" t="s">
        <v>77</v>
      </c>
      <c r="L2340" t="s">
        <v>45</v>
      </c>
    </row>
    <row r="2341" spans="1:13" x14ac:dyDescent="0.25">
      <c r="A2341">
        <v>1069</v>
      </c>
      <c r="B2341" t="s">
        <v>1049</v>
      </c>
      <c r="C2341" t="s">
        <v>94</v>
      </c>
      <c r="E2341">
        <v>23226</v>
      </c>
      <c r="F2341">
        <v>26000</v>
      </c>
      <c r="G2341" t="s">
        <v>130</v>
      </c>
      <c r="H2341" t="s">
        <v>41</v>
      </c>
      <c r="I2341" t="s">
        <v>72</v>
      </c>
      <c r="J2341" t="s">
        <v>66</v>
      </c>
      <c r="K2341" t="s">
        <v>73</v>
      </c>
    </row>
    <row r="2342" spans="1:13" x14ac:dyDescent="0.25">
      <c r="A2342">
        <v>1370</v>
      </c>
      <c r="B2342" t="s">
        <v>546</v>
      </c>
      <c r="C2342" t="s">
        <v>47</v>
      </c>
      <c r="D2342">
        <v>2015</v>
      </c>
      <c r="E2342" t="s">
        <v>1596</v>
      </c>
      <c r="F2342">
        <v>31000</v>
      </c>
      <c r="G2342">
        <v>25000</v>
      </c>
      <c r="I2342" t="s">
        <v>59</v>
      </c>
      <c r="J2342" t="s">
        <v>66</v>
      </c>
      <c r="K2342" t="s">
        <v>37</v>
      </c>
      <c r="L2342" t="s">
        <v>90</v>
      </c>
    </row>
    <row r="2343" spans="1:13" x14ac:dyDescent="0.25">
      <c r="A2343">
        <v>1348</v>
      </c>
      <c r="B2343" t="s">
        <v>344</v>
      </c>
      <c r="C2343" t="s">
        <v>133</v>
      </c>
      <c r="D2343">
        <v>2017</v>
      </c>
      <c r="E2343" t="s">
        <v>1597</v>
      </c>
      <c r="F2343">
        <v>18000</v>
      </c>
      <c r="G2343" t="s">
        <v>76</v>
      </c>
      <c r="I2343" t="s">
        <v>72</v>
      </c>
      <c r="K2343" t="s">
        <v>73</v>
      </c>
      <c r="M2343">
        <v>1</v>
      </c>
    </row>
    <row r="2344" spans="1:13" x14ac:dyDescent="0.25">
      <c r="A2344">
        <v>1483</v>
      </c>
      <c r="B2344" t="s">
        <v>878</v>
      </c>
      <c r="C2344" t="s">
        <v>103</v>
      </c>
      <c r="D2344">
        <v>2022</v>
      </c>
      <c r="E2344" t="s">
        <v>1598</v>
      </c>
      <c r="F2344" t="s">
        <v>147</v>
      </c>
      <c r="G2344">
        <v>15000</v>
      </c>
      <c r="I2344" t="s">
        <v>35</v>
      </c>
      <c r="J2344" t="s">
        <v>66</v>
      </c>
      <c r="K2344" t="s">
        <v>37</v>
      </c>
    </row>
    <row r="2345" spans="1:13" x14ac:dyDescent="0.25">
      <c r="A2345">
        <v>1583</v>
      </c>
      <c r="B2345" t="s">
        <v>436</v>
      </c>
      <c r="C2345" t="s">
        <v>65</v>
      </c>
      <c r="D2345">
        <v>2019</v>
      </c>
      <c r="E2345">
        <v>6116</v>
      </c>
      <c r="F2345" t="s">
        <v>204</v>
      </c>
      <c r="G2345" t="s">
        <v>33</v>
      </c>
      <c r="H2345" t="s">
        <v>84</v>
      </c>
      <c r="I2345" t="s">
        <v>72</v>
      </c>
      <c r="L2345" t="s">
        <v>55</v>
      </c>
      <c r="M2345">
        <v>2</v>
      </c>
    </row>
    <row r="2346" spans="1:13" x14ac:dyDescent="0.25">
      <c r="A2346">
        <v>1202</v>
      </c>
      <c r="B2346" t="s">
        <v>740</v>
      </c>
      <c r="C2346" t="s">
        <v>32</v>
      </c>
      <c r="D2346">
        <v>2021</v>
      </c>
      <c r="E2346" t="s">
        <v>1599</v>
      </c>
      <c r="F2346" t="s">
        <v>115</v>
      </c>
      <c r="G2346">
        <v>60000</v>
      </c>
      <c r="H2346" t="s">
        <v>41</v>
      </c>
      <c r="I2346" t="s">
        <v>59</v>
      </c>
      <c r="J2346" t="s">
        <v>36</v>
      </c>
      <c r="K2346" t="s">
        <v>54</v>
      </c>
      <c r="L2346" t="s">
        <v>49</v>
      </c>
      <c r="M2346">
        <v>3</v>
      </c>
    </row>
    <row r="2347" spans="1:13" x14ac:dyDescent="0.25">
      <c r="A2347">
        <v>1226</v>
      </c>
      <c r="B2347" t="s">
        <v>896</v>
      </c>
      <c r="C2347" t="s">
        <v>61</v>
      </c>
      <c r="D2347">
        <v>2014</v>
      </c>
      <c r="E2347">
        <v>8709</v>
      </c>
      <c r="F2347" t="s">
        <v>204</v>
      </c>
      <c r="G2347">
        <v>120000</v>
      </c>
      <c r="H2347" t="s">
        <v>34</v>
      </c>
      <c r="I2347" t="s">
        <v>59</v>
      </c>
      <c r="J2347" t="s">
        <v>96</v>
      </c>
      <c r="L2347" t="s">
        <v>55</v>
      </c>
      <c r="M2347">
        <v>2</v>
      </c>
    </row>
    <row r="2348" spans="1:13" x14ac:dyDescent="0.25">
      <c r="A2348">
        <v>1588</v>
      </c>
      <c r="B2348" t="s">
        <v>1600</v>
      </c>
      <c r="C2348" t="s">
        <v>61</v>
      </c>
      <c r="D2348" t="s">
        <v>52</v>
      </c>
      <c r="E2348">
        <v>16186</v>
      </c>
      <c r="F2348">
        <v>22000</v>
      </c>
      <c r="G2348" t="s">
        <v>76</v>
      </c>
      <c r="I2348" t="s">
        <v>42</v>
      </c>
      <c r="J2348" t="s">
        <v>66</v>
      </c>
      <c r="K2348" t="s">
        <v>48</v>
      </c>
      <c r="L2348" t="s">
        <v>98</v>
      </c>
    </row>
    <row r="2349" spans="1:13" x14ac:dyDescent="0.25">
      <c r="A2349">
        <v>1513</v>
      </c>
      <c r="B2349" t="s">
        <v>869</v>
      </c>
      <c r="C2349" t="s">
        <v>51</v>
      </c>
      <c r="D2349" t="s">
        <v>52</v>
      </c>
      <c r="E2349">
        <v>21352</v>
      </c>
      <c r="F2349">
        <v>26000</v>
      </c>
      <c r="G2349">
        <v>25000</v>
      </c>
      <c r="H2349" t="s">
        <v>84</v>
      </c>
      <c r="I2349" t="s">
        <v>72</v>
      </c>
      <c r="J2349" t="s">
        <v>66</v>
      </c>
      <c r="K2349" t="s">
        <v>73</v>
      </c>
      <c r="L2349" t="s">
        <v>45</v>
      </c>
      <c r="M2349">
        <v>1</v>
      </c>
    </row>
    <row r="2350" spans="1:13" x14ac:dyDescent="0.25">
      <c r="A2350">
        <v>1410</v>
      </c>
      <c r="B2350" t="s">
        <v>1247</v>
      </c>
      <c r="C2350" t="s">
        <v>65</v>
      </c>
      <c r="D2350" t="s">
        <v>52</v>
      </c>
      <c r="E2350" t="s">
        <v>1601</v>
      </c>
      <c r="F2350">
        <v>22000</v>
      </c>
      <c r="G2350">
        <v>15000</v>
      </c>
      <c r="H2350" t="s">
        <v>53</v>
      </c>
      <c r="I2350" t="s">
        <v>72</v>
      </c>
      <c r="K2350" t="s">
        <v>77</v>
      </c>
      <c r="L2350" t="s">
        <v>45</v>
      </c>
      <c r="M2350">
        <v>0</v>
      </c>
    </row>
    <row r="2351" spans="1:13" x14ac:dyDescent="0.25">
      <c r="A2351">
        <v>1569</v>
      </c>
      <c r="B2351" t="s">
        <v>1602</v>
      </c>
      <c r="C2351" t="s">
        <v>103</v>
      </c>
      <c r="D2351">
        <v>2020</v>
      </c>
      <c r="E2351">
        <v>29726</v>
      </c>
      <c r="F2351">
        <v>31000</v>
      </c>
      <c r="G2351">
        <v>40000</v>
      </c>
      <c r="H2351" t="s">
        <v>34</v>
      </c>
      <c r="K2351" t="s">
        <v>44</v>
      </c>
      <c r="M2351">
        <v>2</v>
      </c>
    </row>
    <row r="2352" spans="1:13" x14ac:dyDescent="0.25">
      <c r="A2352">
        <v>1447</v>
      </c>
      <c r="B2352" t="s">
        <v>414</v>
      </c>
      <c r="C2352" t="s">
        <v>138</v>
      </c>
      <c r="D2352">
        <v>2018</v>
      </c>
      <c r="E2352">
        <v>7553</v>
      </c>
      <c r="F2352">
        <v>9000</v>
      </c>
      <c r="G2352">
        <v>15000</v>
      </c>
      <c r="H2352" t="s">
        <v>84</v>
      </c>
      <c r="J2352" t="s">
        <v>43</v>
      </c>
      <c r="K2352" t="s">
        <v>77</v>
      </c>
      <c r="L2352" t="s">
        <v>55</v>
      </c>
    </row>
    <row r="2353" spans="1:13" x14ac:dyDescent="0.25">
      <c r="A2353">
        <v>1163</v>
      </c>
      <c r="B2353" t="s">
        <v>93</v>
      </c>
      <c r="C2353" t="s">
        <v>61</v>
      </c>
      <c r="D2353">
        <v>2017</v>
      </c>
      <c r="E2353">
        <v>29571</v>
      </c>
      <c r="F2353">
        <v>31000</v>
      </c>
      <c r="G2353">
        <v>60000</v>
      </c>
      <c r="H2353" t="s">
        <v>34</v>
      </c>
      <c r="I2353" t="s">
        <v>72</v>
      </c>
      <c r="J2353" t="s">
        <v>96</v>
      </c>
      <c r="L2353" t="s">
        <v>90</v>
      </c>
      <c r="M2353">
        <v>2</v>
      </c>
    </row>
    <row r="2354" spans="1:13" x14ac:dyDescent="0.25">
      <c r="A2354">
        <v>1299</v>
      </c>
      <c r="B2354" t="s">
        <v>292</v>
      </c>
      <c r="C2354" t="s">
        <v>119</v>
      </c>
      <c r="D2354">
        <v>2021</v>
      </c>
      <c r="E2354" t="s">
        <v>1603</v>
      </c>
      <c r="F2354">
        <v>7000</v>
      </c>
      <c r="G2354" t="s">
        <v>130</v>
      </c>
      <c r="H2354" t="s">
        <v>63</v>
      </c>
      <c r="I2354" t="s">
        <v>35</v>
      </c>
      <c r="K2354" t="s">
        <v>116</v>
      </c>
      <c r="L2354" t="s">
        <v>109</v>
      </c>
      <c r="M2354">
        <v>3</v>
      </c>
    </row>
    <row r="2355" spans="1:13" x14ac:dyDescent="0.25">
      <c r="A2355">
        <v>1480</v>
      </c>
      <c r="B2355" t="s">
        <v>1226</v>
      </c>
      <c r="C2355" t="s">
        <v>57</v>
      </c>
      <c r="D2355">
        <v>2020</v>
      </c>
      <c r="E2355">
        <v>9194</v>
      </c>
      <c r="F2355">
        <v>12000</v>
      </c>
      <c r="G2355">
        <v>15000</v>
      </c>
      <c r="H2355" t="s">
        <v>84</v>
      </c>
      <c r="I2355" t="s">
        <v>42</v>
      </c>
      <c r="J2355" t="s">
        <v>96</v>
      </c>
      <c r="K2355" t="s">
        <v>48</v>
      </c>
      <c r="L2355" t="s">
        <v>55</v>
      </c>
      <c r="M2355">
        <v>1</v>
      </c>
    </row>
    <row r="2356" spans="1:13" x14ac:dyDescent="0.25">
      <c r="A2356">
        <v>1349</v>
      </c>
      <c r="B2356" t="s">
        <v>894</v>
      </c>
      <c r="C2356" t="s">
        <v>75</v>
      </c>
      <c r="D2356">
        <v>2016</v>
      </c>
      <c r="E2356">
        <v>13780</v>
      </c>
      <c r="F2356">
        <v>15000</v>
      </c>
      <c r="G2356">
        <v>15000</v>
      </c>
      <c r="H2356" t="s">
        <v>84</v>
      </c>
      <c r="I2356" t="s">
        <v>72</v>
      </c>
      <c r="J2356" t="s">
        <v>66</v>
      </c>
      <c r="K2356" t="s">
        <v>100</v>
      </c>
      <c r="L2356" t="s">
        <v>45</v>
      </c>
      <c r="M2356">
        <v>1</v>
      </c>
    </row>
    <row r="2357" spans="1:13" x14ac:dyDescent="0.25">
      <c r="A2357">
        <v>1552</v>
      </c>
      <c r="B2357" t="s">
        <v>1604</v>
      </c>
      <c r="C2357" t="s">
        <v>61</v>
      </c>
      <c r="D2357">
        <v>2020</v>
      </c>
      <c r="E2357">
        <v>24944</v>
      </c>
      <c r="F2357">
        <v>26000</v>
      </c>
      <c r="G2357">
        <v>15000</v>
      </c>
      <c r="H2357" t="s">
        <v>63</v>
      </c>
      <c r="I2357" t="s">
        <v>59</v>
      </c>
      <c r="K2357" t="s">
        <v>77</v>
      </c>
      <c r="L2357" t="s">
        <v>98</v>
      </c>
    </row>
    <row r="2358" spans="1:13" x14ac:dyDescent="0.25">
      <c r="A2358">
        <v>1251</v>
      </c>
      <c r="B2358" t="s">
        <v>221</v>
      </c>
      <c r="C2358" t="s">
        <v>68</v>
      </c>
      <c r="D2358">
        <v>2017</v>
      </c>
      <c r="E2358">
        <v>3800</v>
      </c>
      <c r="F2358">
        <v>7000</v>
      </c>
      <c r="G2358">
        <v>25000</v>
      </c>
      <c r="H2358" t="s">
        <v>58</v>
      </c>
      <c r="K2358" t="s">
        <v>44</v>
      </c>
      <c r="L2358" t="s">
        <v>98</v>
      </c>
    </row>
    <row r="2359" spans="1:13" x14ac:dyDescent="0.25">
      <c r="A2359">
        <v>1510</v>
      </c>
      <c r="B2359" t="s">
        <v>1441</v>
      </c>
      <c r="C2359" t="s">
        <v>65</v>
      </c>
      <c r="E2359">
        <v>26386</v>
      </c>
      <c r="F2359">
        <v>31000</v>
      </c>
      <c r="G2359" t="s">
        <v>108</v>
      </c>
      <c r="H2359" t="s">
        <v>69</v>
      </c>
      <c r="I2359" t="s">
        <v>59</v>
      </c>
      <c r="J2359" t="s">
        <v>36</v>
      </c>
      <c r="K2359" t="s">
        <v>54</v>
      </c>
      <c r="L2359" t="s">
        <v>38</v>
      </c>
      <c r="M2359">
        <v>1</v>
      </c>
    </row>
    <row r="2360" spans="1:13" x14ac:dyDescent="0.25">
      <c r="A2360">
        <v>1499</v>
      </c>
      <c r="B2360" t="s">
        <v>897</v>
      </c>
      <c r="C2360" t="s">
        <v>138</v>
      </c>
      <c r="D2360">
        <v>2014</v>
      </c>
      <c r="E2360">
        <v>1157</v>
      </c>
      <c r="F2360">
        <v>7000</v>
      </c>
      <c r="G2360">
        <v>40000</v>
      </c>
      <c r="H2360" t="s">
        <v>34</v>
      </c>
      <c r="J2360" t="s">
        <v>43</v>
      </c>
      <c r="K2360" t="s">
        <v>37</v>
      </c>
      <c r="L2360" t="s">
        <v>98</v>
      </c>
      <c r="M2360">
        <v>1</v>
      </c>
    </row>
    <row r="2361" spans="1:13" x14ac:dyDescent="0.25">
      <c r="A2361">
        <v>1501</v>
      </c>
      <c r="B2361" t="s">
        <v>1466</v>
      </c>
      <c r="C2361" t="s">
        <v>138</v>
      </c>
      <c r="D2361">
        <v>2020</v>
      </c>
      <c r="E2361">
        <v>8070</v>
      </c>
      <c r="F2361">
        <v>12000</v>
      </c>
      <c r="G2361">
        <v>15000</v>
      </c>
      <c r="H2361" t="s">
        <v>69</v>
      </c>
      <c r="I2361" t="s">
        <v>72</v>
      </c>
      <c r="K2361" t="s">
        <v>48</v>
      </c>
      <c r="L2361" t="s">
        <v>98</v>
      </c>
      <c r="M2361">
        <v>0</v>
      </c>
    </row>
    <row r="2362" spans="1:13" x14ac:dyDescent="0.25">
      <c r="A2362">
        <v>1174</v>
      </c>
      <c r="B2362" t="s">
        <v>938</v>
      </c>
      <c r="C2362" t="s">
        <v>164</v>
      </c>
      <c r="D2362">
        <v>2018</v>
      </c>
      <c r="E2362">
        <v>29451</v>
      </c>
      <c r="F2362">
        <v>31000</v>
      </c>
      <c r="G2362" t="s">
        <v>130</v>
      </c>
      <c r="H2362" t="s">
        <v>84</v>
      </c>
      <c r="I2362" t="s">
        <v>72</v>
      </c>
      <c r="J2362" t="s">
        <v>36</v>
      </c>
      <c r="M2362">
        <v>3</v>
      </c>
    </row>
    <row r="2363" spans="1:13" x14ac:dyDescent="0.25">
      <c r="A2363">
        <v>1176</v>
      </c>
      <c r="B2363" t="s">
        <v>1037</v>
      </c>
      <c r="C2363" t="s">
        <v>57</v>
      </c>
      <c r="D2363">
        <v>2020</v>
      </c>
      <c r="E2363" t="s">
        <v>1605</v>
      </c>
      <c r="F2363">
        <v>15000</v>
      </c>
      <c r="G2363" t="s">
        <v>108</v>
      </c>
      <c r="H2363" t="s">
        <v>53</v>
      </c>
      <c r="L2363" t="s">
        <v>90</v>
      </c>
      <c r="M2363">
        <v>0</v>
      </c>
    </row>
    <row r="2364" spans="1:13" x14ac:dyDescent="0.25">
      <c r="A2364">
        <v>1216</v>
      </c>
      <c r="B2364" t="s">
        <v>1606</v>
      </c>
      <c r="C2364" t="s">
        <v>61</v>
      </c>
      <c r="E2364">
        <v>2224</v>
      </c>
      <c r="F2364" t="s">
        <v>147</v>
      </c>
      <c r="G2364">
        <v>15000</v>
      </c>
      <c r="H2364" t="s">
        <v>69</v>
      </c>
      <c r="I2364" t="s">
        <v>72</v>
      </c>
      <c r="K2364" t="s">
        <v>54</v>
      </c>
      <c r="L2364" t="s">
        <v>109</v>
      </c>
      <c r="M2364">
        <v>3</v>
      </c>
    </row>
    <row r="2365" spans="1:13" x14ac:dyDescent="0.25">
      <c r="A2365">
        <v>1113</v>
      </c>
      <c r="B2365" t="s">
        <v>1607</v>
      </c>
      <c r="C2365" t="s">
        <v>138</v>
      </c>
      <c r="D2365">
        <v>2021</v>
      </c>
      <c r="E2365">
        <v>2538</v>
      </c>
      <c r="F2365">
        <v>9000</v>
      </c>
      <c r="G2365">
        <v>40000</v>
      </c>
      <c r="H2365" t="s">
        <v>34</v>
      </c>
      <c r="I2365" t="s">
        <v>35</v>
      </c>
      <c r="J2365" t="s">
        <v>96</v>
      </c>
      <c r="K2365" t="s">
        <v>44</v>
      </c>
      <c r="L2365" t="s">
        <v>98</v>
      </c>
    </row>
    <row r="2366" spans="1:13" x14ac:dyDescent="0.25">
      <c r="A2366">
        <v>1379</v>
      </c>
      <c r="B2366" t="s">
        <v>114</v>
      </c>
      <c r="C2366" t="s">
        <v>119</v>
      </c>
      <c r="E2366">
        <v>4708</v>
      </c>
      <c r="F2366">
        <v>9000</v>
      </c>
      <c r="G2366">
        <v>15000</v>
      </c>
      <c r="I2366" t="s">
        <v>59</v>
      </c>
      <c r="J2366" t="s">
        <v>96</v>
      </c>
      <c r="K2366" t="s">
        <v>116</v>
      </c>
      <c r="L2366" t="s">
        <v>98</v>
      </c>
      <c r="M2366">
        <v>3</v>
      </c>
    </row>
    <row r="2367" spans="1:13" x14ac:dyDescent="0.25">
      <c r="A2367">
        <v>1361</v>
      </c>
      <c r="B2367" t="s">
        <v>791</v>
      </c>
      <c r="C2367" t="s">
        <v>94</v>
      </c>
      <c r="D2367">
        <v>2018</v>
      </c>
      <c r="E2367" t="s">
        <v>1608</v>
      </c>
      <c r="F2367">
        <v>31000</v>
      </c>
      <c r="G2367">
        <v>60000</v>
      </c>
      <c r="H2367" t="s">
        <v>63</v>
      </c>
      <c r="I2367" t="s">
        <v>42</v>
      </c>
      <c r="K2367" t="s">
        <v>48</v>
      </c>
      <c r="L2367" t="s">
        <v>45</v>
      </c>
      <c r="M2367">
        <v>2</v>
      </c>
    </row>
    <row r="2368" spans="1:13" x14ac:dyDescent="0.25">
      <c r="A2368">
        <v>1294</v>
      </c>
      <c r="B2368" t="s">
        <v>1163</v>
      </c>
      <c r="C2368" t="s">
        <v>61</v>
      </c>
      <c r="D2368">
        <v>2016</v>
      </c>
      <c r="E2368">
        <v>5021</v>
      </c>
      <c r="F2368">
        <v>9000</v>
      </c>
      <c r="G2368">
        <v>60000</v>
      </c>
      <c r="H2368" t="s">
        <v>58</v>
      </c>
      <c r="L2368" t="s">
        <v>55</v>
      </c>
      <c r="M2368">
        <v>1</v>
      </c>
    </row>
    <row r="2369" spans="1:13" x14ac:dyDescent="0.25">
      <c r="A2369">
        <v>1170</v>
      </c>
      <c r="B2369" t="s">
        <v>320</v>
      </c>
      <c r="C2369" t="s">
        <v>138</v>
      </c>
      <c r="D2369">
        <v>2019</v>
      </c>
      <c r="E2369" t="s">
        <v>1609</v>
      </c>
      <c r="F2369" t="s">
        <v>129</v>
      </c>
      <c r="G2369">
        <v>120000</v>
      </c>
      <c r="H2369" t="s">
        <v>63</v>
      </c>
      <c r="I2369" t="s">
        <v>35</v>
      </c>
      <c r="J2369" t="s">
        <v>43</v>
      </c>
      <c r="K2369" t="s">
        <v>100</v>
      </c>
      <c r="M2369">
        <v>3</v>
      </c>
    </row>
    <row r="2370" spans="1:13" x14ac:dyDescent="0.25">
      <c r="A2370">
        <v>1063</v>
      </c>
      <c r="B2370" t="s">
        <v>560</v>
      </c>
      <c r="C2370" t="s">
        <v>119</v>
      </c>
      <c r="D2370" t="s">
        <v>52</v>
      </c>
      <c r="E2370">
        <v>22743</v>
      </c>
      <c r="F2370">
        <v>26000</v>
      </c>
      <c r="G2370">
        <v>120000</v>
      </c>
      <c r="H2370" t="s">
        <v>34</v>
      </c>
      <c r="I2370" t="s">
        <v>42</v>
      </c>
      <c r="K2370" t="s">
        <v>73</v>
      </c>
      <c r="L2370" t="s">
        <v>38</v>
      </c>
      <c r="M2370">
        <v>1</v>
      </c>
    </row>
    <row r="2371" spans="1:13" x14ac:dyDescent="0.25">
      <c r="A2371">
        <v>1557</v>
      </c>
      <c r="B2371" t="s">
        <v>1610</v>
      </c>
      <c r="C2371" t="s">
        <v>75</v>
      </c>
      <c r="D2371">
        <v>2018</v>
      </c>
      <c r="E2371">
        <v>12411</v>
      </c>
      <c r="F2371">
        <v>15000</v>
      </c>
      <c r="G2371">
        <v>15000</v>
      </c>
      <c r="H2371" t="s">
        <v>53</v>
      </c>
      <c r="I2371" t="s">
        <v>42</v>
      </c>
      <c r="J2371" t="s">
        <v>36</v>
      </c>
      <c r="K2371" t="s">
        <v>37</v>
      </c>
      <c r="L2371" t="s">
        <v>49</v>
      </c>
      <c r="M2371">
        <v>0</v>
      </c>
    </row>
    <row r="2372" spans="1:13" x14ac:dyDescent="0.25">
      <c r="A2372">
        <v>1513</v>
      </c>
      <c r="B2372" t="s">
        <v>374</v>
      </c>
      <c r="C2372" t="s">
        <v>65</v>
      </c>
      <c r="D2372" t="s">
        <v>52</v>
      </c>
      <c r="E2372">
        <v>3103</v>
      </c>
      <c r="F2372">
        <v>7000</v>
      </c>
      <c r="G2372">
        <v>60000</v>
      </c>
      <c r="H2372" t="s">
        <v>63</v>
      </c>
      <c r="I2372" t="s">
        <v>42</v>
      </c>
      <c r="J2372" t="s">
        <v>96</v>
      </c>
      <c r="K2372" t="s">
        <v>44</v>
      </c>
      <c r="L2372" t="s">
        <v>90</v>
      </c>
    </row>
    <row r="2373" spans="1:13" x14ac:dyDescent="0.25">
      <c r="A2373">
        <v>1421</v>
      </c>
      <c r="B2373" t="s">
        <v>139</v>
      </c>
      <c r="C2373" t="s">
        <v>94</v>
      </c>
      <c r="D2373">
        <v>2015</v>
      </c>
      <c r="E2373">
        <v>18736</v>
      </c>
      <c r="F2373">
        <v>22000</v>
      </c>
      <c r="G2373">
        <v>15000</v>
      </c>
      <c r="H2373" t="s">
        <v>53</v>
      </c>
      <c r="I2373" t="s">
        <v>72</v>
      </c>
      <c r="J2373" t="s">
        <v>36</v>
      </c>
      <c r="K2373" t="s">
        <v>116</v>
      </c>
      <c r="M2373">
        <v>1</v>
      </c>
    </row>
    <row r="2374" spans="1:13" x14ac:dyDescent="0.25">
      <c r="A2374">
        <v>1434</v>
      </c>
      <c r="B2374" t="s">
        <v>1611</v>
      </c>
      <c r="C2374" t="s">
        <v>138</v>
      </c>
      <c r="D2374">
        <v>2015</v>
      </c>
      <c r="E2374">
        <v>11141</v>
      </c>
      <c r="F2374">
        <v>15000</v>
      </c>
      <c r="G2374">
        <v>40000</v>
      </c>
      <c r="H2374" t="s">
        <v>53</v>
      </c>
      <c r="K2374" t="s">
        <v>44</v>
      </c>
      <c r="M2374">
        <v>3</v>
      </c>
    </row>
    <row r="2375" spans="1:13" x14ac:dyDescent="0.25">
      <c r="A2375">
        <v>1334</v>
      </c>
      <c r="B2375" t="s">
        <v>1483</v>
      </c>
      <c r="C2375" t="s">
        <v>65</v>
      </c>
      <c r="D2375">
        <v>2015</v>
      </c>
      <c r="E2375">
        <v>25627</v>
      </c>
      <c r="F2375">
        <v>31000</v>
      </c>
      <c r="G2375" t="s">
        <v>108</v>
      </c>
      <c r="H2375" t="s">
        <v>84</v>
      </c>
      <c r="K2375" t="s">
        <v>37</v>
      </c>
      <c r="L2375" t="s">
        <v>98</v>
      </c>
      <c r="M2375">
        <v>1</v>
      </c>
    </row>
    <row r="2376" spans="1:13" x14ac:dyDescent="0.25">
      <c r="A2376">
        <v>1172</v>
      </c>
      <c r="B2376" t="s">
        <v>1324</v>
      </c>
      <c r="C2376" t="s">
        <v>65</v>
      </c>
      <c r="D2376">
        <v>2020</v>
      </c>
      <c r="E2376">
        <v>13146</v>
      </c>
      <c r="F2376">
        <v>18000</v>
      </c>
      <c r="G2376">
        <v>120000</v>
      </c>
      <c r="H2376" t="s">
        <v>69</v>
      </c>
      <c r="I2376" t="s">
        <v>42</v>
      </c>
      <c r="J2376" t="s">
        <v>43</v>
      </c>
      <c r="L2376" t="s">
        <v>109</v>
      </c>
      <c r="M2376">
        <v>0</v>
      </c>
    </row>
    <row r="2377" spans="1:13" x14ac:dyDescent="0.25">
      <c r="A2377">
        <v>1578</v>
      </c>
      <c r="B2377" t="s">
        <v>1066</v>
      </c>
      <c r="C2377" t="s">
        <v>133</v>
      </c>
      <c r="E2377">
        <v>26444</v>
      </c>
      <c r="F2377">
        <v>31000</v>
      </c>
      <c r="G2377">
        <v>25000</v>
      </c>
      <c r="H2377" t="s">
        <v>84</v>
      </c>
      <c r="I2377" t="s">
        <v>35</v>
      </c>
      <c r="J2377" t="s">
        <v>66</v>
      </c>
      <c r="K2377" t="s">
        <v>116</v>
      </c>
      <c r="L2377" t="s">
        <v>49</v>
      </c>
    </row>
    <row r="2378" spans="1:13" x14ac:dyDescent="0.25">
      <c r="A2378">
        <v>1009</v>
      </c>
      <c r="B2378" t="s">
        <v>903</v>
      </c>
      <c r="C2378" t="s">
        <v>68</v>
      </c>
      <c r="D2378" t="s">
        <v>52</v>
      </c>
      <c r="E2378" t="s">
        <v>1612</v>
      </c>
      <c r="F2378">
        <v>22000</v>
      </c>
      <c r="G2378">
        <v>120000</v>
      </c>
      <c r="H2378" t="s">
        <v>84</v>
      </c>
      <c r="I2378" t="s">
        <v>42</v>
      </c>
      <c r="J2378" t="s">
        <v>36</v>
      </c>
      <c r="K2378" t="s">
        <v>44</v>
      </c>
      <c r="L2378" t="s">
        <v>49</v>
      </c>
    </row>
    <row r="2379" spans="1:13" x14ac:dyDescent="0.25">
      <c r="A2379">
        <v>1175</v>
      </c>
      <c r="B2379" t="s">
        <v>500</v>
      </c>
      <c r="C2379" t="s">
        <v>68</v>
      </c>
      <c r="D2379" t="s">
        <v>52</v>
      </c>
      <c r="E2379">
        <v>11012</v>
      </c>
      <c r="F2379">
        <v>18000</v>
      </c>
      <c r="G2379">
        <v>40000</v>
      </c>
      <c r="H2379" t="s">
        <v>34</v>
      </c>
      <c r="I2379" t="s">
        <v>42</v>
      </c>
      <c r="J2379" t="s">
        <v>66</v>
      </c>
      <c r="K2379" t="s">
        <v>73</v>
      </c>
      <c r="L2379" t="s">
        <v>49</v>
      </c>
      <c r="M2379">
        <v>3</v>
      </c>
    </row>
    <row r="2380" spans="1:13" x14ac:dyDescent="0.25">
      <c r="A2380">
        <v>1217</v>
      </c>
      <c r="B2380" t="s">
        <v>1454</v>
      </c>
      <c r="C2380" t="s">
        <v>61</v>
      </c>
      <c r="D2380">
        <v>2020</v>
      </c>
      <c r="E2380">
        <v>19822</v>
      </c>
      <c r="F2380">
        <v>26000</v>
      </c>
      <c r="G2380">
        <v>25000</v>
      </c>
      <c r="H2380" t="s">
        <v>69</v>
      </c>
      <c r="I2380" t="s">
        <v>42</v>
      </c>
      <c r="J2380" t="s">
        <v>66</v>
      </c>
      <c r="K2380" t="s">
        <v>48</v>
      </c>
      <c r="L2380" t="s">
        <v>90</v>
      </c>
      <c r="M2380">
        <v>2</v>
      </c>
    </row>
    <row r="2381" spans="1:13" x14ac:dyDescent="0.25">
      <c r="A2381">
        <v>1054</v>
      </c>
      <c r="B2381" t="s">
        <v>1370</v>
      </c>
      <c r="C2381" t="s">
        <v>119</v>
      </c>
      <c r="D2381" t="s">
        <v>52</v>
      </c>
      <c r="E2381">
        <v>7882</v>
      </c>
      <c r="F2381">
        <v>9000</v>
      </c>
      <c r="G2381">
        <v>40000</v>
      </c>
      <c r="H2381" t="s">
        <v>69</v>
      </c>
      <c r="I2381" t="s">
        <v>35</v>
      </c>
      <c r="J2381" t="s">
        <v>96</v>
      </c>
      <c r="K2381" t="s">
        <v>100</v>
      </c>
      <c r="L2381" t="s">
        <v>126</v>
      </c>
      <c r="M2381">
        <v>1</v>
      </c>
    </row>
    <row r="2382" spans="1:13" x14ac:dyDescent="0.25">
      <c r="A2382">
        <v>1499</v>
      </c>
      <c r="B2382" t="s">
        <v>1128</v>
      </c>
      <c r="C2382" t="s">
        <v>51</v>
      </c>
      <c r="D2382">
        <v>2022</v>
      </c>
      <c r="E2382">
        <v>14162</v>
      </c>
      <c r="F2382" t="s">
        <v>129</v>
      </c>
      <c r="G2382">
        <v>25000</v>
      </c>
      <c r="H2382" t="s">
        <v>53</v>
      </c>
      <c r="I2382" t="s">
        <v>42</v>
      </c>
      <c r="J2382" t="s">
        <v>66</v>
      </c>
      <c r="L2382" t="s">
        <v>126</v>
      </c>
    </row>
    <row r="2383" spans="1:13" x14ac:dyDescent="0.25">
      <c r="A2383">
        <v>1309</v>
      </c>
      <c r="B2383" t="s">
        <v>1320</v>
      </c>
      <c r="C2383" t="s">
        <v>138</v>
      </c>
      <c r="D2383">
        <v>2014</v>
      </c>
      <c r="E2383">
        <v>8790</v>
      </c>
      <c r="F2383">
        <v>12000</v>
      </c>
      <c r="G2383" t="s">
        <v>130</v>
      </c>
      <c r="H2383" t="s">
        <v>41</v>
      </c>
      <c r="I2383" t="s">
        <v>59</v>
      </c>
      <c r="J2383" t="s">
        <v>43</v>
      </c>
      <c r="K2383" t="s">
        <v>37</v>
      </c>
      <c r="M2383">
        <v>1</v>
      </c>
    </row>
    <row r="2384" spans="1:13" x14ac:dyDescent="0.25">
      <c r="A2384">
        <v>1132</v>
      </c>
      <c r="B2384" t="s">
        <v>734</v>
      </c>
      <c r="C2384" t="s">
        <v>119</v>
      </c>
      <c r="D2384" t="s">
        <v>52</v>
      </c>
      <c r="E2384">
        <v>15352</v>
      </c>
      <c r="F2384">
        <v>22000</v>
      </c>
      <c r="G2384">
        <v>120000</v>
      </c>
      <c r="H2384" t="s">
        <v>53</v>
      </c>
      <c r="I2384" t="s">
        <v>59</v>
      </c>
      <c r="J2384" t="s">
        <v>43</v>
      </c>
      <c r="K2384" t="s">
        <v>44</v>
      </c>
      <c r="L2384" t="s">
        <v>109</v>
      </c>
      <c r="M2384">
        <v>2</v>
      </c>
    </row>
    <row r="2385" spans="1:13" x14ac:dyDescent="0.25">
      <c r="A2385">
        <v>1365</v>
      </c>
      <c r="B2385" t="s">
        <v>827</v>
      </c>
      <c r="C2385" t="s">
        <v>138</v>
      </c>
      <c r="D2385">
        <v>2020</v>
      </c>
      <c r="E2385">
        <v>6958</v>
      </c>
      <c r="F2385">
        <v>9000</v>
      </c>
      <c r="G2385">
        <v>60000</v>
      </c>
      <c r="H2385" t="s">
        <v>84</v>
      </c>
      <c r="I2385" t="s">
        <v>72</v>
      </c>
      <c r="J2385" t="s">
        <v>43</v>
      </c>
      <c r="K2385" t="s">
        <v>37</v>
      </c>
      <c r="L2385" t="s">
        <v>90</v>
      </c>
      <c r="M2385">
        <v>3</v>
      </c>
    </row>
    <row r="2386" spans="1:13" x14ac:dyDescent="0.25">
      <c r="A2386">
        <v>1594</v>
      </c>
      <c r="B2386" t="s">
        <v>929</v>
      </c>
      <c r="C2386" t="s">
        <v>103</v>
      </c>
      <c r="D2386">
        <v>2020</v>
      </c>
      <c r="E2386">
        <v>2403</v>
      </c>
      <c r="F2386">
        <v>9000</v>
      </c>
      <c r="G2386">
        <v>40000</v>
      </c>
      <c r="H2386" t="s">
        <v>58</v>
      </c>
      <c r="J2386" t="s">
        <v>96</v>
      </c>
      <c r="K2386" t="s">
        <v>100</v>
      </c>
      <c r="L2386" t="s">
        <v>55</v>
      </c>
      <c r="M2386">
        <v>0</v>
      </c>
    </row>
    <row r="2387" spans="1:13" x14ac:dyDescent="0.25">
      <c r="A2387">
        <v>1212</v>
      </c>
      <c r="B2387" t="s">
        <v>862</v>
      </c>
      <c r="C2387" t="s">
        <v>164</v>
      </c>
      <c r="D2387">
        <v>2015</v>
      </c>
      <c r="E2387">
        <v>15744</v>
      </c>
      <c r="F2387">
        <v>22000</v>
      </c>
      <c r="G2387" t="s">
        <v>76</v>
      </c>
      <c r="H2387" t="s">
        <v>53</v>
      </c>
      <c r="J2387" t="s">
        <v>36</v>
      </c>
      <c r="K2387" t="s">
        <v>48</v>
      </c>
      <c r="L2387" t="s">
        <v>90</v>
      </c>
      <c r="M2387">
        <v>3</v>
      </c>
    </row>
    <row r="2388" spans="1:13" x14ac:dyDescent="0.25">
      <c r="A2388">
        <v>1193</v>
      </c>
      <c r="B2388" t="s">
        <v>1477</v>
      </c>
      <c r="C2388" t="s">
        <v>61</v>
      </c>
      <c r="D2388">
        <v>2022</v>
      </c>
      <c r="E2388">
        <v>7343</v>
      </c>
      <c r="F2388">
        <v>12000</v>
      </c>
      <c r="G2388">
        <v>40000</v>
      </c>
      <c r="H2388" t="s">
        <v>58</v>
      </c>
      <c r="K2388" t="s">
        <v>73</v>
      </c>
      <c r="L2388" t="s">
        <v>38</v>
      </c>
      <c r="M2388">
        <v>3</v>
      </c>
    </row>
    <row r="2389" spans="1:13" x14ac:dyDescent="0.25">
      <c r="A2389">
        <v>1248</v>
      </c>
      <c r="B2389" t="s">
        <v>1613</v>
      </c>
      <c r="C2389" t="s">
        <v>32</v>
      </c>
      <c r="E2389">
        <v>4383</v>
      </c>
      <c r="F2389">
        <v>9000</v>
      </c>
      <c r="G2389">
        <v>25000</v>
      </c>
      <c r="H2389" t="s">
        <v>84</v>
      </c>
      <c r="I2389" t="s">
        <v>72</v>
      </c>
      <c r="J2389" t="s">
        <v>66</v>
      </c>
      <c r="K2389" t="s">
        <v>37</v>
      </c>
      <c r="L2389" t="s">
        <v>49</v>
      </c>
      <c r="M2389">
        <v>3</v>
      </c>
    </row>
    <row r="2390" spans="1:13" x14ac:dyDescent="0.25">
      <c r="A2390">
        <v>1090</v>
      </c>
      <c r="B2390" t="s">
        <v>1121</v>
      </c>
      <c r="C2390" t="s">
        <v>57</v>
      </c>
      <c r="D2390">
        <v>2016</v>
      </c>
      <c r="E2390" t="s">
        <v>1614</v>
      </c>
      <c r="F2390">
        <v>7000</v>
      </c>
      <c r="G2390">
        <v>120000</v>
      </c>
      <c r="H2390" t="s">
        <v>53</v>
      </c>
      <c r="I2390" t="s">
        <v>59</v>
      </c>
      <c r="J2390" t="s">
        <v>96</v>
      </c>
      <c r="K2390" t="s">
        <v>77</v>
      </c>
      <c r="L2390" t="s">
        <v>98</v>
      </c>
      <c r="M2390">
        <v>2</v>
      </c>
    </row>
    <row r="2391" spans="1:13" x14ac:dyDescent="0.25">
      <c r="A2391">
        <v>1095</v>
      </c>
      <c r="B2391" t="s">
        <v>1397</v>
      </c>
      <c r="C2391" t="s">
        <v>51</v>
      </c>
      <c r="D2391">
        <v>2018</v>
      </c>
      <c r="E2391">
        <v>9385</v>
      </c>
      <c r="F2391">
        <v>15000</v>
      </c>
      <c r="G2391">
        <v>25000</v>
      </c>
      <c r="H2391" t="s">
        <v>41</v>
      </c>
      <c r="I2391" t="s">
        <v>35</v>
      </c>
      <c r="J2391" t="s">
        <v>43</v>
      </c>
      <c r="K2391" t="s">
        <v>100</v>
      </c>
      <c r="L2391" t="s">
        <v>90</v>
      </c>
      <c r="M2391">
        <v>3</v>
      </c>
    </row>
    <row r="2392" spans="1:13" x14ac:dyDescent="0.25">
      <c r="A2392">
        <v>1520</v>
      </c>
      <c r="B2392" t="s">
        <v>899</v>
      </c>
      <c r="C2392" t="s">
        <v>94</v>
      </c>
      <c r="D2392">
        <v>2022</v>
      </c>
      <c r="E2392" t="s">
        <v>1615</v>
      </c>
      <c r="F2392">
        <v>15000</v>
      </c>
      <c r="G2392">
        <v>40000</v>
      </c>
      <c r="J2392" t="s">
        <v>96</v>
      </c>
      <c r="K2392" t="s">
        <v>116</v>
      </c>
      <c r="L2392" t="s">
        <v>49</v>
      </c>
      <c r="M2392">
        <v>0</v>
      </c>
    </row>
    <row r="2393" spans="1:13" x14ac:dyDescent="0.25">
      <c r="A2393">
        <v>1044</v>
      </c>
      <c r="B2393" t="s">
        <v>1616</v>
      </c>
      <c r="C2393" t="s">
        <v>47</v>
      </c>
      <c r="D2393">
        <v>2017</v>
      </c>
      <c r="E2393">
        <v>20677</v>
      </c>
      <c r="F2393">
        <v>22000</v>
      </c>
      <c r="G2393">
        <v>25000</v>
      </c>
      <c r="H2393" t="s">
        <v>53</v>
      </c>
      <c r="I2393" t="s">
        <v>42</v>
      </c>
      <c r="J2393" t="s">
        <v>96</v>
      </c>
      <c r="L2393" t="s">
        <v>98</v>
      </c>
      <c r="M2393">
        <v>3</v>
      </c>
    </row>
    <row r="2394" spans="1:13" x14ac:dyDescent="0.25">
      <c r="A2394">
        <v>1423</v>
      </c>
      <c r="B2394" t="s">
        <v>180</v>
      </c>
      <c r="C2394" t="s">
        <v>138</v>
      </c>
      <c r="D2394">
        <v>2019</v>
      </c>
      <c r="E2394" t="s">
        <v>1617</v>
      </c>
      <c r="F2394">
        <v>18000</v>
      </c>
      <c r="G2394">
        <v>60000</v>
      </c>
      <c r="I2394" t="s">
        <v>35</v>
      </c>
      <c r="J2394" t="s">
        <v>66</v>
      </c>
      <c r="K2394" t="s">
        <v>54</v>
      </c>
      <c r="L2394" t="s">
        <v>45</v>
      </c>
      <c r="M2394">
        <v>3</v>
      </c>
    </row>
    <row r="2395" spans="1:13" x14ac:dyDescent="0.25">
      <c r="A2395">
        <v>1362</v>
      </c>
      <c r="B2395" t="s">
        <v>684</v>
      </c>
      <c r="C2395" t="s">
        <v>47</v>
      </c>
      <c r="D2395">
        <v>2017</v>
      </c>
      <c r="E2395">
        <v>8649</v>
      </c>
      <c r="F2395">
        <v>12000</v>
      </c>
      <c r="G2395">
        <v>120000</v>
      </c>
      <c r="H2395" t="s">
        <v>69</v>
      </c>
      <c r="I2395" t="s">
        <v>35</v>
      </c>
      <c r="J2395" t="s">
        <v>96</v>
      </c>
      <c r="K2395" t="s">
        <v>54</v>
      </c>
      <c r="L2395" t="s">
        <v>98</v>
      </c>
      <c r="M2395">
        <v>1</v>
      </c>
    </row>
    <row r="2396" spans="1:13" x14ac:dyDescent="0.25">
      <c r="A2396">
        <v>1321</v>
      </c>
      <c r="B2396" t="s">
        <v>575</v>
      </c>
      <c r="C2396" t="s">
        <v>61</v>
      </c>
      <c r="D2396">
        <v>2015</v>
      </c>
      <c r="E2396">
        <v>25945</v>
      </c>
      <c r="F2396">
        <v>31000</v>
      </c>
      <c r="G2396">
        <v>40000</v>
      </c>
      <c r="H2396" t="s">
        <v>63</v>
      </c>
      <c r="I2396" t="s">
        <v>35</v>
      </c>
      <c r="J2396" t="s">
        <v>43</v>
      </c>
      <c r="K2396" t="s">
        <v>48</v>
      </c>
      <c r="L2396" t="s">
        <v>98</v>
      </c>
      <c r="M2396">
        <v>2</v>
      </c>
    </row>
    <row r="2397" spans="1:13" x14ac:dyDescent="0.25">
      <c r="A2397">
        <v>1042</v>
      </c>
      <c r="B2397" t="s">
        <v>815</v>
      </c>
      <c r="C2397" t="s">
        <v>79</v>
      </c>
      <c r="E2397">
        <v>21627</v>
      </c>
      <c r="F2397">
        <v>26000</v>
      </c>
      <c r="G2397">
        <v>40000</v>
      </c>
      <c r="H2397" t="s">
        <v>53</v>
      </c>
      <c r="I2397" t="s">
        <v>42</v>
      </c>
      <c r="J2397" t="s">
        <v>43</v>
      </c>
      <c r="K2397" t="s">
        <v>44</v>
      </c>
      <c r="L2397" t="s">
        <v>90</v>
      </c>
      <c r="M2397">
        <v>1</v>
      </c>
    </row>
    <row r="2398" spans="1:13" x14ac:dyDescent="0.25">
      <c r="A2398">
        <v>1008</v>
      </c>
      <c r="B2398" t="s">
        <v>1209</v>
      </c>
      <c r="C2398" t="s">
        <v>94</v>
      </c>
      <c r="D2398">
        <v>2018</v>
      </c>
      <c r="E2398">
        <v>15856</v>
      </c>
      <c r="F2398">
        <v>18000</v>
      </c>
      <c r="G2398">
        <v>120000</v>
      </c>
      <c r="H2398" t="s">
        <v>63</v>
      </c>
      <c r="I2398" t="s">
        <v>35</v>
      </c>
      <c r="J2398" t="s">
        <v>96</v>
      </c>
      <c r="K2398" t="s">
        <v>44</v>
      </c>
      <c r="L2398" t="s">
        <v>109</v>
      </c>
      <c r="M2398">
        <v>3</v>
      </c>
    </row>
    <row r="2399" spans="1:13" x14ac:dyDescent="0.25">
      <c r="A2399">
        <v>1496</v>
      </c>
      <c r="B2399" t="s">
        <v>405</v>
      </c>
      <c r="C2399" t="s">
        <v>79</v>
      </c>
      <c r="D2399">
        <v>2017</v>
      </c>
      <c r="E2399">
        <v>28932</v>
      </c>
      <c r="F2399" t="s">
        <v>87</v>
      </c>
      <c r="G2399" t="s">
        <v>108</v>
      </c>
      <c r="H2399" t="s">
        <v>58</v>
      </c>
      <c r="I2399" t="s">
        <v>59</v>
      </c>
      <c r="J2399" t="s">
        <v>96</v>
      </c>
      <c r="K2399" t="s">
        <v>77</v>
      </c>
      <c r="L2399" t="s">
        <v>126</v>
      </c>
      <c r="M2399">
        <v>1</v>
      </c>
    </row>
    <row r="2400" spans="1:13" x14ac:dyDescent="0.25">
      <c r="A2400">
        <v>1183</v>
      </c>
      <c r="B2400" t="s">
        <v>367</v>
      </c>
      <c r="C2400" t="s">
        <v>133</v>
      </c>
      <c r="D2400">
        <v>2014</v>
      </c>
      <c r="E2400">
        <v>4014</v>
      </c>
      <c r="F2400" t="s">
        <v>81</v>
      </c>
      <c r="G2400" t="s">
        <v>33</v>
      </c>
      <c r="H2400" t="s">
        <v>53</v>
      </c>
      <c r="I2400" t="s">
        <v>72</v>
      </c>
      <c r="J2400" t="s">
        <v>66</v>
      </c>
      <c r="K2400" t="s">
        <v>54</v>
      </c>
      <c r="L2400" t="s">
        <v>38</v>
      </c>
    </row>
    <row r="2401" spans="1:13" x14ac:dyDescent="0.25">
      <c r="A2401">
        <v>1581</v>
      </c>
      <c r="B2401" t="s">
        <v>295</v>
      </c>
      <c r="C2401" t="s">
        <v>164</v>
      </c>
      <c r="D2401">
        <v>2016</v>
      </c>
      <c r="E2401">
        <v>20288</v>
      </c>
      <c r="F2401" t="s">
        <v>115</v>
      </c>
      <c r="G2401">
        <v>15000</v>
      </c>
      <c r="I2401" t="s">
        <v>59</v>
      </c>
      <c r="K2401" t="s">
        <v>44</v>
      </c>
      <c r="L2401" t="s">
        <v>38</v>
      </c>
    </row>
    <row r="2402" spans="1:13" x14ac:dyDescent="0.25">
      <c r="A2402">
        <v>1510</v>
      </c>
      <c r="B2402" t="s">
        <v>347</v>
      </c>
      <c r="C2402" t="s">
        <v>68</v>
      </c>
      <c r="D2402">
        <v>2022</v>
      </c>
      <c r="E2402">
        <v>28260</v>
      </c>
      <c r="F2402">
        <v>31000</v>
      </c>
      <c r="G2402" t="s">
        <v>121</v>
      </c>
      <c r="J2402" t="s">
        <v>66</v>
      </c>
      <c r="K2402" t="s">
        <v>54</v>
      </c>
      <c r="L2402" t="s">
        <v>45</v>
      </c>
      <c r="M2402">
        <v>3</v>
      </c>
    </row>
    <row r="2403" spans="1:13" x14ac:dyDescent="0.25">
      <c r="A2403">
        <v>1227</v>
      </c>
      <c r="B2403" t="s">
        <v>843</v>
      </c>
      <c r="C2403" t="s">
        <v>103</v>
      </c>
      <c r="D2403">
        <v>2020</v>
      </c>
      <c r="E2403">
        <v>22472</v>
      </c>
      <c r="F2403">
        <v>26000</v>
      </c>
      <c r="G2403" t="s">
        <v>121</v>
      </c>
      <c r="H2403" t="s">
        <v>69</v>
      </c>
      <c r="I2403" t="s">
        <v>42</v>
      </c>
      <c r="K2403" t="s">
        <v>48</v>
      </c>
      <c r="M2403">
        <v>1</v>
      </c>
    </row>
    <row r="2404" spans="1:13" x14ac:dyDescent="0.25">
      <c r="A2404">
        <v>1342</v>
      </c>
      <c r="B2404" t="s">
        <v>1169</v>
      </c>
      <c r="C2404" t="s">
        <v>79</v>
      </c>
      <c r="D2404">
        <v>2014</v>
      </c>
      <c r="E2404">
        <v>16255</v>
      </c>
      <c r="F2404">
        <v>22000</v>
      </c>
      <c r="G2404">
        <v>40000</v>
      </c>
      <c r="H2404" t="s">
        <v>58</v>
      </c>
      <c r="I2404" t="s">
        <v>59</v>
      </c>
      <c r="J2404" t="s">
        <v>43</v>
      </c>
      <c r="K2404" t="s">
        <v>100</v>
      </c>
      <c r="L2404" t="s">
        <v>38</v>
      </c>
      <c r="M2404">
        <v>1</v>
      </c>
    </row>
    <row r="2405" spans="1:13" x14ac:dyDescent="0.25">
      <c r="A2405">
        <v>1422</v>
      </c>
      <c r="B2405" t="s">
        <v>999</v>
      </c>
      <c r="C2405" t="s">
        <v>61</v>
      </c>
      <c r="D2405">
        <v>2021</v>
      </c>
      <c r="E2405">
        <v>8993</v>
      </c>
      <c r="F2405">
        <v>12000</v>
      </c>
      <c r="G2405">
        <v>60000</v>
      </c>
      <c r="H2405" t="s">
        <v>58</v>
      </c>
      <c r="I2405" t="s">
        <v>59</v>
      </c>
      <c r="J2405" t="s">
        <v>36</v>
      </c>
      <c r="K2405" t="s">
        <v>54</v>
      </c>
      <c r="L2405" t="s">
        <v>55</v>
      </c>
      <c r="M2405">
        <v>1</v>
      </c>
    </row>
    <row r="2406" spans="1:13" x14ac:dyDescent="0.25">
      <c r="A2406">
        <v>1440</v>
      </c>
      <c r="B2406" t="s">
        <v>1241</v>
      </c>
      <c r="C2406" t="s">
        <v>47</v>
      </c>
      <c r="D2406" t="s">
        <v>52</v>
      </c>
      <c r="E2406">
        <v>8774</v>
      </c>
      <c r="F2406" t="s">
        <v>89</v>
      </c>
      <c r="G2406">
        <v>40000</v>
      </c>
      <c r="H2406" t="s">
        <v>69</v>
      </c>
      <c r="J2406" t="s">
        <v>43</v>
      </c>
      <c r="K2406" t="s">
        <v>37</v>
      </c>
      <c r="M2406">
        <v>0</v>
      </c>
    </row>
    <row r="2407" spans="1:13" x14ac:dyDescent="0.25">
      <c r="A2407">
        <v>1395</v>
      </c>
      <c r="B2407" t="s">
        <v>659</v>
      </c>
      <c r="C2407" t="s">
        <v>94</v>
      </c>
      <c r="D2407">
        <v>2022</v>
      </c>
      <c r="E2407">
        <v>20887</v>
      </c>
      <c r="F2407">
        <v>26000</v>
      </c>
      <c r="G2407">
        <v>25000</v>
      </c>
      <c r="J2407" t="s">
        <v>66</v>
      </c>
      <c r="K2407" t="s">
        <v>54</v>
      </c>
      <c r="L2407" t="s">
        <v>45</v>
      </c>
    </row>
    <row r="2408" spans="1:13" x14ac:dyDescent="0.25">
      <c r="A2408">
        <v>1085</v>
      </c>
      <c r="B2408" t="s">
        <v>636</v>
      </c>
      <c r="C2408" t="s">
        <v>65</v>
      </c>
      <c r="D2408">
        <v>2014</v>
      </c>
      <c r="E2408">
        <v>8676</v>
      </c>
      <c r="F2408">
        <v>15000</v>
      </c>
      <c r="G2408">
        <v>120000</v>
      </c>
      <c r="H2408" t="s">
        <v>34</v>
      </c>
      <c r="I2408" t="s">
        <v>35</v>
      </c>
      <c r="J2408" t="s">
        <v>66</v>
      </c>
      <c r="K2408" t="s">
        <v>54</v>
      </c>
      <c r="L2408" t="s">
        <v>45</v>
      </c>
      <c r="M2408">
        <v>0</v>
      </c>
    </row>
    <row r="2409" spans="1:13" x14ac:dyDescent="0.25">
      <c r="A2409">
        <v>1557</v>
      </c>
      <c r="B2409" t="s">
        <v>514</v>
      </c>
      <c r="C2409" t="s">
        <v>119</v>
      </c>
      <c r="D2409" t="s">
        <v>52</v>
      </c>
      <c r="E2409" t="s">
        <v>1618</v>
      </c>
      <c r="F2409">
        <v>15000</v>
      </c>
      <c r="G2409">
        <v>15000</v>
      </c>
      <c r="H2409" t="s">
        <v>69</v>
      </c>
      <c r="I2409" t="s">
        <v>59</v>
      </c>
      <c r="J2409" t="s">
        <v>43</v>
      </c>
      <c r="K2409" t="s">
        <v>37</v>
      </c>
      <c r="L2409" t="s">
        <v>90</v>
      </c>
      <c r="M2409">
        <v>1</v>
      </c>
    </row>
    <row r="2410" spans="1:13" x14ac:dyDescent="0.25">
      <c r="A2410">
        <v>1002</v>
      </c>
      <c r="B2410" t="s">
        <v>1619</v>
      </c>
      <c r="C2410" t="s">
        <v>133</v>
      </c>
      <c r="D2410">
        <v>2021</v>
      </c>
      <c r="E2410" t="s">
        <v>1620</v>
      </c>
      <c r="F2410">
        <v>15000</v>
      </c>
      <c r="G2410" t="s">
        <v>108</v>
      </c>
      <c r="H2410" t="s">
        <v>41</v>
      </c>
      <c r="I2410" t="s">
        <v>35</v>
      </c>
      <c r="J2410" t="s">
        <v>43</v>
      </c>
      <c r="K2410" t="s">
        <v>77</v>
      </c>
      <c r="L2410" t="s">
        <v>49</v>
      </c>
    </row>
    <row r="2411" spans="1:13" x14ac:dyDescent="0.25">
      <c r="A2411">
        <v>1246</v>
      </c>
      <c r="B2411" t="s">
        <v>736</v>
      </c>
      <c r="C2411" t="s">
        <v>79</v>
      </c>
      <c r="D2411">
        <v>2016</v>
      </c>
      <c r="E2411">
        <v>863</v>
      </c>
      <c r="F2411">
        <v>7000</v>
      </c>
      <c r="G2411" t="s">
        <v>76</v>
      </c>
      <c r="H2411" t="s">
        <v>53</v>
      </c>
      <c r="I2411" t="s">
        <v>42</v>
      </c>
      <c r="J2411" t="s">
        <v>43</v>
      </c>
      <c r="K2411" t="s">
        <v>77</v>
      </c>
      <c r="L2411" t="s">
        <v>49</v>
      </c>
      <c r="M2411">
        <v>2</v>
      </c>
    </row>
    <row r="2412" spans="1:13" x14ac:dyDescent="0.25">
      <c r="A2412">
        <v>1046</v>
      </c>
      <c r="B2412" t="s">
        <v>1621</v>
      </c>
      <c r="C2412" t="s">
        <v>40</v>
      </c>
      <c r="E2412" t="s">
        <v>1622</v>
      </c>
      <c r="F2412" t="s">
        <v>204</v>
      </c>
      <c r="G2412">
        <v>15000</v>
      </c>
      <c r="H2412" t="s">
        <v>34</v>
      </c>
      <c r="I2412" t="s">
        <v>59</v>
      </c>
      <c r="J2412" t="s">
        <v>66</v>
      </c>
      <c r="K2412" t="s">
        <v>73</v>
      </c>
      <c r="L2412" t="s">
        <v>49</v>
      </c>
      <c r="M2412">
        <v>1</v>
      </c>
    </row>
    <row r="2413" spans="1:13" x14ac:dyDescent="0.25">
      <c r="A2413">
        <v>1497</v>
      </c>
      <c r="B2413" t="s">
        <v>360</v>
      </c>
      <c r="C2413" t="s">
        <v>79</v>
      </c>
      <c r="E2413">
        <v>5200</v>
      </c>
      <c r="F2413">
        <v>7000</v>
      </c>
      <c r="G2413">
        <v>25000</v>
      </c>
      <c r="H2413" t="s">
        <v>41</v>
      </c>
      <c r="I2413" t="s">
        <v>35</v>
      </c>
      <c r="J2413" t="s">
        <v>36</v>
      </c>
      <c r="K2413" t="s">
        <v>37</v>
      </c>
      <c r="L2413" t="s">
        <v>49</v>
      </c>
      <c r="M2413">
        <v>3</v>
      </c>
    </row>
    <row r="2414" spans="1:13" x14ac:dyDescent="0.25">
      <c r="A2414">
        <v>1542</v>
      </c>
      <c r="B2414" t="s">
        <v>1289</v>
      </c>
      <c r="C2414" t="s">
        <v>94</v>
      </c>
      <c r="D2414">
        <v>2019</v>
      </c>
      <c r="E2414">
        <v>11592</v>
      </c>
      <c r="F2414">
        <v>15000</v>
      </c>
      <c r="G2414">
        <v>25000</v>
      </c>
      <c r="I2414" t="s">
        <v>35</v>
      </c>
      <c r="J2414" t="s">
        <v>96</v>
      </c>
      <c r="K2414" t="s">
        <v>37</v>
      </c>
      <c r="L2414" t="s">
        <v>109</v>
      </c>
      <c r="M2414">
        <v>2</v>
      </c>
    </row>
    <row r="2415" spans="1:13" x14ac:dyDescent="0.25">
      <c r="A2415">
        <v>1476</v>
      </c>
      <c r="B2415" t="s">
        <v>156</v>
      </c>
      <c r="C2415" t="s">
        <v>133</v>
      </c>
      <c r="D2415">
        <v>2018</v>
      </c>
      <c r="E2415">
        <v>24056</v>
      </c>
      <c r="F2415" t="s">
        <v>83</v>
      </c>
      <c r="G2415">
        <v>80000</v>
      </c>
      <c r="I2415" t="s">
        <v>35</v>
      </c>
      <c r="J2415" t="s">
        <v>66</v>
      </c>
      <c r="K2415" t="s">
        <v>116</v>
      </c>
      <c r="L2415" t="s">
        <v>90</v>
      </c>
    </row>
    <row r="2416" spans="1:13" x14ac:dyDescent="0.25">
      <c r="A2416">
        <v>1532</v>
      </c>
      <c r="B2416" t="s">
        <v>1525</v>
      </c>
      <c r="C2416" t="s">
        <v>57</v>
      </c>
      <c r="D2416">
        <v>2014</v>
      </c>
      <c r="E2416" t="s">
        <v>1623</v>
      </c>
      <c r="F2416">
        <v>18000</v>
      </c>
      <c r="G2416">
        <v>15000</v>
      </c>
      <c r="H2416" t="s">
        <v>53</v>
      </c>
      <c r="I2416" t="s">
        <v>72</v>
      </c>
      <c r="K2416" t="s">
        <v>37</v>
      </c>
      <c r="L2416" t="s">
        <v>90</v>
      </c>
      <c r="M2416">
        <v>1</v>
      </c>
    </row>
    <row r="2417" spans="1:13" x14ac:dyDescent="0.25">
      <c r="A2417">
        <v>1025</v>
      </c>
      <c r="B2417" t="s">
        <v>815</v>
      </c>
      <c r="C2417" t="s">
        <v>57</v>
      </c>
      <c r="D2417">
        <v>2015</v>
      </c>
      <c r="E2417">
        <v>19420</v>
      </c>
      <c r="F2417">
        <v>26000</v>
      </c>
      <c r="G2417">
        <v>120000</v>
      </c>
      <c r="H2417" t="s">
        <v>58</v>
      </c>
      <c r="I2417" t="s">
        <v>72</v>
      </c>
      <c r="J2417" t="s">
        <v>36</v>
      </c>
      <c r="L2417" t="s">
        <v>38</v>
      </c>
      <c r="M2417">
        <v>1</v>
      </c>
    </row>
    <row r="2418" spans="1:13" x14ac:dyDescent="0.25">
      <c r="A2418">
        <v>1151</v>
      </c>
      <c r="B2418" t="s">
        <v>141</v>
      </c>
      <c r="C2418" t="s">
        <v>79</v>
      </c>
      <c r="D2418">
        <v>2016</v>
      </c>
      <c r="E2418">
        <v>28688</v>
      </c>
      <c r="F2418" t="s">
        <v>87</v>
      </c>
      <c r="G2418" t="s">
        <v>92</v>
      </c>
      <c r="H2418" t="s">
        <v>53</v>
      </c>
      <c r="I2418" t="s">
        <v>35</v>
      </c>
      <c r="J2418" t="s">
        <v>36</v>
      </c>
      <c r="K2418" t="s">
        <v>48</v>
      </c>
      <c r="L2418" t="s">
        <v>55</v>
      </c>
    </row>
    <row r="2419" spans="1:13" x14ac:dyDescent="0.25">
      <c r="A2419">
        <v>1395</v>
      </c>
      <c r="B2419" t="s">
        <v>614</v>
      </c>
      <c r="C2419" t="s">
        <v>79</v>
      </c>
      <c r="D2419">
        <v>2018</v>
      </c>
      <c r="E2419">
        <v>9238</v>
      </c>
      <c r="F2419" t="s">
        <v>204</v>
      </c>
      <c r="G2419">
        <v>80000</v>
      </c>
      <c r="H2419" t="s">
        <v>84</v>
      </c>
      <c r="I2419" t="s">
        <v>59</v>
      </c>
      <c r="J2419" t="s">
        <v>43</v>
      </c>
      <c r="L2419" t="s">
        <v>49</v>
      </c>
      <c r="M2419">
        <v>0</v>
      </c>
    </row>
    <row r="2420" spans="1:13" x14ac:dyDescent="0.25">
      <c r="A2420">
        <v>1183</v>
      </c>
      <c r="B2420" t="s">
        <v>914</v>
      </c>
      <c r="C2420" t="s">
        <v>103</v>
      </c>
      <c r="D2420">
        <v>2021</v>
      </c>
      <c r="E2420">
        <v>23889</v>
      </c>
      <c r="F2420">
        <v>26000</v>
      </c>
      <c r="G2420">
        <v>120000</v>
      </c>
      <c r="H2420" t="s">
        <v>69</v>
      </c>
      <c r="I2420" t="s">
        <v>42</v>
      </c>
      <c r="J2420" t="s">
        <v>43</v>
      </c>
      <c r="K2420" t="s">
        <v>116</v>
      </c>
      <c r="L2420" t="s">
        <v>38</v>
      </c>
      <c r="M2420">
        <v>0</v>
      </c>
    </row>
    <row r="2421" spans="1:13" x14ac:dyDescent="0.25">
      <c r="A2421">
        <v>1085</v>
      </c>
      <c r="B2421" t="s">
        <v>1423</v>
      </c>
      <c r="C2421" t="s">
        <v>57</v>
      </c>
      <c r="D2421">
        <v>2016</v>
      </c>
      <c r="E2421">
        <v>1303</v>
      </c>
      <c r="F2421">
        <v>7000</v>
      </c>
      <c r="G2421">
        <v>80000</v>
      </c>
      <c r="H2421" t="s">
        <v>53</v>
      </c>
      <c r="I2421" t="s">
        <v>35</v>
      </c>
      <c r="J2421" t="s">
        <v>96</v>
      </c>
      <c r="K2421" t="s">
        <v>73</v>
      </c>
      <c r="L2421" t="s">
        <v>109</v>
      </c>
      <c r="M2421">
        <v>1</v>
      </c>
    </row>
    <row r="2422" spans="1:13" x14ac:dyDescent="0.25">
      <c r="A2422">
        <v>1028</v>
      </c>
      <c r="B2422" t="s">
        <v>842</v>
      </c>
      <c r="C2422" t="s">
        <v>75</v>
      </c>
      <c r="E2422">
        <v>16504</v>
      </c>
      <c r="F2422">
        <v>18000</v>
      </c>
      <c r="G2422" t="s">
        <v>76</v>
      </c>
      <c r="H2422" t="s">
        <v>69</v>
      </c>
      <c r="J2422" t="s">
        <v>96</v>
      </c>
      <c r="K2422" t="s">
        <v>100</v>
      </c>
      <c r="M2422">
        <v>2</v>
      </c>
    </row>
    <row r="2423" spans="1:13" x14ac:dyDescent="0.25">
      <c r="A2423">
        <v>1516</v>
      </c>
      <c r="B2423" t="s">
        <v>1177</v>
      </c>
      <c r="C2423" t="s">
        <v>103</v>
      </c>
      <c r="D2423">
        <v>2021</v>
      </c>
      <c r="E2423">
        <v>28094</v>
      </c>
      <c r="F2423">
        <v>31000</v>
      </c>
      <c r="G2423">
        <v>15000</v>
      </c>
      <c r="H2423" t="s">
        <v>41</v>
      </c>
      <c r="J2423" t="s">
        <v>66</v>
      </c>
      <c r="K2423" t="s">
        <v>73</v>
      </c>
      <c r="L2423" t="s">
        <v>55</v>
      </c>
      <c r="M2423">
        <v>3</v>
      </c>
    </row>
    <row r="2424" spans="1:13" x14ac:dyDescent="0.25">
      <c r="A2424">
        <v>1237</v>
      </c>
      <c r="B2424" t="s">
        <v>1024</v>
      </c>
      <c r="C2424" t="s">
        <v>65</v>
      </c>
      <c r="D2424" t="s">
        <v>52</v>
      </c>
      <c r="E2424">
        <v>14217</v>
      </c>
      <c r="F2424">
        <v>18000</v>
      </c>
      <c r="G2424" t="s">
        <v>76</v>
      </c>
      <c r="I2424" t="s">
        <v>42</v>
      </c>
      <c r="J2424" t="s">
        <v>43</v>
      </c>
      <c r="K2424" t="s">
        <v>100</v>
      </c>
      <c r="L2424" t="s">
        <v>55</v>
      </c>
    </row>
    <row r="2425" spans="1:13" x14ac:dyDescent="0.25">
      <c r="A2425">
        <v>1026</v>
      </c>
      <c r="B2425" t="s">
        <v>822</v>
      </c>
      <c r="C2425" t="s">
        <v>138</v>
      </c>
      <c r="D2425">
        <v>2017</v>
      </c>
      <c r="E2425" t="s">
        <v>1624</v>
      </c>
      <c r="F2425">
        <v>12000</v>
      </c>
      <c r="G2425">
        <v>80000</v>
      </c>
      <c r="H2425" t="s">
        <v>58</v>
      </c>
      <c r="I2425" t="s">
        <v>35</v>
      </c>
      <c r="J2425" t="s">
        <v>96</v>
      </c>
      <c r="K2425" t="s">
        <v>37</v>
      </c>
      <c r="L2425" t="s">
        <v>49</v>
      </c>
      <c r="M2425">
        <v>1</v>
      </c>
    </row>
    <row r="2426" spans="1:13" x14ac:dyDescent="0.25">
      <c r="A2426">
        <v>1392</v>
      </c>
      <c r="B2426" t="s">
        <v>1625</v>
      </c>
      <c r="C2426" t="s">
        <v>75</v>
      </c>
      <c r="D2426">
        <v>2017</v>
      </c>
      <c r="E2426">
        <v>13501</v>
      </c>
      <c r="F2426" t="s">
        <v>129</v>
      </c>
      <c r="G2426">
        <v>15000</v>
      </c>
      <c r="H2426" t="s">
        <v>41</v>
      </c>
      <c r="I2426" t="s">
        <v>72</v>
      </c>
      <c r="J2426" t="s">
        <v>36</v>
      </c>
      <c r="K2426" t="s">
        <v>100</v>
      </c>
      <c r="L2426" t="s">
        <v>45</v>
      </c>
      <c r="M2426">
        <v>0</v>
      </c>
    </row>
    <row r="2427" spans="1:13" x14ac:dyDescent="0.25">
      <c r="A2427">
        <v>1279</v>
      </c>
      <c r="B2427" t="s">
        <v>985</v>
      </c>
      <c r="C2427" t="s">
        <v>94</v>
      </c>
      <c r="D2427">
        <v>2019</v>
      </c>
      <c r="E2427">
        <v>2476</v>
      </c>
      <c r="F2427">
        <v>9000</v>
      </c>
      <c r="G2427" t="s">
        <v>76</v>
      </c>
      <c r="H2427" t="s">
        <v>84</v>
      </c>
      <c r="I2427" t="s">
        <v>59</v>
      </c>
      <c r="J2427" t="s">
        <v>36</v>
      </c>
      <c r="K2427" t="s">
        <v>48</v>
      </c>
      <c r="L2427" t="s">
        <v>45</v>
      </c>
    </row>
    <row r="2428" spans="1:13" x14ac:dyDescent="0.25">
      <c r="A2428">
        <v>1199</v>
      </c>
      <c r="B2428" t="s">
        <v>951</v>
      </c>
      <c r="C2428" t="s">
        <v>79</v>
      </c>
      <c r="D2428">
        <v>2021</v>
      </c>
      <c r="E2428">
        <v>20445</v>
      </c>
      <c r="F2428" t="s">
        <v>83</v>
      </c>
      <c r="G2428">
        <v>80000</v>
      </c>
      <c r="H2428" t="s">
        <v>69</v>
      </c>
      <c r="I2428" t="s">
        <v>35</v>
      </c>
      <c r="J2428" t="s">
        <v>43</v>
      </c>
      <c r="K2428" t="s">
        <v>73</v>
      </c>
      <c r="L2428" t="s">
        <v>45</v>
      </c>
      <c r="M2428">
        <v>2</v>
      </c>
    </row>
    <row r="2429" spans="1:13" x14ac:dyDescent="0.25">
      <c r="A2429">
        <v>1102</v>
      </c>
      <c r="B2429" t="s">
        <v>1626</v>
      </c>
      <c r="C2429" t="s">
        <v>75</v>
      </c>
      <c r="D2429">
        <v>2017</v>
      </c>
      <c r="E2429">
        <v>7489</v>
      </c>
      <c r="F2429">
        <v>9000</v>
      </c>
      <c r="G2429">
        <v>80000</v>
      </c>
      <c r="H2429" t="s">
        <v>63</v>
      </c>
      <c r="I2429" t="s">
        <v>59</v>
      </c>
      <c r="J2429" t="s">
        <v>43</v>
      </c>
      <c r="K2429" t="s">
        <v>48</v>
      </c>
      <c r="L2429" t="s">
        <v>55</v>
      </c>
      <c r="M2429">
        <v>3</v>
      </c>
    </row>
    <row r="2430" spans="1:13" x14ac:dyDescent="0.25">
      <c r="A2430">
        <v>1408</v>
      </c>
      <c r="B2430" t="s">
        <v>822</v>
      </c>
      <c r="C2430" t="s">
        <v>103</v>
      </c>
      <c r="D2430">
        <v>2015</v>
      </c>
      <c r="E2430">
        <v>18805</v>
      </c>
      <c r="F2430" t="s">
        <v>115</v>
      </c>
      <c r="G2430" t="s">
        <v>33</v>
      </c>
      <c r="H2430" t="s">
        <v>58</v>
      </c>
      <c r="I2430" t="s">
        <v>35</v>
      </c>
      <c r="J2430" t="s">
        <v>43</v>
      </c>
      <c r="K2430" t="s">
        <v>48</v>
      </c>
      <c r="L2430" t="s">
        <v>45</v>
      </c>
      <c r="M2430">
        <v>2</v>
      </c>
    </row>
    <row r="2431" spans="1:13" x14ac:dyDescent="0.25">
      <c r="A2431">
        <v>1210</v>
      </c>
      <c r="B2431" t="s">
        <v>1448</v>
      </c>
      <c r="C2431" t="s">
        <v>75</v>
      </c>
      <c r="D2431">
        <v>2021</v>
      </c>
      <c r="E2431">
        <v>28944</v>
      </c>
      <c r="F2431">
        <v>31000</v>
      </c>
      <c r="G2431">
        <v>15000</v>
      </c>
      <c r="H2431" t="s">
        <v>53</v>
      </c>
      <c r="I2431" t="s">
        <v>72</v>
      </c>
      <c r="J2431" t="s">
        <v>43</v>
      </c>
      <c r="L2431" t="s">
        <v>90</v>
      </c>
      <c r="M2431">
        <v>3</v>
      </c>
    </row>
    <row r="2432" spans="1:13" x14ac:dyDescent="0.25">
      <c r="A2432">
        <v>1060</v>
      </c>
      <c r="B2432" t="s">
        <v>696</v>
      </c>
      <c r="C2432" t="s">
        <v>138</v>
      </c>
      <c r="D2432" t="s">
        <v>52</v>
      </c>
      <c r="E2432">
        <v>9447</v>
      </c>
      <c r="F2432">
        <v>12000</v>
      </c>
      <c r="G2432">
        <v>40000</v>
      </c>
      <c r="H2432" t="s">
        <v>58</v>
      </c>
      <c r="J2432" t="s">
        <v>96</v>
      </c>
      <c r="M2432">
        <v>3</v>
      </c>
    </row>
    <row r="2433" spans="1:13" x14ac:dyDescent="0.25">
      <c r="A2433">
        <v>1194</v>
      </c>
      <c r="B2433" t="s">
        <v>681</v>
      </c>
      <c r="C2433" t="s">
        <v>119</v>
      </c>
      <c r="D2433">
        <v>2019</v>
      </c>
      <c r="E2433">
        <v>26244</v>
      </c>
      <c r="F2433">
        <v>31000</v>
      </c>
      <c r="G2433">
        <v>25000</v>
      </c>
      <c r="H2433" t="s">
        <v>41</v>
      </c>
      <c r="I2433" t="s">
        <v>42</v>
      </c>
      <c r="J2433" t="s">
        <v>96</v>
      </c>
      <c r="K2433" t="s">
        <v>73</v>
      </c>
      <c r="L2433" t="s">
        <v>38</v>
      </c>
    </row>
    <row r="2434" spans="1:13" x14ac:dyDescent="0.25">
      <c r="A2434">
        <v>1315</v>
      </c>
      <c r="B2434" t="s">
        <v>845</v>
      </c>
      <c r="C2434" t="s">
        <v>94</v>
      </c>
      <c r="D2434" t="s">
        <v>52</v>
      </c>
      <c r="E2434">
        <v>19152</v>
      </c>
      <c r="F2434">
        <v>26000</v>
      </c>
      <c r="G2434">
        <v>25000</v>
      </c>
      <c r="H2434" t="s">
        <v>58</v>
      </c>
      <c r="I2434" t="s">
        <v>59</v>
      </c>
      <c r="J2434" t="s">
        <v>66</v>
      </c>
      <c r="L2434" t="s">
        <v>38</v>
      </c>
      <c r="M2434">
        <v>2</v>
      </c>
    </row>
    <row r="2435" spans="1:13" x14ac:dyDescent="0.25">
      <c r="A2435">
        <v>1079</v>
      </c>
      <c r="B2435" t="s">
        <v>1627</v>
      </c>
      <c r="C2435" t="s">
        <v>94</v>
      </c>
      <c r="D2435" t="s">
        <v>52</v>
      </c>
      <c r="E2435">
        <v>15183</v>
      </c>
      <c r="F2435">
        <v>22000</v>
      </c>
      <c r="G2435">
        <v>25000</v>
      </c>
      <c r="H2435" t="s">
        <v>34</v>
      </c>
      <c r="I2435" t="s">
        <v>42</v>
      </c>
      <c r="J2435" t="s">
        <v>66</v>
      </c>
      <c r="K2435" t="s">
        <v>116</v>
      </c>
      <c r="L2435" t="s">
        <v>38</v>
      </c>
      <c r="M2435">
        <v>2</v>
      </c>
    </row>
    <row r="2436" spans="1:13" x14ac:dyDescent="0.25">
      <c r="A2436">
        <v>1057</v>
      </c>
      <c r="B2436" t="s">
        <v>95</v>
      </c>
      <c r="C2436" t="s">
        <v>119</v>
      </c>
      <c r="D2436">
        <v>2017</v>
      </c>
      <c r="E2436">
        <v>13802</v>
      </c>
      <c r="F2436">
        <v>18000</v>
      </c>
      <c r="G2436" t="s">
        <v>76</v>
      </c>
      <c r="H2436" t="s">
        <v>69</v>
      </c>
      <c r="I2436" t="s">
        <v>35</v>
      </c>
      <c r="J2436" t="s">
        <v>36</v>
      </c>
      <c r="K2436" t="s">
        <v>54</v>
      </c>
      <c r="L2436" t="s">
        <v>90</v>
      </c>
      <c r="M2436">
        <v>0</v>
      </c>
    </row>
    <row r="2437" spans="1:13" x14ac:dyDescent="0.25">
      <c r="A2437">
        <v>1181</v>
      </c>
      <c r="B2437" t="s">
        <v>1020</v>
      </c>
      <c r="C2437" t="s">
        <v>79</v>
      </c>
      <c r="D2437">
        <v>2020</v>
      </c>
      <c r="E2437">
        <v>8356</v>
      </c>
      <c r="F2437">
        <v>15000</v>
      </c>
      <c r="G2437">
        <v>40000</v>
      </c>
      <c r="H2437" t="s">
        <v>34</v>
      </c>
      <c r="I2437" t="s">
        <v>42</v>
      </c>
      <c r="J2437" t="s">
        <v>66</v>
      </c>
      <c r="K2437" t="s">
        <v>77</v>
      </c>
      <c r="L2437" t="s">
        <v>109</v>
      </c>
      <c r="M2437">
        <v>3</v>
      </c>
    </row>
    <row r="2438" spans="1:13" x14ac:dyDescent="0.25">
      <c r="A2438">
        <v>1120</v>
      </c>
      <c r="B2438" t="s">
        <v>1528</v>
      </c>
      <c r="C2438" t="s">
        <v>68</v>
      </c>
      <c r="D2438">
        <v>2018</v>
      </c>
      <c r="E2438">
        <v>14020</v>
      </c>
      <c r="F2438">
        <v>18000</v>
      </c>
      <c r="G2438">
        <v>40000</v>
      </c>
      <c r="H2438" t="s">
        <v>53</v>
      </c>
      <c r="I2438" t="s">
        <v>72</v>
      </c>
      <c r="J2438" t="s">
        <v>96</v>
      </c>
      <c r="K2438" t="s">
        <v>100</v>
      </c>
      <c r="L2438" t="s">
        <v>49</v>
      </c>
      <c r="M2438">
        <v>0</v>
      </c>
    </row>
    <row r="2439" spans="1:13" x14ac:dyDescent="0.25">
      <c r="A2439">
        <v>1300</v>
      </c>
      <c r="B2439" t="s">
        <v>868</v>
      </c>
      <c r="C2439" t="s">
        <v>32</v>
      </c>
      <c r="D2439">
        <v>2021</v>
      </c>
      <c r="E2439">
        <v>16283</v>
      </c>
      <c r="F2439">
        <v>22000</v>
      </c>
      <c r="G2439">
        <v>40000</v>
      </c>
      <c r="H2439" t="s">
        <v>58</v>
      </c>
      <c r="I2439" t="s">
        <v>35</v>
      </c>
      <c r="L2439" t="s">
        <v>45</v>
      </c>
      <c r="M2439">
        <v>1</v>
      </c>
    </row>
    <row r="2440" spans="1:13" x14ac:dyDescent="0.25">
      <c r="A2440">
        <v>1076</v>
      </c>
      <c r="B2440" t="s">
        <v>1182</v>
      </c>
      <c r="C2440" t="s">
        <v>51</v>
      </c>
      <c r="D2440">
        <v>2020</v>
      </c>
      <c r="E2440" t="s">
        <v>1628</v>
      </c>
      <c r="F2440" t="s">
        <v>89</v>
      </c>
      <c r="G2440">
        <v>80000</v>
      </c>
      <c r="H2440" t="s">
        <v>34</v>
      </c>
      <c r="I2440" t="s">
        <v>72</v>
      </c>
      <c r="J2440" t="s">
        <v>43</v>
      </c>
      <c r="K2440" t="s">
        <v>100</v>
      </c>
      <c r="L2440" t="s">
        <v>45</v>
      </c>
      <c r="M2440">
        <v>3</v>
      </c>
    </row>
    <row r="2441" spans="1:13" x14ac:dyDescent="0.25">
      <c r="A2441">
        <v>1209</v>
      </c>
      <c r="B2441" t="s">
        <v>1629</v>
      </c>
      <c r="C2441" t="s">
        <v>51</v>
      </c>
      <c r="D2441">
        <v>2016</v>
      </c>
      <c r="E2441">
        <v>27926</v>
      </c>
      <c r="F2441">
        <v>31000</v>
      </c>
      <c r="G2441">
        <v>25000</v>
      </c>
      <c r="I2441" t="s">
        <v>72</v>
      </c>
      <c r="K2441" t="s">
        <v>37</v>
      </c>
      <c r="L2441" t="s">
        <v>109</v>
      </c>
      <c r="M2441">
        <v>1</v>
      </c>
    </row>
    <row r="2442" spans="1:13" x14ac:dyDescent="0.25">
      <c r="A2442">
        <v>1377</v>
      </c>
      <c r="B2442" t="s">
        <v>1317</v>
      </c>
      <c r="C2442" t="s">
        <v>40</v>
      </c>
      <c r="D2442">
        <v>2014</v>
      </c>
      <c r="E2442">
        <v>29024</v>
      </c>
      <c r="F2442">
        <v>31000</v>
      </c>
      <c r="G2442">
        <v>40000</v>
      </c>
      <c r="H2442" t="s">
        <v>53</v>
      </c>
      <c r="I2442" t="s">
        <v>72</v>
      </c>
      <c r="J2442" t="s">
        <v>43</v>
      </c>
      <c r="K2442" t="s">
        <v>100</v>
      </c>
      <c r="L2442" t="s">
        <v>38</v>
      </c>
      <c r="M2442">
        <v>0</v>
      </c>
    </row>
    <row r="2443" spans="1:13" x14ac:dyDescent="0.25">
      <c r="A2443">
        <v>1078</v>
      </c>
      <c r="B2443" t="s">
        <v>959</v>
      </c>
      <c r="C2443" t="s">
        <v>61</v>
      </c>
      <c r="D2443">
        <v>2021</v>
      </c>
      <c r="E2443" t="s">
        <v>1630</v>
      </c>
      <c r="F2443">
        <v>12000</v>
      </c>
      <c r="G2443" t="s">
        <v>130</v>
      </c>
      <c r="H2443" t="s">
        <v>34</v>
      </c>
      <c r="I2443" t="s">
        <v>72</v>
      </c>
      <c r="J2443" t="s">
        <v>66</v>
      </c>
      <c r="K2443" t="s">
        <v>116</v>
      </c>
      <c r="M2443">
        <v>3</v>
      </c>
    </row>
    <row r="2444" spans="1:13" x14ac:dyDescent="0.25">
      <c r="A2444">
        <v>1275</v>
      </c>
      <c r="B2444" t="s">
        <v>1221</v>
      </c>
      <c r="C2444" t="s">
        <v>57</v>
      </c>
      <c r="D2444">
        <v>2018</v>
      </c>
      <c r="E2444">
        <v>13612</v>
      </c>
      <c r="F2444" t="s">
        <v>89</v>
      </c>
      <c r="G2444">
        <v>120000</v>
      </c>
      <c r="H2444" t="s">
        <v>34</v>
      </c>
      <c r="I2444" t="s">
        <v>35</v>
      </c>
      <c r="J2444" t="s">
        <v>36</v>
      </c>
      <c r="K2444" t="s">
        <v>48</v>
      </c>
      <c r="L2444" t="s">
        <v>98</v>
      </c>
      <c r="M2444">
        <v>1</v>
      </c>
    </row>
    <row r="2445" spans="1:13" x14ac:dyDescent="0.25">
      <c r="A2445">
        <v>1502</v>
      </c>
      <c r="B2445" t="s">
        <v>457</v>
      </c>
      <c r="C2445" t="s">
        <v>138</v>
      </c>
      <c r="D2445">
        <v>2018</v>
      </c>
      <c r="E2445">
        <v>7477</v>
      </c>
      <c r="F2445">
        <v>9000</v>
      </c>
      <c r="G2445" t="s">
        <v>33</v>
      </c>
      <c r="H2445" t="s">
        <v>63</v>
      </c>
      <c r="I2445" t="s">
        <v>35</v>
      </c>
      <c r="J2445" t="s">
        <v>43</v>
      </c>
      <c r="K2445" t="s">
        <v>37</v>
      </c>
      <c r="L2445" t="s">
        <v>45</v>
      </c>
      <c r="M2445">
        <v>3</v>
      </c>
    </row>
    <row r="2446" spans="1:13" x14ac:dyDescent="0.25">
      <c r="A2446">
        <v>1326</v>
      </c>
      <c r="B2446" t="s">
        <v>1631</v>
      </c>
      <c r="C2446" t="s">
        <v>75</v>
      </c>
      <c r="D2446">
        <v>2019</v>
      </c>
      <c r="E2446" t="s">
        <v>1632</v>
      </c>
      <c r="F2446">
        <v>7000</v>
      </c>
      <c r="G2446" t="s">
        <v>76</v>
      </c>
      <c r="H2446" t="s">
        <v>34</v>
      </c>
      <c r="I2446" t="s">
        <v>35</v>
      </c>
      <c r="J2446" t="s">
        <v>36</v>
      </c>
      <c r="K2446" t="s">
        <v>54</v>
      </c>
      <c r="L2446" t="s">
        <v>126</v>
      </c>
      <c r="M2446">
        <v>1</v>
      </c>
    </row>
    <row r="2447" spans="1:13" x14ac:dyDescent="0.25">
      <c r="A2447">
        <v>1115</v>
      </c>
      <c r="B2447" t="s">
        <v>1633</v>
      </c>
      <c r="C2447" t="s">
        <v>133</v>
      </c>
      <c r="D2447">
        <v>2016</v>
      </c>
      <c r="E2447">
        <v>23142</v>
      </c>
      <c r="F2447" t="s">
        <v>83</v>
      </c>
      <c r="G2447">
        <v>80000</v>
      </c>
      <c r="H2447" t="s">
        <v>84</v>
      </c>
      <c r="I2447" t="s">
        <v>72</v>
      </c>
      <c r="L2447" t="s">
        <v>45</v>
      </c>
      <c r="M2447">
        <v>1</v>
      </c>
    </row>
    <row r="2448" spans="1:13" x14ac:dyDescent="0.25">
      <c r="A2448">
        <v>1463</v>
      </c>
      <c r="B2448" t="s">
        <v>1634</v>
      </c>
      <c r="C2448" t="s">
        <v>79</v>
      </c>
      <c r="D2448">
        <v>2014</v>
      </c>
      <c r="E2448">
        <v>26764</v>
      </c>
      <c r="F2448">
        <v>31000</v>
      </c>
      <c r="G2448" t="s">
        <v>121</v>
      </c>
      <c r="H2448" t="s">
        <v>41</v>
      </c>
      <c r="I2448" t="s">
        <v>35</v>
      </c>
      <c r="J2448" t="s">
        <v>96</v>
      </c>
      <c r="K2448" t="s">
        <v>37</v>
      </c>
      <c r="L2448" t="s">
        <v>45</v>
      </c>
      <c r="M2448">
        <v>2</v>
      </c>
    </row>
    <row r="2449" spans="1:13" x14ac:dyDescent="0.25">
      <c r="A2449">
        <v>1228</v>
      </c>
      <c r="B2449" t="s">
        <v>1635</v>
      </c>
      <c r="C2449" t="s">
        <v>164</v>
      </c>
      <c r="D2449">
        <v>2018</v>
      </c>
      <c r="E2449">
        <v>19744</v>
      </c>
      <c r="F2449">
        <v>26000</v>
      </c>
      <c r="G2449">
        <v>15000</v>
      </c>
      <c r="H2449" t="s">
        <v>34</v>
      </c>
      <c r="I2449" t="s">
        <v>35</v>
      </c>
      <c r="J2449" t="s">
        <v>96</v>
      </c>
      <c r="K2449" t="s">
        <v>44</v>
      </c>
      <c r="L2449" t="s">
        <v>90</v>
      </c>
    </row>
    <row r="2450" spans="1:13" x14ac:dyDescent="0.25">
      <c r="A2450">
        <v>1447</v>
      </c>
      <c r="B2450" t="s">
        <v>1268</v>
      </c>
      <c r="C2450" t="s">
        <v>61</v>
      </c>
      <c r="E2450">
        <v>14349</v>
      </c>
      <c r="F2450">
        <v>18000</v>
      </c>
      <c r="G2450">
        <v>60000</v>
      </c>
      <c r="H2450" t="s">
        <v>58</v>
      </c>
      <c r="J2450" t="s">
        <v>66</v>
      </c>
      <c r="K2450" t="s">
        <v>73</v>
      </c>
      <c r="L2450" t="s">
        <v>109</v>
      </c>
      <c r="M2450">
        <v>2</v>
      </c>
    </row>
    <row r="2451" spans="1:13" x14ac:dyDescent="0.25">
      <c r="A2451">
        <v>1213</v>
      </c>
      <c r="B2451" t="s">
        <v>881</v>
      </c>
      <c r="C2451" t="s">
        <v>133</v>
      </c>
      <c r="D2451">
        <v>2021</v>
      </c>
      <c r="E2451">
        <v>25079</v>
      </c>
      <c r="F2451">
        <v>31000</v>
      </c>
      <c r="G2451">
        <v>120000</v>
      </c>
      <c r="H2451" t="s">
        <v>84</v>
      </c>
      <c r="I2451" t="s">
        <v>35</v>
      </c>
      <c r="J2451" t="s">
        <v>96</v>
      </c>
      <c r="K2451" t="s">
        <v>77</v>
      </c>
      <c r="L2451" t="s">
        <v>45</v>
      </c>
    </row>
    <row r="2452" spans="1:13" x14ac:dyDescent="0.25">
      <c r="A2452">
        <v>1057</v>
      </c>
      <c r="B2452" t="s">
        <v>91</v>
      </c>
      <c r="C2452" t="s">
        <v>32</v>
      </c>
      <c r="D2452">
        <v>2019</v>
      </c>
      <c r="E2452">
        <v>4117</v>
      </c>
      <c r="F2452">
        <v>7000</v>
      </c>
      <c r="G2452">
        <v>40000</v>
      </c>
      <c r="H2452" t="s">
        <v>41</v>
      </c>
      <c r="I2452" t="s">
        <v>42</v>
      </c>
      <c r="K2452" t="s">
        <v>44</v>
      </c>
      <c r="M2452">
        <v>3</v>
      </c>
    </row>
    <row r="2453" spans="1:13" x14ac:dyDescent="0.25">
      <c r="A2453">
        <v>1365</v>
      </c>
      <c r="B2453" t="s">
        <v>1636</v>
      </c>
      <c r="C2453" t="s">
        <v>94</v>
      </c>
      <c r="D2453">
        <v>2020</v>
      </c>
      <c r="E2453">
        <v>2567</v>
      </c>
      <c r="F2453">
        <v>7000</v>
      </c>
      <c r="G2453">
        <v>80000</v>
      </c>
      <c r="H2453" t="s">
        <v>41</v>
      </c>
      <c r="I2453" t="s">
        <v>59</v>
      </c>
      <c r="J2453" t="s">
        <v>96</v>
      </c>
      <c r="K2453" t="s">
        <v>37</v>
      </c>
      <c r="L2453" t="s">
        <v>90</v>
      </c>
      <c r="M2453">
        <v>0</v>
      </c>
    </row>
    <row r="2454" spans="1:13" x14ac:dyDescent="0.25">
      <c r="A2454">
        <v>1140</v>
      </c>
      <c r="B2454" t="s">
        <v>1365</v>
      </c>
      <c r="C2454" t="s">
        <v>68</v>
      </c>
      <c r="D2454">
        <v>2015</v>
      </c>
      <c r="E2454">
        <v>13810</v>
      </c>
      <c r="F2454">
        <v>18000</v>
      </c>
      <c r="G2454">
        <v>25000</v>
      </c>
      <c r="H2454" t="s">
        <v>84</v>
      </c>
      <c r="J2454" t="s">
        <v>36</v>
      </c>
      <c r="K2454" t="s">
        <v>100</v>
      </c>
      <c r="L2454" t="s">
        <v>45</v>
      </c>
      <c r="M2454">
        <v>2</v>
      </c>
    </row>
    <row r="2455" spans="1:13" x14ac:dyDescent="0.25">
      <c r="A2455">
        <v>1329</v>
      </c>
      <c r="B2455" t="s">
        <v>250</v>
      </c>
      <c r="C2455" t="s">
        <v>51</v>
      </c>
      <c r="D2455">
        <v>2014</v>
      </c>
      <c r="E2455">
        <v>15813</v>
      </c>
      <c r="F2455">
        <v>22000</v>
      </c>
      <c r="G2455" t="s">
        <v>121</v>
      </c>
      <c r="H2455" t="s">
        <v>69</v>
      </c>
      <c r="I2455" t="s">
        <v>42</v>
      </c>
      <c r="J2455" t="s">
        <v>43</v>
      </c>
      <c r="K2455" t="s">
        <v>116</v>
      </c>
      <c r="L2455" t="s">
        <v>109</v>
      </c>
      <c r="M2455">
        <v>0</v>
      </c>
    </row>
    <row r="2456" spans="1:13" x14ac:dyDescent="0.25">
      <c r="A2456">
        <v>1497</v>
      </c>
      <c r="B2456" t="s">
        <v>904</v>
      </c>
      <c r="C2456" t="s">
        <v>138</v>
      </c>
      <c r="D2456">
        <v>2020</v>
      </c>
      <c r="E2456">
        <v>17242</v>
      </c>
      <c r="F2456">
        <v>22000</v>
      </c>
      <c r="G2456">
        <v>40000</v>
      </c>
      <c r="H2456" t="s">
        <v>63</v>
      </c>
      <c r="I2456" t="s">
        <v>42</v>
      </c>
      <c r="J2456" t="s">
        <v>96</v>
      </c>
      <c r="K2456" t="s">
        <v>37</v>
      </c>
      <c r="L2456" t="s">
        <v>90</v>
      </c>
      <c r="M2456">
        <v>1</v>
      </c>
    </row>
    <row r="2457" spans="1:13" x14ac:dyDescent="0.25">
      <c r="A2457">
        <v>1084</v>
      </c>
      <c r="B2457" t="s">
        <v>155</v>
      </c>
      <c r="C2457" t="s">
        <v>61</v>
      </c>
      <c r="D2457">
        <v>2022</v>
      </c>
      <c r="E2457">
        <v>13249</v>
      </c>
      <c r="F2457">
        <v>18000</v>
      </c>
      <c r="G2457">
        <v>60000</v>
      </c>
      <c r="H2457" t="s">
        <v>58</v>
      </c>
      <c r="I2457" t="s">
        <v>59</v>
      </c>
      <c r="K2457" t="s">
        <v>100</v>
      </c>
      <c r="L2457" t="s">
        <v>45</v>
      </c>
    </row>
    <row r="2458" spans="1:13" x14ac:dyDescent="0.25">
      <c r="A2458">
        <v>1508</v>
      </c>
      <c r="B2458" t="s">
        <v>1611</v>
      </c>
      <c r="C2458" t="s">
        <v>103</v>
      </c>
      <c r="D2458">
        <v>2019</v>
      </c>
      <c r="E2458">
        <v>5887</v>
      </c>
      <c r="F2458">
        <v>12000</v>
      </c>
      <c r="G2458">
        <v>25000</v>
      </c>
      <c r="H2458" t="s">
        <v>41</v>
      </c>
      <c r="I2458" t="s">
        <v>42</v>
      </c>
      <c r="J2458" t="s">
        <v>36</v>
      </c>
      <c r="K2458" t="s">
        <v>77</v>
      </c>
      <c r="M2458">
        <v>2</v>
      </c>
    </row>
    <row r="2459" spans="1:13" x14ac:dyDescent="0.25">
      <c r="A2459">
        <v>1268</v>
      </c>
      <c r="B2459" t="s">
        <v>1327</v>
      </c>
      <c r="C2459" t="s">
        <v>65</v>
      </c>
      <c r="D2459">
        <v>2014</v>
      </c>
      <c r="E2459">
        <v>29518</v>
      </c>
      <c r="F2459">
        <v>31000</v>
      </c>
      <c r="G2459">
        <v>15000</v>
      </c>
      <c r="H2459" t="s">
        <v>58</v>
      </c>
      <c r="I2459" t="s">
        <v>72</v>
      </c>
      <c r="J2459" t="s">
        <v>66</v>
      </c>
      <c r="K2459" t="s">
        <v>48</v>
      </c>
      <c r="L2459" t="s">
        <v>109</v>
      </c>
      <c r="M2459">
        <v>3</v>
      </c>
    </row>
    <row r="2460" spans="1:13" x14ac:dyDescent="0.25">
      <c r="A2460">
        <v>1493</v>
      </c>
      <c r="B2460" t="s">
        <v>650</v>
      </c>
      <c r="C2460" t="s">
        <v>61</v>
      </c>
      <c r="D2460">
        <v>2017</v>
      </c>
      <c r="E2460">
        <v>15207</v>
      </c>
      <c r="F2460">
        <v>22000</v>
      </c>
      <c r="G2460" t="s">
        <v>76</v>
      </c>
      <c r="H2460" t="s">
        <v>69</v>
      </c>
      <c r="I2460" t="s">
        <v>59</v>
      </c>
      <c r="J2460" t="s">
        <v>36</v>
      </c>
      <c r="K2460" t="s">
        <v>54</v>
      </c>
      <c r="L2460" t="s">
        <v>90</v>
      </c>
      <c r="M2460">
        <v>3</v>
      </c>
    </row>
    <row r="2461" spans="1:13" x14ac:dyDescent="0.25">
      <c r="A2461">
        <v>1144</v>
      </c>
      <c r="B2461" t="s">
        <v>1296</v>
      </c>
      <c r="C2461" t="s">
        <v>57</v>
      </c>
      <c r="D2461">
        <v>2014</v>
      </c>
      <c r="E2461" t="s">
        <v>1637</v>
      </c>
      <c r="F2461">
        <v>18000</v>
      </c>
      <c r="G2461" t="s">
        <v>76</v>
      </c>
      <c r="H2461" t="s">
        <v>34</v>
      </c>
      <c r="I2461" t="s">
        <v>35</v>
      </c>
      <c r="J2461" t="s">
        <v>36</v>
      </c>
      <c r="L2461" t="s">
        <v>55</v>
      </c>
    </row>
    <row r="2462" spans="1:13" x14ac:dyDescent="0.25">
      <c r="A2462">
        <v>1391</v>
      </c>
      <c r="B2462" t="s">
        <v>980</v>
      </c>
      <c r="C2462" t="s">
        <v>133</v>
      </c>
      <c r="D2462">
        <v>2017</v>
      </c>
      <c r="E2462">
        <v>25730</v>
      </c>
      <c r="F2462">
        <v>31000</v>
      </c>
      <c r="G2462">
        <v>25000</v>
      </c>
      <c r="H2462" t="s">
        <v>53</v>
      </c>
      <c r="I2462" t="s">
        <v>42</v>
      </c>
      <c r="K2462" t="s">
        <v>73</v>
      </c>
      <c r="L2462" t="s">
        <v>45</v>
      </c>
      <c r="M2462">
        <v>0</v>
      </c>
    </row>
    <row r="2463" spans="1:13" x14ac:dyDescent="0.25">
      <c r="A2463">
        <v>1207</v>
      </c>
      <c r="B2463" t="s">
        <v>1510</v>
      </c>
      <c r="C2463" t="s">
        <v>75</v>
      </c>
      <c r="D2463">
        <v>2021</v>
      </c>
      <c r="E2463">
        <v>7605</v>
      </c>
      <c r="F2463">
        <v>9000</v>
      </c>
      <c r="G2463">
        <v>60000</v>
      </c>
      <c r="H2463" t="s">
        <v>41</v>
      </c>
      <c r="J2463" t="s">
        <v>96</v>
      </c>
      <c r="K2463" t="s">
        <v>54</v>
      </c>
      <c r="L2463" t="s">
        <v>45</v>
      </c>
      <c r="M2463">
        <v>0</v>
      </c>
    </row>
    <row r="2464" spans="1:13" x14ac:dyDescent="0.25">
      <c r="A2464">
        <v>1185</v>
      </c>
      <c r="B2464" t="s">
        <v>458</v>
      </c>
      <c r="C2464" t="s">
        <v>51</v>
      </c>
      <c r="D2464">
        <v>2017</v>
      </c>
      <c r="E2464">
        <v>21479</v>
      </c>
      <c r="F2464">
        <v>26000</v>
      </c>
      <c r="G2464">
        <v>120000</v>
      </c>
      <c r="H2464" t="s">
        <v>84</v>
      </c>
      <c r="I2464" t="s">
        <v>42</v>
      </c>
      <c r="J2464" t="s">
        <v>43</v>
      </c>
      <c r="M2464">
        <v>0</v>
      </c>
    </row>
    <row r="2465" spans="1:13" x14ac:dyDescent="0.25">
      <c r="A2465">
        <v>1425</v>
      </c>
      <c r="B2465" t="s">
        <v>248</v>
      </c>
      <c r="C2465" t="s">
        <v>57</v>
      </c>
      <c r="D2465" t="s">
        <v>52</v>
      </c>
      <c r="E2465">
        <v>3246</v>
      </c>
      <c r="F2465">
        <v>9000</v>
      </c>
      <c r="G2465">
        <v>15000</v>
      </c>
      <c r="I2465" t="s">
        <v>59</v>
      </c>
      <c r="J2465" t="s">
        <v>43</v>
      </c>
      <c r="K2465" t="s">
        <v>116</v>
      </c>
      <c r="L2465" t="s">
        <v>38</v>
      </c>
      <c r="M2465">
        <v>3</v>
      </c>
    </row>
    <row r="2466" spans="1:13" x14ac:dyDescent="0.25">
      <c r="A2466">
        <v>1305</v>
      </c>
      <c r="B2466" t="s">
        <v>444</v>
      </c>
      <c r="C2466" t="s">
        <v>61</v>
      </c>
      <c r="D2466">
        <v>2021</v>
      </c>
      <c r="E2466">
        <v>22075</v>
      </c>
      <c r="F2466">
        <v>26000</v>
      </c>
      <c r="G2466" t="s">
        <v>130</v>
      </c>
      <c r="H2466" t="s">
        <v>84</v>
      </c>
      <c r="J2466" t="s">
        <v>96</v>
      </c>
      <c r="K2466" t="s">
        <v>54</v>
      </c>
      <c r="L2466" t="s">
        <v>38</v>
      </c>
      <c r="M2466">
        <v>2</v>
      </c>
    </row>
    <row r="2467" spans="1:13" x14ac:dyDescent="0.25">
      <c r="A2467">
        <v>1587</v>
      </c>
      <c r="B2467" t="s">
        <v>1517</v>
      </c>
      <c r="C2467" t="s">
        <v>32</v>
      </c>
      <c r="D2467">
        <v>2015</v>
      </c>
      <c r="E2467">
        <v>2873</v>
      </c>
      <c r="F2467">
        <v>7000</v>
      </c>
      <c r="G2467">
        <v>25000</v>
      </c>
      <c r="H2467" t="s">
        <v>58</v>
      </c>
      <c r="I2467" t="s">
        <v>42</v>
      </c>
      <c r="J2467" t="s">
        <v>66</v>
      </c>
      <c r="K2467" t="s">
        <v>77</v>
      </c>
      <c r="L2467" t="s">
        <v>49</v>
      </c>
      <c r="M2467">
        <v>1</v>
      </c>
    </row>
    <row r="2468" spans="1:13" x14ac:dyDescent="0.25">
      <c r="A2468">
        <v>1322</v>
      </c>
      <c r="B2468" t="s">
        <v>1004</v>
      </c>
      <c r="C2468" t="s">
        <v>79</v>
      </c>
      <c r="D2468" t="s">
        <v>52</v>
      </c>
      <c r="E2468">
        <v>2636</v>
      </c>
      <c r="F2468">
        <v>9000</v>
      </c>
      <c r="G2468">
        <v>40000</v>
      </c>
      <c r="H2468" t="s">
        <v>58</v>
      </c>
      <c r="I2468" t="s">
        <v>59</v>
      </c>
      <c r="J2468" t="s">
        <v>96</v>
      </c>
      <c r="K2468" t="s">
        <v>73</v>
      </c>
      <c r="L2468" t="s">
        <v>98</v>
      </c>
      <c r="M2468">
        <v>1</v>
      </c>
    </row>
    <row r="2469" spans="1:13" x14ac:dyDescent="0.25">
      <c r="A2469">
        <v>1327</v>
      </c>
      <c r="B2469" t="s">
        <v>223</v>
      </c>
      <c r="C2469" t="s">
        <v>103</v>
      </c>
      <c r="D2469">
        <v>2014</v>
      </c>
      <c r="E2469">
        <v>22695</v>
      </c>
      <c r="F2469" t="s">
        <v>83</v>
      </c>
      <c r="G2469">
        <v>60000</v>
      </c>
      <c r="H2469" t="s">
        <v>69</v>
      </c>
      <c r="J2469" t="s">
        <v>43</v>
      </c>
      <c r="K2469" t="s">
        <v>48</v>
      </c>
      <c r="L2469" t="s">
        <v>90</v>
      </c>
      <c r="M2469">
        <v>0</v>
      </c>
    </row>
    <row r="2470" spans="1:13" x14ac:dyDescent="0.25">
      <c r="A2470">
        <v>1464</v>
      </c>
      <c r="B2470" t="s">
        <v>1083</v>
      </c>
      <c r="C2470" t="s">
        <v>103</v>
      </c>
      <c r="D2470">
        <v>2018</v>
      </c>
      <c r="E2470">
        <v>11912</v>
      </c>
      <c r="F2470">
        <v>15000</v>
      </c>
      <c r="G2470">
        <v>120000</v>
      </c>
      <c r="H2470" t="s">
        <v>53</v>
      </c>
      <c r="I2470" t="s">
        <v>35</v>
      </c>
      <c r="J2470" t="s">
        <v>66</v>
      </c>
      <c r="K2470" t="s">
        <v>54</v>
      </c>
      <c r="L2470" t="s">
        <v>126</v>
      </c>
      <c r="M2470">
        <v>3</v>
      </c>
    </row>
    <row r="2471" spans="1:13" x14ac:dyDescent="0.25">
      <c r="A2471">
        <v>1161</v>
      </c>
      <c r="B2471" t="s">
        <v>1523</v>
      </c>
      <c r="C2471" t="s">
        <v>61</v>
      </c>
      <c r="D2471">
        <v>2021</v>
      </c>
      <c r="E2471">
        <v>9626</v>
      </c>
      <c r="F2471">
        <v>12000</v>
      </c>
      <c r="G2471">
        <v>40000</v>
      </c>
      <c r="H2471" t="s">
        <v>53</v>
      </c>
      <c r="I2471" t="s">
        <v>59</v>
      </c>
      <c r="J2471" t="s">
        <v>43</v>
      </c>
      <c r="K2471" t="s">
        <v>37</v>
      </c>
      <c r="L2471" t="s">
        <v>90</v>
      </c>
      <c r="M2471">
        <v>2</v>
      </c>
    </row>
    <row r="2472" spans="1:13" x14ac:dyDescent="0.25">
      <c r="A2472">
        <v>1307</v>
      </c>
      <c r="B2472" t="s">
        <v>1431</v>
      </c>
      <c r="C2472" t="s">
        <v>57</v>
      </c>
      <c r="D2472">
        <v>2022</v>
      </c>
      <c r="E2472">
        <v>12418</v>
      </c>
      <c r="F2472">
        <v>18000</v>
      </c>
      <c r="G2472" t="s">
        <v>121</v>
      </c>
      <c r="H2472" t="s">
        <v>63</v>
      </c>
      <c r="K2472" t="s">
        <v>37</v>
      </c>
      <c r="L2472" t="s">
        <v>45</v>
      </c>
      <c r="M2472">
        <v>2</v>
      </c>
    </row>
    <row r="2473" spans="1:13" x14ac:dyDescent="0.25">
      <c r="A2473">
        <v>1329</v>
      </c>
      <c r="B2473" t="s">
        <v>1241</v>
      </c>
      <c r="C2473" t="s">
        <v>94</v>
      </c>
      <c r="D2473" t="s">
        <v>52</v>
      </c>
      <c r="E2473" t="s">
        <v>1638</v>
      </c>
      <c r="F2473">
        <v>18000</v>
      </c>
      <c r="G2473" t="s">
        <v>130</v>
      </c>
      <c r="H2473" t="s">
        <v>69</v>
      </c>
      <c r="I2473" t="s">
        <v>35</v>
      </c>
      <c r="J2473" t="s">
        <v>96</v>
      </c>
      <c r="K2473" t="s">
        <v>100</v>
      </c>
      <c r="L2473" t="s">
        <v>45</v>
      </c>
      <c r="M2473">
        <v>1</v>
      </c>
    </row>
    <row r="2474" spans="1:13" x14ac:dyDescent="0.25">
      <c r="A2474">
        <v>1009</v>
      </c>
      <c r="B2474" t="s">
        <v>527</v>
      </c>
      <c r="C2474" t="s">
        <v>94</v>
      </c>
      <c r="D2474">
        <v>2021</v>
      </c>
      <c r="E2474">
        <v>18906</v>
      </c>
      <c r="F2474">
        <v>22000</v>
      </c>
      <c r="G2474">
        <v>40000</v>
      </c>
      <c r="J2474" t="s">
        <v>96</v>
      </c>
      <c r="K2474" t="s">
        <v>73</v>
      </c>
      <c r="L2474" t="s">
        <v>49</v>
      </c>
      <c r="M2474">
        <v>2</v>
      </c>
    </row>
    <row r="2475" spans="1:13" x14ac:dyDescent="0.25">
      <c r="A2475">
        <v>1433</v>
      </c>
      <c r="B2475" t="s">
        <v>1639</v>
      </c>
      <c r="C2475" t="s">
        <v>94</v>
      </c>
      <c r="D2475">
        <v>2021</v>
      </c>
      <c r="E2475">
        <v>954</v>
      </c>
      <c r="F2475">
        <v>7000</v>
      </c>
      <c r="G2475">
        <v>120000</v>
      </c>
      <c r="H2475" t="s">
        <v>41</v>
      </c>
      <c r="I2475" t="s">
        <v>42</v>
      </c>
      <c r="K2475" t="s">
        <v>73</v>
      </c>
      <c r="L2475" t="s">
        <v>126</v>
      </c>
      <c r="M2475">
        <v>2</v>
      </c>
    </row>
    <row r="2476" spans="1:13" x14ac:dyDescent="0.25">
      <c r="A2476">
        <v>1247</v>
      </c>
      <c r="B2476" t="s">
        <v>1529</v>
      </c>
      <c r="C2476" t="s">
        <v>75</v>
      </c>
      <c r="D2476">
        <v>2021</v>
      </c>
      <c r="E2476">
        <v>29735</v>
      </c>
      <c r="F2476">
        <v>31000</v>
      </c>
      <c r="G2476" t="s">
        <v>108</v>
      </c>
      <c r="H2476" t="s">
        <v>53</v>
      </c>
      <c r="I2476" t="s">
        <v>35</v>
      </c>
      <c r="J2476" t="s">
        <v>43</v>
      </c>
      <c r="K2476" t="s">
        <v>37</v>
      </c>
      <c r="L2476" t="s">
        <v>38</v>
      </c>
      <c r="M2476">
        <v>2</v>
      </c>
    </row>
    <row r="2477" spans="1:13" x14ac:dyDescent="0.25">
      <c r="A2477">
        <v>1274</v>
      </c>
      <c r="B2477" t="s">
        <v>1572</v>
      </c>
      <c r="C2477" t="s">
        <v>40</v>
      </c>
      <c r="D2477">
        <v>2021</v>
      </c>
      <c r="E2477">
        <v>10281</v>
      </c>
      <c r="F2477">
        <v>12000</v>
      </c>
      <c r="G2477" t="s">
        <v>108</v>
      </c>
      <c r="H2477" t="s">
        <v>63</v>
      </c>
      <c r="I2477" t="s">
        <v>72</v>
      </c>
      <c r="J2477" t="s">
        <v>66</v>
      </c>
      <c r="L2477" t="s">
        <v>38</v>
      </c>
      <c r="M2477">
        <v>1</v>
      </c>
    </row>
    <row r="2478" spans="1:13" x14ac:dyDescent="0.25">
      <c r="A2478">
        <v>1433</v>
      </c>
      <c r="B2478" t="s">
        <v>400</v>
      </c>
      <c r="C2478" t="s">
        <v>94</v>
      </c>
      <c r="D2478">
        <v>2021</v>
      </c>
      <c r="E2478">
        <v>18092</v>
      </c>
      <c r="F2478">
        <v>22000</v>
      </c>
      <c r="G2478">
        <v>15000</v>
      </c>
      <c r="H2478" t="s">
        <v>84</v>
      </c>
      <c r="I2478" t="s">
        <v>72</v>
      </c>
      <c r="J2478" t="s">
        <v>96</v>
      </c>
      <c r="K2478" t="s">
        <v>116</v>
      </c>
      <c r="L2478" t="s">
        <v>49</v>
      </c>
      <c r="M2478">
        <v>2</v>
      </c>
    </row>
    <row r="2479" spans="1:13" x14ac:dyDescent="0.25">
      <c r="A2479">
        <v>1573</v>
      </c>
      <c r="B2479" t="s">
        <v>1508</v>
      </c>
      <c r="C2479" t="s">
        <v>79</v>
      </c>
      <c r="D2479">
        <v>2020</v>
      </c>
      <c r="E2479">
        <v>21549</v>
      </c>
      <c r="F2479">
        <v>26000</v>
      </c>
      <c r="G2479">
        <v>15000</v>
      </c>
      <c r="H2479" t="s">
        <v>53</v>
      </c>
      <c r="I2479" t="s">
        <v>59</v>
      </c>
      <c r="J2479" t="s">
        <v>66</v>
      </c>
      <c r="K2479" t="s">
        <v>48</v>
      </c>
      <c r="L2479" t="s">
        <v>45</v>
      </c>
      <c r="M2479">
        <v>3</v>
      </c>
    </row>
    <row r="2480" spans="1:13" x14ac:dyDescent="0.25">
      <c r="A2480">
        <v>1119</v>
      </c>
      <c r="B2480" t="s">
        <v>1442</v>
      </c>
      <c r="C2480" t="s">
        <v>40</v>
      </c>
      <c r="D2480">
        <v>2019</v>
      </c>
      <c r="E2480">
        <v>20022</v>
      </c>
      <c r="F2480" t="s">
        <v>115</v>
      </c>
      <c r="G2480" t="s">
        <v>130</v>
      </c>
      <c r="H2480" t="s">
        <v>63</v>
      </c>
      <c r="I2480" t="s">
        <v>59</v>
      </c>
      <c r="J2480" t="s">
        <v>66</v>
      </c>
      <c r="K2480" t="s">
        <v>100</v>
      </c>
      <c r="L2480" t="s">
        <v>90</v>
      </c>
      <c r="M2480">
        <v>2</v>
      </c>
    </row>
    <row r="2481" spans="1:13" x14ac:dyDescent="0.25">
      <c r="A2481">
        <v>1068</v>
      </c>
      <c r="B2481" t="s">
        <v>637</v>
      </c>
      <c r="C2481" t="s">
        <v>79</v>
      </c>
      <c r="D2481">
        <v>2015</v>
      </c>
      <c r="E2481">
        <v>7765</v>
      </c>
      <c r="F2481" t="s">
        <v>204</v>
      </c>
      <c r="G2481" t="s">
        <v>130</v>
      </c>
      <c r="H2481" t="s">
        <v>34</v>
      </c>
      <c r="J2481" t="s">
        <v>43</v>
      </c>
      <c r="K2481" t="s">
        <v>54</v>
      </c>
      <c r="M2481">
        <v>3</v>
      </c>
    </row>
    <row r="2482" spans="1:13" x14ac:dyDescent="0.25">
      <c r="A2482">
        <v>1519</v>
      </c>
      <c r="B2482" t="s">
        <v>1031</v>
      </c>
      <c r="C2482" t="s">
        <v>133</v>
      </c>
      <c r="D2482">
        <v>2022</v>
      </c>
      <c r="E2482">
        <v>13054</v>
      </c>
      <c r="F2482">
        <v>18000</v>
      </c>
      <c r="G2482">
        <v>80000</v>
      </c>
      <c r="H2482" t="s">
        <v>84</v>
      </c>
      <c r="J2482" t="s">
        <v>43</v>
      </c>
      <c r="K2482" t="s">
        <v>77</v>
      </c>
      <c r="L2482" t="s">
        <v>126</v>
      </c>
      <c r="M2482">
        <v>2</v>
      </c>
    </row>
    <row r="2483" spans="1:13" x14ac:dyDescent="0.25">
      <c r="A2483">
        <v>1398</v>
      </c>
      <c r="B2483" t="s">
        <v>1190</v>
      </c>
      <c r="C2483" t="s">
        <v>57</v>
      </c>
      <c r="D2483">
        <v>2021</v>
      </c>
      <c r="E2483">
        <v>195</v>
      </c>
      <c r="F2483">
        <v>7000</v>
      </c>
      <c r="G2483" t="s">
        <v>130</v>
      </c>
      <c r="H2483" t="s">
        <v>63</v>
      </c>
      <c r="J2483" t="s">
        <v>36</v>
      </c>
      <c r="K2483" t="s">
        <v>48</v>
      </c>
      <c r="L2483" t="s">
        <v>45</v>
      </c>
      <c r="M2483">
        <v>1</v>
      </c>
    </row>
    <row r="2484" spans="1:13" x14ac:dyDescent="0.25">
      <c r="A2484">
        <v>1415</v>
      </c>
      <c r="B2484" t="s">
        <v>1111</v>
      </c>
      <c r="C2484" t="s">
        <v>119</v>
      </c>
      <c r="D2484">
        <v>2014</v>
      </c>
      <c r="E2484">
        <v>4046</v>
      </c>
      <c r="F2484">
        <v>9000</v>
      </c>
      <c r="G2484" t="s">
        <v>33</v>
      </c>
      <c r="I2484" t="s">
        <v>59</v>
      </c>
      <c r="J2484" t="s">
        <v>66</v>
      </c>
      <c r="K2484" t="s">
        <v>37</v>
      </c>
      <c r="L2484" t="s">
        <v>49</v>
      </c>
    </row>
    <row r="2485" spans="1:13" x14ac:dyDescent="0.25">
      <c r="A2485">
        <v>1536</v>
      </c>
      <c r="B2485" t="s">
        <v>806</v>
      </c>
      <c r="C2485" t="s">
        <v>103</v>
      </c>
      <c r="D2485">
        <v>2017</v>
      </c>
      <c r="E2485">
        <v>24663</v>
      </c>
      <c r="F2485">
        <v>31000</v>
      </c>
      <c r="G2485">
        <v>120000</v>
      </c>
      <c r="H2485" t="s">
        <v>41</v>
      </c>
      <c r="I2485" t="s">
        <v>59</v>
      </c>
      <c r="J2485" t="s">
        <v>66</v>
      </c>
      <c r="K2485" t="s">
        <v>100</v>
      </c>
      <c r="L2485" t="s">
        <v>38</v>
      </c>
      <c r="M2485">
        <v>0</v>
      </c>
    </row>
    <row r="2486" spans="1:13" x14ac:dyDescent="0.25">
      <c r="A2486">
        <v>1361</v>
      </c>
      <c r="B2486" t="s">
        <v>1136</v>
      </c>
      <c r="C2486" t="s">
        <v>103</v>
      </c>
      <c r="D2486">
        <v>2017</v>
      </c>
      <c r="E2486">
        <v>17147</v>
      </c>
      <c r="F2486">
        <v>22000</v>
      </c>
      <c r="G2486">
        <v>60000</v>
      </c>
      <c r="H2486" t="s">
        <v>69</v>
      </c>
      <c r="I2486" t="s">
        <v>42</v>
      </c>
      <c r="L2486" t="s">
        <v>45</v>
      </c>
      <c r="M2486">
        <v>0</v>
      </c>
    </row>
    <row r="2487" spans="1:13" x14ac:dyDescent="0.25">
      <c r="A2487">
        <v>1163</v>
      </c>
      <c r="B2487" t="s">
        <v>1342</v>
      </c>
      <c r="C2487" t="s">
        <v>40</v>
      </c>
      <c r="D2487">
        <v>2018</v>
      </c>
      <c r="E2487">
        <v>5711</v>
      </c>
      <c r="F2487" t="s">
        <v>147</v>
      </c>
      <c r="G2487">
        <v>120000</v>
      </c>
      <c r="H2487" t="s">
        <v>69</v>
      </c>
      <c r="J2487" t="s">
        <v>66</v>
      </c>
      <c r="K2487" t="s">
        <v>116</v>
      </c>
      <c r="L2487" t="s">
        <v>45</v>
      </c>
      <c r="M2487">
        <v>3</v>
      </c>
    </row>
    <row r="2488" spans="1:13" x14ac:dyDescent="0.25">
      <c r="A2488">
        <v>1349</v>
      </c>
      <c r="B2488" t="s">
        <v>961</v>
      </c>
      <c r="C2488" t="s">
        <v>47</v>
      </c>
      <c r="D2488">
        <v>2019</v>
      </c>
      <c r="E2488">
        <v>5064</v>
      </c>
      <c r="F2488" t="s">
        <v>204</v>
      </c>
      <c r="G2488">
        <v>120000</v>
      </c>
      <c r="H2488" t="s">
        <v>58</v>
      </c>
      <c r="I2488" t="s">
        <v>35</v>
      </c>
      <c r="J2488" t="s">
        <v>66</v>
      </c>
      <c r="L2488" t="s">
        <v>126</v>
      </c>
      <c r="M2488">
        <v>3</v>
      </c>
    </row>
    <row r="2489" spans="1:13" x14ac:dyDescent="0.25">
      <c r="A2489">
        <v>1575</v>
      </c>
      <c r="B2489" t="s">
        <v>1640</v>
      </c>
      <c r="C2489" t="s">
        <v>61</v>
      </c>
      <c r="D2489">
        <v>2022</v>
      </c>
      <c r="E2489">
        <v>19583</v>
      </c>
      <c r="F2489">
        <v>26000</v>
      </c>
      <c r="G2489">
        <v>25000</v>
      </c>
      <c r="H2489" t="s">
        <v>84</v>
      </c>
      <c r="I2489" t="s">
        <v>35</v>
      </c>
      <c r="J2489" t="s">
        <v>36</v>
      </c>
      <c r="K2489" t="s">
        <v>100</v>
      </c>
      <c r="M2489">
        <v>0</v>
      </c>
    </row>
    <row r="2490" spans="1:13" x14ac:dyDescent="0.25">
      <c r="A2490">
        <v>1434</v>
      </c>
      <c r="B2490" t="s">
        <v>278</v>
      </c>
      <c r="C2490" t="s">
        <v>138</v>
      </c>
      <c r="D2490">
        <v>2021</v>
      </c>
      <c r="E2490">
        <v>778</v>
      </c>
      <c r="F2490">
        <v>7000</v>
      </c>
      <c r="G2490">
        <v>25000</v>
      </c>
      <c r="H2490" t="s">
        <v>69</v>
      </c>
      <c r="I2490" t="s">
        <v>59</v>
      </c>
      <c r="J2490" t="s">
        <v>66</v>
      </c>
      <c r="L2490" t="s">
        <v>49</v>
      </c>
      <c r="M2490">
        <v>1</v>
      </c>
    </row>
    <row r="2491" spans="1:13" x14ac:dyDescent="0.25">
      <c r="A2491">
        <v>1344</v>
      </c>
      <c r="B2491" t="s">
        <v>309</v>
      </c>
      <c r="C2491" t="s">
        <v>57</v>
      </c>
      <c r="D2491">
        <v>2020</v>
      </c>
      <c r="E2491" t="s">
        <v>1641</v>
      </c>
      <c r="F2491">
        <v>22000</v>
      </c>
      <c r="G2491">
        <v>80000</v>
      </c>
      <c r="H2491" t="s">
        <v>41</v>
      </c>
      <c r="I2491" t="s">
        <v>42</v>
      </c>
      <c r="K2491" t="s">
        <v>54</v>
      </c>
      <c r="L2491" t="s">
        <v>126</v>
      </c>
      <c r="M2491">
        <v>1</v>
      </c>
    </row>
    <row r="2492" spans="1:13" x14ac:dyDescent="0.25">
      <c r="A2492">
        <v>1110</v>
      </c>
      <c r="B2492" t="s">
        <v>443</v>
      </c>
      <c r="C2492" t="s">
        <v>133</v>
      </c>
      <c r="D2492">
        <v>2019</v>
      </c>
      <c r="E2492">
        <v>8815</v>
      </c>
      <c r="F2492">
        <v>15000</v>
      </c>
      <c r="G2492">
        <v>40000</v>
      </c>
      <c r="H2492" t="s">
        <v>63</v>
      </c>
      <c r="I2492" t="s">
        <v>42</v>
      </c>
      <c r="J2492" t="s">
        <v>43</v>
      </c>
      <c r="K2492" t="s">
        <v>44</v>
      </c>
      <c r="L2492" t="s">
        <v>98</v>
      </c>
      <c r="M2492">
        <v>3</v>
      </c>
    </row>
    <row r="2493" spans="1:13" x14ac:dyDescent="0.25">
      <c r="A2493">
        <v>1055</v>
      </c>
      <c r="B2493" t="s">
        <v>1535</v>
      </c>
      <c r="C2493" t="s">
        <v>32</v>
      </c>
      <c r="E2493">
        <v>15007</v>
      </c>
      <c r="F2493">
        <v>22000</v>
      </c>
      <c r="G2493">
        <v>15000</v>
      </c>
      <c r="I2493" t="s">
        <v>35</v>
      </c>
      <c r="J2493" t="s">
        <v>66</v>
      </c>
      <c r="K2493" t="s">
        <v>48</v>
      </c>
      <c r="L2493" t="s">
        <v>109</v>
      </c>
      <c r="M2493">
        <v>1</v>
      </c>
    </row>
    <row r="2494" spans="1:13" x14ac:dyDescent="0.25">
      <c r="A2494">
        <v>1512</v>
      </c>
      <c r="B2494" t="s">
        <v>970</v>
      </c>
      <c r="C2494" t="s">
        <v>51</v>
      </c>
      <c r="E2494">
        <v>12056</v>
      </c>
      <c r="F2494">
        <v>18000</v>
      </c>
      <c r="G2494">
        <v>80000</v>
      </c>
      <c r="H2494" t="s">
        <v>53</v>
      </c>
      <c r="K2494" t="s">
        <v>100</v>
      </c>
      <c r="L2494" t="s">
        <v>126</v>
      </c>
      <c r="M2494">
        <v>0</v>
      </c>
    </row>
    <row r="2495" spans="1:13" x14ac:dyDescent="0.25">
      <c r="A2495">
        <v>1508</v>
      </c>
      <c r="B2495" t="s">
        <v>1602</v>
      </c>
      <c r="C2495" t="s">
        <v>61</v>
      </c>
      <c r="D2495">
        <v>2015</v>
      </c>
      <c r="E2495">
        <v>13176</v>
      </c>
      <c r="F2495">
        <v>18000</v>
      </c>
      <c r="G2495" t="s">
        <v>121</v>
      </c>
      <c r="H2495" t="s">
        <v>84</v>
      </c>
      <c r="I2495" t="s">
        <v>59</v>
      </c>
      <c r="J2495" t="s">
        <v>96</v>
      </c>
      <c r="K2495" t="s">
        <v>116</v>
      </c>
      <c r="L2495" t="s">
        <v>98</v>
      </c>
      <c r="M2495">
        <v>2</v>
      </c>
    </row>
    <row r="2496" spans="1:13" x14ac:dyDescent="0.25">
      <c r="A2496">
        <v>1111</v>
      </c>
      <c r="B2496" t="s">
        <v>207</v>
      </c>
      <c r="C2496" t="s">
        <v>164</v>
      </c>
      <c r="D2496">
        <v>2022</v>
      </c>
      <c r="E2496">
        <v>5240</v>
      </c>
      <c r="F2496">
        <v>12000</v>
      </c>
      <c r="G2496">
        <v>25000</v>
      </c>
      <c r="H2496" t="s">
        <v>41</v>
      </c>
      <c r="I2496" t="s">
        <v>42</v>
      </c>
      <c r="K2496" t="s">
        <v>54</v>
      </c>
      <c r="M2496">
        <v>2</v>
      </c>
    </row>
    <row r="2497" spans="1:13" x14ac:dyDescent="0.25">
      <c r="A2497">
        <v>1491</v>
      </c>
      <c r="B2497" t="s">
        <v>1439</v>
      </c>
      <c r="C2497" t="s">
        <v>51</v>
      </c>
      <c r="D2497">
        <v>2017</v>
      </c>
      <c r="E2497">
        <v>14380</v>
      </c>
      <c r="F2497">
        <v>18000</v>
      </c>
      <c r="G2497">
        <v>120000</v>
      </c>
      <c r="H2497" t="s">
        <v>84</v>
      </c>
      <c r="I2497" t="s">
        <v>42</v>
      </c>
      <c r="L2497" t="s">
        <v>98</v>
      </c>
      <c r="M2497">
        <v>2</v>
      </c>
    </row>
    <row r="2498" spans="1:13" x14ac:dyDescent="0.25">
      <c r="A2498">
        <v>1376</v>
      </c>
      <c r="B2498" t="s">
        <v>386</v>
      </c>
      <c r="C2498" t="s">
        <v>61</v>
      </c>
      <c r="D2498">
        <v>2014</v>
      </c>
      <c r="E2498">
        <v>1228</v>
      </c>
      <c r="F2498">
        <v>7000</v>
      </c>
      <c r="G2498">
        <v>120000</v>
      </c>
      <c r="H2498" t="s">
        <v>53</v>
      </c>
      <c r="I2498" t="s">
        <v>42</v>
      </c>
      <c r="J2498" t="s">
        <v>66</v>
      </c>
      <c r="K2498" t="s">
        <v>44</v>
      </c>
      <c r="L2498" t="s">
        <v>38</v>
      </c>
      <c r="M2498">
        <v>3</v>
      </c>
    </row>
    <row r="2499" spans="1:13" x14ac:dyDescent="0.25">
      <c r="A2499">
        <v>1031</v>
      </c>
      <c r="B2499" t="s">
        <v>132</v>
      </c>
      <c r="C2499" t="s">
        <v>40</v>
      </c>
      <c r="D2499">
        <v>2015</v>
      </c>
      <c r="E2499">
        <v>15737</v>
      </c>
      <c r="F2499" t="s">
        <v>129</v>
      </c>
      <c r="G2499">
        <v>15000</v>
      </c>
      <c r="H2499" t="s">
        <v>53</v>
      </c>
      <c r="I2499" t="s">
        <v>59</v>
      </c>
      <c r="J2499" t="s">
        <v>36</v>
      </c>
      <c r="L2499" t="s">
        <v>55</v>
      </c>
    </row>
    <row r="2500" spans="1:13" x14ac:dyDescent="0.25">
      <c r="A2500">
        <v>1029</v>
      </c>
      <c r="B2500" t="s">
        <v>504</v>
      </c>
      <c r="C2500" t="s">
        <v>68</v>
      </c>
      <c r="D2500">
        <v>2021</v>
      </c>
      <c r="E2500">
        <v>5521</v>
      </c>
      <c r="F2500">
        <v>12000</v>
      </c>
      <c r="G2500">
        <v>15000</v>
      </c>
      <c r="H2500" t="s">
        <v>53</v>
      </c>
      <c r="K2500" t="s">
        <v>37</v>
      </c>
      <c r="L2500" t="s">
        <v>49</v>
      </c>
      <c r="M2500">
        <v>1</v>
      </c>
    </row>
    <row r="2501" spans="1:13" x14ac:dyDescent="0.25">
      <c r="A2501">
        <v>1225</v>
      </c>
      <c r="B2501" t="s">
        <v>1360</v>
      </c>
      <c r="C2501" t="s">
        <v>40</v>
      </c>
      <c r="E2501">
        <v>21095</v>
      </c>
      <c r="F2501">
        <v>26000</v>
      </c>
      <c r="G2501" t="s">
        <v>92</v>
      </c>
      <c r="I2501" t="s">
        <v>42</v>
      </c>
      <c r="J2501" t="s">
        <v>96</v>
      </c>
      <c r="K2501" t="s">
        <v>54</v>
      </c>
      <c r="M2501">
        <v>1</v>
      </c>
    </row>
  </sheetData>
  <autoFilter ref="A1:M250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1"/>
  <sheetViews>
    <sheetView showGridLines="0" tabSelected="1" topLeftCell="E1" zoomScaleNormal="100" workbookViewId="0">
      <pane ySplit="1" topLeftCell="A2" activePane="bottomLeft" state="frozen"/>
      <selection pane="bottomLeft" activeCell="P2" sqref="P2"/>
    </sheetView>
  </sheetViews>
  <sheetFormatPr defaultColWidth="8.7109375" defaultRowHeight="15" customHeight="1" x14ac:dyDescent="0.25"/>
  <cols>
    <col min="1" max="1" width="10" customWidth="1"/>
    <col min="2" max="2" width="13" customWidth="1"/>
    <col min="3" max="3" width="20" customWidth="1"/>
    <col min="4" max="4" width="10" customWidth="1"/>
    <col min="5" max="6" width="14" customWidth="1"/>
    <col min="7" max="7" width="16" customWidth="1"/>
    <col min="8" max="9" width="12" customWidth="1"/>
    <col min="10" max="11" width="13" customWidth="1"/>
    <col min="12" max="12" width="16" customWidth="1"/>
    <col min="13" max="13" width="12" customWidth="1"/>
    <col min="14" max="14" width="10" customWidth="1"/>
    <col min="15" max="15" width="12" customWidth="1"/>
    <col min="16" max="16" width="18" customWidth="1"/>
    <col min="17" max="17" width="15" customWidth="1"/>
    <col min="18" max="18" width="13" hidden="1" customWidth="1"/>
  </cols>
  <sheetData>
    <row r="1" spans="1:18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1642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1643</v>
      </c>
      <c r="P1" s="5" t="s">
        <v>1644</v>
      </c>
      <c r="Q1" s="5" t="s">
        <v>1645</v>
      </c>
      <c r="R1" s="5" t="s">
        <v>1646</v>
      </c>
    </row>
    <row r="2" spans="1:18" x14ac:dyDescent="0.25">
      <c r="A2" s="6">
        <v>1104</v>
      </c>
      <c r="B2" s="7">
        <v>44482</v>
      </c>
      <c r="C2" t="s">
        <v>32</v>
      </c>
      <c r="D2" s="6">
        <v>2014</v>
      </c>
      <c r="E2" s="8">
        <v>15172</v>
      </c>
      <c r="F2" s="8">
        <v>18000</v>
      </c>
      <c r="G2" s="8">
        <f t="shared" ref="G2:G65" si="0">IF(OR(F2="",E2=""),"",F2-E2)</f>
        <v>2828</v>
      </c>
      <c r="H2" s="6">
        <v>25000</v>
      </c>
      <c r="I2" t="s">
        <v>34</v>
      </c>
      <c r="J2" t="s">
        <v>35</v>
      </c>
      <c r="K2" t="s">
        <v>36</v>
      </c>
      <c r="L2" t="s">
        <v>73</v>
      </c>
      <c r="M2" t="s">
        <v>90</v>
      </c>
      <c r="N2" s="6">
        <v>1</v>
      </c>
      <c r="O2" t="str">
        <f t="shared" ref="O2:O65" si="1">IF(E2&lt;1000,"Outlier","Normal")</f>
        <v>Normal</v>
      </c>
      <c r="P2" t="str">
        <f t="shared" ref="P2:P65" si="2">IF(COUNTIF($A$2:$A$2501,A2)&gt;1,"Duplicate ID","Unique ID")</f>
        <v>Duplicate ID</v>
      </c>
      <c r="Q2" t="str">
        <f t="shared" ref="Q2:Q65" si="3">IF(E2&lt;5000,"0-4,999",IF(E2&lt;10000,"5,000-9,999",IF(E2&lt;15000,"10,000-14,999",IF(E2&lt;20000,"15,000-19,999",IF(E2&lt;25000,"20,000-24,999","25,000-30,000")))))</f>
        <v>15,000-19,999</v>
      </c>
      <c r="R2" s="6">
        <f>IF(COUNTIF($A$2:A2,A2)=1,1,0)</f>
        <v>1</v>
      </c>
    </row>
    <row r="3" spans="1:18" x14ac:dyDescent="0.25">
      <c r="A3" s="6">
        <v>1429</v>
      </c>
      <c r="B3" s="7">
        <v>45313</v>
      </c>
      <c r="C3" t="s">
        <v>40</v>
      </c>
      <c r="D3" s="6">
        <v>2022</v>
      </c>
      <c r="E3" s="8">
        <v>8677</v>
      </c>
      <c r="F3" s="8">
        <v>15000</v>
      </c>
      <c r="G3" s="8">
        <f t="shared" si="0"/>
        <v>6323</v>
      </c>
      <c r="H3" s="6">
        <v>120000</v>
      </c>
      <c r="I3" t="s">
        <v>41</v>
      </c>
      <c r="J3" t="s">
        <v>35</v>
      </c>
      <c r="K3" t="s">
        <v>96</v>
      </c>
      <c r="L3" t="s">
        <v>54</v>
      </c>
      <c r="M3" t="s">
        <v>45</v>
      </c>
      <c r="N3" s="6">
        <v>1</v>
      </c>
      <c r="O3" t="str">
        <f t="shared" si="1"/>
        <v>Normal</v>
      </c>
      <c r="P3" t="str">
        <f t="shared" si="2"/>
        <v>Duplicate ID</v>
      </c>
      <c r="Q3" t="str">
        <f t="shared" si="3"/>
        <v>5,000-9,999</v>
      </c>
      <c r="R3" s="6">
        <f>IF(COUNTIF($A$2:A3,A3)=1,1,0)</f>
        <v>1</v>
      </c>
    </row>
    <row r="4" spans="1:18" x14ac:dyDescent="0.25">
      <c r="A4" s="6">
        <v>1367</v>
      </c>
      <c r="B4" s="7">
        <v>44395</v>
      </c>
      <c r="C4" t="s">
        <v>57</v>
      </c>
      <c r="D4" s="6">
        <v>2019</v>
      </c>
      <c r="E4" s="8">
        <v>4888</v>
      </c>
      <c r="F4" s="8">
        <v>9000</v>
      </c>
      <c r="G4" s="8">
        <f t="shared" si="0"/>
        <v>4112</v>
      </c>
      <c r="H4" s="6">
        <v>15000</v>
      </c>
      <c r="I4" t="s">
        <v>1647</v>
      </c>
      <c r="J4" t="s">
        <v>1647</v>
      </c>
      <c r="K4" t="s">
        <v>36</v>
      </c>
      <c r="L4" t="s">
        <v>48</v>
      </c>
      <c r="M4" t="s">
        <v>126</v>
      </c>
      <c r="N4" s="6" t="s">
        <v>1647</v>
      </c>
      <c r="O4" t="str">
        <f t="shared" si="1"/>
        <v>Normal</v>
      </c>
      <c r="P4" t="str">
        <f t="shared" si="2"/>
        <v>Duplicate ID</v>
      </c>
      <c r="Q4" t="str">
        <f t="shared" si="3"/>
        <v>0-4,999</v>
      </c>
      <c r="R4" s="6">
        <f>IF(COUNTIF($A$2:A4,A4)=1,1,0)</f>
        <v>1</v>
      </c>
    </row>
    <row r="5" spans="1:18" x14ac:dyDescent="0.25">
      <c r="A5" s="6">
        <v>1046</v>
      </c>
      <c r="B5" s="7">
        <v>44339</v>
      </c>
      <c r="C5" t="s">
        <v>51</v>
      </c>
      <c r="D5" s="6">
        <v>2018</v>
      </c>
      <c r="E5" s="8">
        <v>19425</v>
      </c>
      <c r="F5" s="8">
        <v>22000</v>
      </c>
      <c r="G5" s="8">
        <f t="shared" si="0"/>
        <v>2575</v>
      </c>
      <c r="H5" s="6">
        <v>80000</v>
      </c>
      <c r="I5" t="s">
        <v>58</v>
      </c>
      <c r="J5" t="s">
        <v>35</v>
      </c>
      <c r="K5" t="s">
        <v>96</v>
      </c>
      <c r="L5" t="s">
        <v>54</v>
      </c>
      <c r="M5" t="s">
        <v>98</v>
      </c>
      <c r="N5" s="6">
        <v>2</v>
      </c>
      <c r="O5" t="str">
        <f t="shared" si="1"/>
        <v>Normal</v>
      </c>
      <c r="P5" t="str">
        <f t="shared" si="2"/>
        <v>Duplicate ID</v>
      </c>
      <c r="Q5" t="str">
        <f t="shared" si="3"/>
        <v>15,000-19,999</v>
      </c>
      <c r="R5" s="6">
        <f>IF(COUNTIF($A$2:A5,A5)=1,1,0)</f>
        <v>1</v>
      </c>
    </row>
    <row r="6" spans="1:18" x14ac:dyDescent="0.25">
      <c r="A6" s="6">
        <v>1073</v>
      </c>
      <c r="B6" s="7">
        <v>44743</v>
      </c>
      <c r="C6" t="s">
        <v>57</v>
      </c>
      <c r="D6" s="6">
        <v>2019</v>
      </c>
      <c r="E6" s="8">
        <v>15510</v>
      </c>
      <c r="F6" s="8">
        <v>22000</v>
      </c>
      <c r="G6" s="8">
        <f t="shared" si="0"/>
        <v>6490</v>
      </c>
      <c r="H6" s="6">
        <v>25000</v>
      </c>
      <c r="I6" t="s">
        <v>58</v>
      </c>
      <c r="J6" t="s">
        <v>72</v>
      </c>
      <c r="K6" t="s">
        <v>96</v>
      </c>
      <c r="L6" t="s">
        <v>54</v>
      </c>
      <c r="M6" t="s">
        <v>1647</v>
      </c>
      <c r="N6" s="6">
        <v>1</v>
      </c>
      <c r="O6" t="str">
        <f t="shared" si="1"/>
        <v>Normal</v>
      </c>
      <c r="P6" t="str">
        <f t="shared" si="2"/>
        <v>Duplicate ID</v>
      </c>
      <c r="Q6" t="str">
        <f t="shared" si="3"/>
        <v>15,000-19,999</v>
      </c>
      <c r="R6" s="6">
        <f>IF(COUNTIF($A$2:A6,A6)=1,1,0)</f>
        <v>1</v>
      </c>
    </row>
    <row r="7" spans="1:18" x14ac:dyDescent="0.25">
      <c r="A7" s="6">
        <v>1274</v>
      </c>
      <c r="B7" s="7">
        <v>45018</v>
      </c>
      <c r="C7" t="s">
        <v>51</v>
      </c>
      <c r="D7" s="6">
        <v>2014</v>
      </c>
      <c r="E7" s="8">
        <v>11416</v>
      </c>
      <c r="F7" s="8">
        <v>15000</v>
      </c>
      <c r="G7" s="8">
        <f t="shared" si="0"/>
        <v>3584</v>
      </c>
      <c r="H7" s="6">
        <v>15000</v>
      </c>
      <c r="I7" t="s">
        <v>69</v>
      </c>
      <c r="J7" t="s">
        <v>35</v>
      </c>
      <c r="K7" t="s">
        <v>96</v>
      </c>
      <c r="L7" t="s">
        <v>48</v>
      </c>
      <c r="M7" t="s">
        <v>98</v>
      </c>
      <c r="N7" s="6">
        <v>1</v>
      </c>
      <c r="O7" t="str">
        <f t="shared" si="1"/>
        <v>Normal</v>
      </c>
      <c r="P7" t="str">
        <f t="shared" si="2"/>
        <v>Duplicate ID</v>
      </c>
      <c r="Q7" t="str">
        <f t="shared" si="3"/>
        <v>10,000-14,999</v>
      </c>
      <c r="R7" s="6">
        <f>IF(COUNTIF($A$2:A7,A7)=1,1,0)</f>
        <v>1</v>
      </c>
    </row>
    <row r="8" spans="1:18" x14ac:dyDescent="0.25">
      <c r="A8" s="6">
        <v>1269</v>
      </c>
      <c r="B8" s="7">
        <v>45300</v>
      </c>
      <c r="C8" t="s">
        <v>119</v>
      </c>
      <c r="D8" s="6">
        <v>2016</v>
      </c>
      <c r="E8" s="8">
        <v>9402</v>
      </c>
      <c r="F8" s="8">
        <v>15000</v>
      </c>
      <c r="G8" s="8">
        <f t="shared" si="0"/>
        <v>5598</v>
      </c>
      <c r="H8" s="6">
        <v>120000</v>
      </c>
      <c r="I8" t="s">
        <v>69</v>
      </c>
      <c r="J8" t="s">
        <v>35</v>
      </c>
      <c r="K8" t="s">
        <v>36</v>
      </c>
      <c r="L8" t="s">
        <v>1647</v>
      </c>
      <c r="M8" t="s">
        <v>98</v>
      </c>
      <c r="N8" s="6">
        <v>0</v>
      </c>
      <c r="O8" t="str">
        <f t="shared" si="1"/>
        <v>Normal</v>
      </c>
      <c r="P8" t="str">
        <f t="shared" si="2"/>
        <v>Duplicate ID</v>
      </c>
      <c r="Q8" t="str">
        <f t="shared" si="3"/>
        <v>5,000-9,999</v>
      </c>
      <c r="R8" s="6">
        <f>IF(COUNTIF($A$2:A8,A8)=1,1,0)</f>
        <v>1</v>
      </c>
    </row>
    <row r="9" spans="1:18" x14ac:dyDescent="0.25">
      <c r="A9" s="6">
        <v>1065</v>
      </c>
      <c r="B9" s="7">
        <v>45061</v>
      </c>
      <c r="C9" t="s">
        <v>40</v>
      </c>
      <c r="D9" s="6">
        <v>2015</v>
      </c>
      <c r="E9" s="8">
        <v>9690</v>
      </c>
      <c r="F9" s="8">
        <v>12000</v>
      </c>
      <c r="G9" s="8">
        <f t="shared" si="0"/>
        <v>2310</v>
      </c>
      <c r="H9" s="6">
        <v>120000</v>
      </c>
      <c r="I9" t="s">
        <v>69</v>
      </c>
      <c r="J9" t="s">
        <v>1647</v>
      </c>
      <c r="K9" t="s">
        <v>36</v>
      </c>
      <c r="L9" t="s">
        <v>73</v>
      </c>
      <c r="M9" t="s">
        <v>1647</v>
      </c>
      <c r="N9" s="6">
        <v>2</v>
      </c>
      <c r="O9" t="str">
        <f t="shared" si="1"/>
        <v>Normal</v>
      </c>
      <c r="P9" t="str">
        <f t="shared" si="2"/>
        <v>Duplicate ID</v>
      </c>
      <c r="Q9" t="str">
        <f t="shared" si="3"/>
        <v>5,000-9,999</v>
      </c>
      <c r="R9" s="6">
        <f>IF(COUNTIF($A$2:A9,A9)=1,1,0)</f>
        <v>1</v>
      </c>
    </row>
    <row r="10" spans="1:18" x14ac:dyDescent="0.25">
      <c r="A10" s="6">
        <v>1003</v>
      </c>
      <c r="B10" s="7">
        <v>45126</v>
      </c>
      <c r="C10" t="s">
        <v>51</v>
      </c>
      <c r="D10" s="6">
        <v>2015</v>
      </c>
      <c r="E10" s="8">
        <v>15705</v>
      </c>
      <c r="F10" s="8">
        <v>18000</v>
      </c>
      <c r="G10" s="8">
        <f t="shared" si="0"/>
        <v>2295</v>
      </c>
      <c r="H10" s="6">
        <v>60000</v>
      </c>
      <c r="I10" t="s">
        <v>58</v>
      </c>
      <c r="J10" t="s">
        <v>1647</v>
      </c>
      <c r="K10" t="s">
        <v>36</v>
      </c>
      <c r="L10" t="s">
        <v>54</v>
      </c>
      <c r="M10" t="s">
        <v>1647</v>
      </c>
      <c r="N10" s="6" t="s">
        <v>1647</v>
      </c>
      <c r="O10" t="str">
        <f t="shared" si="1"/>
        <v>Normal</v>
      </c>
      <c r="P10" t="str">
        <f t="shared" si="2"/>
        <v>Duplicate ID</v>
      </c>
      <c r="Q10" t="str">
        <f t="shared" si="3"/>
        <v>15,000-19,999</v>
      </c>
      <c r="R10" s="6">
        <f>IF(COUNTIF($A$2:A10,A10)=1,1,0)</f>
        <v>1</v>
      </c>
    </row>
    <row r="11" spans="1:18" x14ac:dyDescent="0.25">
      <c r="A11" s="6">
        <v>1000</v>
      </c>
      <c r="B11" s="7">
        <v>45283</v>
      </c>
      <c r="C11" t="s">
        <v>57</v>
      </c>
      <c r="D11" s="6">
        <v>2016</v>
      </c>
      <c r="E11" s="8">
        <v>16582</v>
      </c>
      <c r="F11" s="8">
        <v>22000</v>
      </c>
      <c r="G11" s="8">
        <f t="shared" si="0"/>
        <v>5418</v>
      </c>
      <c r="H11" s="6">
        <v>25000</v>
      </c>
      <c r="I11" t="s">
        <v>69</v>
      </c>
      <c r="J11" t="s">
        <v>72</v>
      </c>
      <c r="K11" t="s">
        <v>36</v>
      </c>
      <c r="L11" t="s">
        <v>73</v>
      </c>
      <c r="M11" t="s">
        <v>90</v>
      </c>
      <c r="N11" s="6" t="s">
        <v>1647</v>
      </c>
      <c r="O11" t="str">
        <f t="shared" si="1"/>
        <v>Normal</v>
      </c>
      <c r="P11" t="str">
        <f t="shared" si="2"/>
        <v>Duplicate ID</v>
      </c>
      <c r="Q11" t="str">
        <f t="shared" si="3"/>
        <v>15,000-19,999</v>
      </c>
      <c r="R11" s="6">
        <f>IF(COUNTIF($A$2:A11,A11)=1,1,0)</f>
        <v>1</v>
      </c>
    </row>
    <row r="12" spans="1:18" x14ac:dyDescent="0.25">
      <c r="A12" s="6">
        <v>1131</v>
      </c>
      <c r="B12" s="7">
        <v>44454</v>
      </c>
      <c r="C12" t="s">
        <v>40</v>
      </c>
      <c r="D12" s="6">
        <v>2015</v>
      </c>
      <c r="E12" s="8">
        <v>25637</v>
      </c>
      <c r="F12" s="8">
        <v>31000</v>
      </c>
      <c r="G12" s="8">
        <f t="shared" si="0"/>
        <v>5363</v>
      </c>
      <c r="H12" s="6">
        <v>15000</v>
      </c>
      <c r="I12" t="s">
        <v>34</v>
      </c>
      <c r="J12" t="s">
        <v>35</v>
      </c>
      <c r="K12" t="s">
        <v>1647</v>
      </c>
      <c r="L12" t="s">
        <v>100</v>
      </c>
      <c r="M12" t="s">
        <v>45</v>
      </c>
      <c r="N12" s="6">
        <v>3</v>
      </c>
      <c r="O12" t="str">
        <f t="shared" si="1"/>
        <v>Normal</v>
      </c>
      <c r="P12" t="str">
        <f t="shared" si="2"/>
        <v>Duplicate ID</v>
      </c>
      <c r="Q12" t="str">
        <f t="shared" si="3"/>
        <v>25,000-30,000</v>
      </c>
      <c r="R12" s="6">
        <f>IF(COUNTIF($A$2:A12,A12)=1,1,0)</f>
        <v>1</v>
      </c>
    </row>
    <row r="13" spans="1:18" x14ac:dyDescent="0.25">
      <c r="A13" s="6">
        <v>1065</v>
      </c>
      <c r="B13" s="7">
        <v>44657</v>
      </c>
      <c r="C13" t="s">
        <v>79</v>
      </c>
      <c r="D13" s="6">
        <v>2021</v>
      </c>
      <c r="E13" s="8">
        <v>27970</v>
      </c>
      <c r="F13" s="8">
        <v>31000</v>
      </c>
      <c r="G13" s="8">
        <f t="shared" si="0"/>
        <v>3030</v>
      </c>
      <c r="H13" s="6">
        <v>15000</v>
      </c>
      <c r="I13" t="s">
        <v>58</v>
      </c>
      <c r="J13" t="s">
        <v>35</v>
      </c>
      <c r="K13" t="s">
        <v>36</v>
      </c>
      <c r="L13" t="s">
        <v>73</v>
      </c>
      <c r="M13" t="s">
        <v>90</v>
      </c>
      <c r="N13" s="6">
        <v>0</v>
      </c>
      <c r="O13" t="str">
        <f t="shared" si="1"/>
        <v>Normal</v>
      </c>
      <c r="P13" t="str">
        <f t="shared" si="2"/>
        <v>Duplicate ID</v>
      </c>
      <c r="Q13" t="str">
        <f t="shared" si="3"/>
        <v>25,000-30,000</v>
      </c>
      <c r="R13" s="6">
        <f>IF(COUNTIF($A$2:A13,A13)=1,1,0)</f>
        <v>0</v>
      </c>
    </row>
    <row r="14" spans="1:18" x14ac:dyDescent="0.25">
      <c r="A14" s="6">
        <v>1497</v>
      </c>
      <c r="B14" s="7">
        <v>44767</v>
      </c>
      <c r="C14" t="s">
        <v>40</v>
      </c>
      <c r="D14" s="6">
        <v>2019</v>
      </c>
      <c r="E14" s="8">
        <v>6051</v>
      </c>
      <c r="F14" s="8">
        <v>9000</v>
      </c>
      <c r="G14" s="8">
        <f t="shared" si="0"/>
        <v>2949</v>
      </c>
      <c r="H14" s="6">
        <v>80000</v>
      </c>
      <c r="I14" t="s">
        <v>1647</v>
      </c>
      <c r="J14" t="s">
        <v>35</v>
      </c>
      <c r="K14" t="s">
        <v>96</v>
      </c>
      <c r="L14" t="s">
        <v>48</v>
      </c>
      <c r="M14" t="s">
        <v>90</v>
      </c>
      <c r="N14" s="6">
        <v>0</v>
      </c>
      <c r="O14" t="str">
        <f t="shared" si="1"/>
        <v>Normal</v>
      </c>
      <c r="P14" t="str">
        <f t="shared" si="2"/>
        <v>Duplicate ID</v>
      </c>
      <c r="Q14" t="str">
        <f t="shared" si="3"/>
        <v>5,000-9,999</v>
      </c>
      <c r="R14" s="6">
        <f>IF(COUNTIF($A$2:A14,A14)=1,1,0)</f>
        <v>1</v>
      </c>
    </row>
    <row r="15" spans="1:18" x14ac:dyDescent="0.25">
      <c r="A15" s="6">
        <v>1478</v>
      </c>
      <c r="B15" s="7">
        <v>45038</v>
      </c>
      <c r="C15" t="s">
        <v>32</v>
      </c>
      <c r="D15" s="6">
        <v>2018</v>
      </c>
      <c r="E15" s="8">
        <v>21531</v>
      </c>
      <c r="F15" s="8">
        <v>26000</v>
      </c>
      <c r="G15" s="8">
        <f t="shared" si="0"/>
        <v>4469</v>
      </c>
      <c r="H15" s="6">
        <v>40000</v>
      </c>
      <c r="I15" t="s">
        <v>41</v>
      </c>
      <c r="J15" t="s">
        <v>35</v>
      </c>
      <c r="K15" t="s">
        <v>96</v>
      </c>
      <c r="L15" t="s">
        <v>54</v>
      </c>
      <c r="M15" t="s">
        <v>126</v>
      </c>
      <c r="N15" s="6">
        <v>1</v>
      </c>
      <c r="O15" t="str">
        <f t="shared" si="1"/>
        <v>Normal</v>
      </c>
      <c r="P15" t="str">
        <f t="shared" si="2"/>
        <v>Duplicate ID</v>
      </c>
      <c r="Q15" t="str">
        <f t="shared" si="3"/>
        <v>20,000-24,999</v>
      </c>
      <c r="R15" s="6">
        <f>IF(COUNTIF($A$2:A15,A15)=1,1,0)</f>
        <v>1</v>
      </c>
    </row>
    <row r="16" spans="1:18" x14ac:dyDescent="0.25">
      <c r="A16" s="6">
        <v>1285</v>
      </c>
      <c r="B16" s="7">
        <v>44572</v>
      </c>
      <c r="C16" t="s">
        <v>57</v>
      </c>
      <c r="D16" s="6">
        <v>2017</v>
      </c>
      <c r="E16" s="8">
        <v>26544</v>
      </c>
      <c r="F16" s="8">
        <v>31000</v>
      </c>
      <c r="G16" s="8">
        <f t="shared" si="0"/>
        <v>4456</v>
      </c>
      <c r="H16" s="6">
        <v>25000</v>
      </c>
      <c r="I16" t="s">
        <v>41</v>
      </c>
      <c r="J16" t="s">
        <v>35</v>
      </c>
      <c r="K16" t="s">
        <v>1647</v>
      </c>
      <c r="L16" t="s">
        <v>73</v>
      </c>
      <c r="M16" t="s">
        <v>126</v>
      </c>
      <c r="N16" s="6">
        <v>1</v>
      </c>
      <c r="O16" t="str">
        <f t="shared" si="1"/>
        <v>Normal</v>
      </c>
      <c r="P16" t="str">
        <f t="shared" si="2"/>
        <v>Duplicate ID</v>
      </c>
      <c r="Q16" t="str">
        <f t="shared" si="3"/>
        <v>25,000-30,000</v>
      </c>
      <c r="R16" s="6">
        <f>IF(COUNTIF($A$2:A16,A16)=1,1,0)</f>
        <v>1</v>
      </c>
    </row>
    <row r="17" spans="1:18" x14ac:dyDescent="0.25">
      <c r="A17" s="6">
        <v>1060</v>
      </c>
      <c r="B17" s="7">
        <v>45018</v>
      </c>
      <c r="C17" t="s">
        <v>57</v>
      </c>
      <c r="D17" s="6">
        <v>2020</v>
      </c>
      <c r="E17" s="8">
        <v>28249</v>
      </c>
      <c r="F17" s="8">
        <v>31000</v>
      </c>
      <c r="G17" s="8">
        <f t="shared" si="0"/>
        <v>2751</v>
      </c>
      <c r="H17" s="6">
        <v>60000</v>
      </c>
      <c r="I17" t="s">
        <v>1647</v>
      </c>
      <c r="J17" t="s">
        <v>72</v>
      </c>
      <c r="K17" t="s">
        <v>96</v>
      </c>
      <c r="L17" t="s">
        <v>1647</v>
      </c>
      <c r="M17" t="s">
        <v>98</v>
      </c>
      <c r="N17" s="6">
        <v>1</v>
      </c>
      <c r="O17" t="str">
        <f t="shared" si="1"/>
        <v>Normal</v>
      </c>
      <c r="P17" t="str">
        <f t="shared" si="2"/>
        <v>Duplicate ID</v>
      </c>
      <c r="Q17" t="str">
        <f t="shared" si="3"/>
        <v>25,000-30,000</v>
      </c>
      <c r="R17" s="6">
        <f>IF(COUNTIF($A$2:A17,A17)=1,1,0)</f>
        <v>1</v>
      </c>
    </row>
    <row r="18" spans="1:18" x14ac:dyDescent="0.25">
      <c r="A18" s="6">
        <v>1062</v>
      </c>
      <c r="B18" s="7">
        <v>45307</v>
      </c>
      <c r="C18" t="s">
        <v>57</v>
      </c>
      <c r="D18" s="6">
        <v>2018</v>
      </c>
      <c r="E18" s="8">
        <v>9256</v>
      </c>
      <c r="F18" s="8">
        <v>15000</v>
      </c>
      <c r="G18" s="8">
        <f t="shared" si="0"/>
        <v>5744</v>
      </c>
      <c r="H18" s="6">
        <v>15000</v>
      </c>
      <c r="I18" t="s">
        <v>58</v>
      </c>
      <c r="J18" t="s">
        <v>35</v>
      </c>
      <c r="K18" t="s">
        <v>1647</v>
      </c>
      <c r="L18" t="s">
        <v>73</v>
      </c>
      <c r="M18" t="s">
        <v>90</v>
      </c>
      <c r="N18" s="6">
        <v>0</v>
      </c>
      <c r="O18" t="str">
        <f t="shared" si="1"/>
        <v>Normal</v>
      </c>
      <c r="P18" t="str">
        <f t="shared" si="2"/>
        <v>Duplicate ID</v>
      </c>
      <c r="Q18" t="str">
        <f t="shared" si="3"/>
        <v>5,000-9,999</v>
      </c>
      <c r="R18" s="6">
        <f>IF(COUNTIF($A$2:A18,A18)=1,1,0)</f>
        <v>1</v>
      </c>
    </row>
    <row r="19" spans="1:18" x14ac:dyDescent="0.25">
      <c r="A19" s="6">
        <v>1252</v>
      </c>
      <c r="B19" s="7">
        <v>45363</v>
      </c>
      <c r="C19" t="s">
        <v>40</v>
      </c>
      <c r="D19" s="6">
        <v>2018</v>
      </c>
      <c r="E19" s="8">
        <v>13018</v>
      </c>
      <c r="F19" s="8">
        <v>15000</v>
      </c>
      <c r="G19" s="8">
        <f t="shared" si="0"/>
        <v>1982</v>
      </c>
      <c r="H19" s="6">
        <v>60000</v>
      </c>
      <c r="I19" t="s">
        <v>69</v>
      </c>
      <c r="J19" t="s">
        <v>72</v>
      </c>
      <c r="K19" t="s">
        <v>36</v>
      </c>
      <c r="L19" t="s">
        <v>54</v>
      </c>
      <c r="M19" t="s">
        <v>90</v>
      </c>
      <c r="N19" s="6">
        <v>2</v>
      </c>
      <c r="O19" t="str">
        <f t="shared" si="1"/>
        <v>Normal</v>
      </c>
      <c r="P19" t="str">
        <f t="shared" si="2"/>
        <v>Duplicate ID</v>
      </c>
      <c r="Q19" t="str">
        <f t="shared" si="3"/>
        <v>10,000-14,999</v>
      </c>
      <c r="R19" s="6">
        <f>IF(COUNTIF($A$2:A19,A19)=1,1,0)</f>
        <v>1</v>
      </c>
    </row>
    <row r="20" spans="1:18" x14ac:dyDescent="0.25">
      <c r="A20" s="6">
        <v>1009</v>
      </c>
      <c r="B20" s="7">
        <v>44345</v>
      </c>
      <c r="C20" t="s">
        <v>79</v>
      </c>
      <c r="D20" s="6">
        <v>2016</v>
      </c>
      <c r="E20" s="8">
        <v>14410</v>
      </c>
      <c r="F20" s="8">
        <v>18000</v>
      </c>
      <c r="G20" s="8">
        <f t="shared" si="0"/>
        <v>3590</v>
      </c>
      <c r="H20" s="6">
        <v>60000</v>
      </c>
      <c r="I20" t="s">
        <v>41</v>
      </c>
      <c r="J20" t="s">
        <v>1647</v>
      </c>
      <c r="K20" t="s">
        <v>36</v>
      </c>
      <c r="L20" t="s">
        <v>1647</v>
      </c>
      <c r="M20" t="s">
        <v>45</v>
      </c>
      <c r="N20" s="6">
        <v>1</v>
      </c>
      <c r="O20" t="str">
        <f t="shared" si="1"/>
        <v>Normal</v>
      </c>
      <c r="P20" t="str">
        <f t="shared" si="2"/>
        <v>Duplicate ID</v>
      </c>
      <c r="Q20" t="str">
        <f t="shared" si="3"/>
        <v>10,000-14,999</v>
      </c>
      <c r="R20" s="6">
        <f>IF(COUNTIF($A$2:A20,A20)=1,1,0)</f>
        <v>1</v>
      </c>
    </row>
    <row r="21" spans="1:18" x14ac:dyDescent="0.25">
      <c r="A21" s="6">
        <v>1448</v>
      </c>
      <c r="B21" s="7">
        <v>44520</v>
      </c>
      <c r="C21" t="s">
        <v>79</v>
      </c>
      <c r="D21" s="6">
        <v>2015</v>
      </c>
      <c r="E21" s="8">
        <v>11666</v>
      </c>
      <c r="F21" s="8">
        <v>15000</v>
      </c>
      <c r="G21" s="8">
        <f t="shared" si="0"/>
        <v>3334</v>
      </c>
      <c r="H21" s="6">
        <v>40000</v>
      </c>
      <c r="I21" t="s">
        <v>41</v>
      </c>
      <c r="J21" t="s">
        <v>1647</v>
      </c>
      <c r="K21" t="s">
        <v>96</v>
      </c>
      <c r="L21" t="s">
        <v>73</v>
      </c>
      <c r="M21" t="s">
        <v>90</v>
      </c>
      <c r="N21" s="6">
        <v>2</v>
      </c>
      <c r="O21" t="str">
        <f t="shared" si="1"/>
        <v>Normal</v>
      </c>
      <c r="P21" t="str">
        <f t="shared" si="2"/>
        <v>Duplicate ID</v>
      </c>
      <c r="Q21" t="str">
        <f t="shared" si="3"/>
        <v>10,000-14,999</v>
      </c>
      <c r="R21" s="6">
        <f>IF(COUNTIF($A$2:A21,A21)=1,1,0)</f>
        <v>1</v>
      </c>
    </row>
    <row r="22" spans="1:18" x14ac:dyDescent="0.25">
      <c r="A22" s="6">
        <v>1351</v>
      </c>
      <c r="B22" s="7">
        <v>44628</v>
      </c>
      <c r="C22" t="s">
        <v>32</v>
      </c>
      <c r="D22" s="6">
        <v>2015</v>
      </c>
      <c r="E22" s="8">
        <v>8692</v>
      </c>
      <c r="F22" s="8">
        <v>12000</v>
      </c>
      <c r="G22" s="8">
        <f t="shared" si="0"/>
        <v>3308</v>
      </c>
      <c r="H22" s="6">
        <v>40000</v>
      </c>
      <c r="I22" t="s">
        <v>1647</v>
      </c>
      <c r="J22" t="s">
        <v>72</v>
      </c>
      <c r="K22" t="s">
        <v>36</v>
      </c>
      <c r="L22" t="s">
        <v>73</v>
      </c>
      <c r="M22" t="s">
        <v>98</v>
      </c>
      <c r="N22" s="6">
        <v>2</v>
      </c>
      <c r="O22" t="str">
        <f t="shared" si="1"/>
        <v>Normal</v>
      </c>
      <c r="P22" t="str">
        <f t="shared" si="2"/>
        <v>Duplicate ID</v>
      </c>
      <c r="Q22" t="str">
        <f t="shared" si="3"/>
        <v>5,000-9,999</v>
      </c>
      <c r="R22" s="6">
        <f>IF(COUNTIF($A$2:A22,A22)=1,1,0)</f>
        <v>1</v>
      </c>
    </row>
    <row r="23" spans="1:18" x14ac:dyDescent="0.25">
      <c r="A23" s="6">
        <v>1165</v>
      </c>
      <c r="B23" s="7">
        <v>44733</v>
      </c>
      <c r="C23" t="s">
        <v>40</v>
      </c>
      <c r="D23" s="6">
        <v>2014</v>
      </c>
      <c r="E23" s="8">
        <v>15781</v>
      </c>
      <c r="F23" s="8">
        <v>22000</v>
      </c>
      <c r="G23" s="8">
        <f t="shared" si="0"/>
        <v>6219</v>
      </c>
      <c r="H23" s="6">
        <v>25000</v>
      </c>
      <c r="I23" t="s">
        <v>41</v>
      </c>
      <c r="J23" t="s">
        <v>35</v>
      </c>
      <c r="K23" t="s">
        <v>36</v>
      </c>
      <c r="L23" t="s">
        <v>100</v>
      </c>
      <c r="M23" t="s">
        <v>1647</v>
      </c>
      <c r="N23" s="6">
        <v>0</v>
      </c>
      <c r="O23" t="str">
        <f t="shared" si="1"/>
        <v>Normal</v>
      </c>
      <c r="P23" t="str">
        <f t="shared" si="2"/>
        <v>Duplicate ID</v>
      </c>
      <c r="Q23" t="str">
        <f t="shared" si="3"/>
        <v>15,000-19,999</v>
      </c>
      <c r="R23" s="6">
        <f>IF(COUNTIF($A$2:A23,A23)=1,1,0)</f>
        <v>1</v>
      </c>
    </row>
    <row r="24" spans="1:18" x14ac:dyDescent="0.25">
      <c r="A24" s="6">
        <v>1315</v>
      </c>
      <c r="B24" s="7">
        <v>44282</v>
      </c>
      <c r="C24" t="s">
        <v>79</v>
      </c>
      <c r="D24" s="6"/>
      <c r="E24" s="8">
        <v>9956</v>
      </c>
      <c r="F24" s="8">
        <v>12000</v>
      </c>
      <c r="G24" s="8">
        <f t="shared" si="0"/>
        <v>2044</v>
      </c>
      <c r="H24" s="6">
        <v>60000</v>
      </c>
      <c r="I24" t="s">
        <v>41</v>
      </c>
      <c r="J24" t="s">
        <v>72</v>
      </c>
      <c r="K24" t="s">
        <v>36</v>
      </c>
      <c r="L24" t="s">
        <v>100</v>
      </c>
      <c r="M24" t="s">
        <v>126</v>
      </c>
      <c r="N24" s="6">
        <v>2</v>
      </c>
      <c r="O24" t="str">
        <f t="shared" si="1"/>
        <v>Normal</v>
      </c>
      <c r="P24" t="str">
        <f t="shared" si="2"/>
        <v>Duplicate ID</v>
      </c>
      <c r="Q24" t="str">
        <f t="shared" si="3"/>
        <v>5,000-9,999</v>
      </c>
      <c r="R24" s="6">
        <f>IF(COUNTIF($A$2:A24,A24)=1,1,0)</f>
        <v>1</v>
      </c>
    </row>
    <row r="25" spans="1:18" x14ac:dyDescent="0.25">
      <c r="A25" s="6">
        <v>1422</v>
      </c>
      <c r="B25" s="7">
        <v>44559</v>
      </c>
      <c r="C25" t="s">
        <v>1648</v>
      </c>
      <c r="D25" s="6"/>
      <c r="E25" s="8">
        <v>9669</v>
      </c>
      <c r="F25" s="8">
        <v>12000</v>
      </c>
      <c r="G25" s="8">
        <f t="shared" si="0"/>
        <v>2331</v>
      </c>
      <c r="H25" s="6">
        <v>25000</v>
      </c>
      <c r="I25" t="s">
        <v>34</v>
      </c>
      <c r="J25" t="s">
        <v>35</v>
      </c>
      <c r="K25" t="s">
        <v>96</v>
      </c>
      <c r="L25" t="s">
        <v>100</v>
      </c>
      <c r="M25" t="s">
        <v>126</v>
      </c>
      <c r="N25" s="6">
        <v>3</v>
      </c>
      <c r="O25" t="str">
        <f t="shared" si="1"/>
        <v>Normal</v>
      </c>
      <c r="P25" t="str">
        <f t="shared" si="2"/>
        <v>Duplicate ID</v>
      </c>
      <c r="Q25" t="str">
        <f t="shared" si="3"/>
        <v>5,000-9,999</v>
      </c>
      <c r="R25" s="6">
        <f>IF(COUNTIF($A$2:A25,A25)=1,1,0)</f>
        <v>1</v>
      </c>
    </row>
    <row r="26" spans="1:18" x14ac:dyDescent="0.25">
      <c r="A26" s="6">
        <v>1312</v>
      </c>
      <c r="B26" s="7">
        <v>44913</v>
      </c>
      <c r="C26" t="s">
        <v>40</v>
      </c>
      <c r="D26" s="6">
        <v>2021</v>
      </c>
      <c r="E26" s="8">
        <v>10230</v>
      </c>
      <c r="F26" s="8">
        <v>15000</v>
      </c>
      <c r="G26" s="8">
        <f t="shared" si="0"/>
        <v>4770</v>
      </c>
      <c r="H26" s="6">
        <v>25000</v>
      </c>
      <c r="I26" t="s">
        <v>58</v>
      </c>
      <c r="J26" t="s">
        <v>72</v>
      </c>
      <c r="K26" t="s">
        <v>96</v>
      </c>
      <c r="L26" t="s">
        <v>54</v>
      </c>
      <c r="M26" t="s">
        <v>126</v>
      </c>
      <c r="N26" s="6">
        <v>2</v>
      </c>
      <c r="O26" t="str">
        <f t="shared" si="1"/>
        <v>Normal</v>
      </c>
      <c r="P26" t="str">
        <f t="shared" si="2"/>
        <v>Unique ID</v>
      </c>
      <c r="Q26" t="str">
        <f t="shared" si="3"/>
        <v>10,000-14,999</v>
      </c>
      <c r="R26" s="6">
        <f>IF(COUNTIF($A$2:A26,A26)=1,1,0)</f>
        <v>1</v>
      </c>
    </row>
    <row r="27" spans="1:18" x14ac:dyDescent="0.25">
      <c r="A27" s="6">
        <v>1028</v>
      </c>
      <c r="B27" s="7">
        <v>44875</v>
      </c>
      <c r="C27" t="s">
        <v>79</v>
      </c>
      <c r="D27" s="6">
        <v>2018</v>
      </c>
      <c r="E27" s="8">
        <v>20608</v>
      </c>
      <c r="F27" s="8">
        <v>26000</v>
      </c>
      <c r="G27" s="8">
        <f t="shared" si="0"/>
        <v>5392</v>
      </c>
      <c r="H27" s="6">
        <v>120000</v>
      </c>
      <c r="I27" t="s">
        <v>69</v>
      </c>
      <c r="J27" t="s">
        <v>35</v>
      </c>
      <c r="K27" t="s">
        <v>36</v>
      </c>
      <c r="L27" t="s">
        <v>48</v>
      </c>
      <c r="M27" t="s">
        <v>45</v>
      </c>
      <c r="N27" s="6">
        <v>2</v>
      </c>
      <c r="O27" t="str">
        <f t="shared" si="1"/>
        <v>Normal</v>
      </c>
      <c r="P27" t="str">
        <f t="shared" si="2"/>
        <v>Duplicate ID</v>
      </c>
      <c r="Q27" t="str">
        <f t="shared" si="3"/>
        <v>20,000-24,999</v>
      </c>
      <c r="R27" s="6">
        <f>IF(COUNTIF($A$2:A27,A27)=1,1,0)</f>
        <v>1</v>
      </c>
    </row>
    <row r="28" spans="1:18" x14ac:dyDescent="0.25">
      <c r="A28" s="6">
        <v>1260</v>
      </c>
      <c r="B28" s="7">
        <v>44586</v>
      </c>
      <c r="C28" t="s">
        <v>1648</v>
      </c>
      <c r="D28" s="6"/>
      <c r="E28" s="8">
        <v>3277</v>
      </c>
      <c r="F28" s="8">
        <v>9000</v>
      </c>
      <c r="G28" s="8">
        <f t="shared" si="0"/>
        <v>5723</v>
      </c>
      <c r="H28" s="6">
        <v>60000</v>
      </c>
      <c r="I28" t="s">
        <v>58</v>
      </c>
      <c r="J28" t="s">
        <v>72</v>
      </c>
      <c r="K28" t="s">
        <v>96</v>
      </c>
      <c r="L28" t="s">
        <v>73</v>
      </c>
      <c r="M28" t="s">
        <v>45</v>
      </c>
      <c r="N28" s="6" t="s">
        <v>1647</v>
      </c>
      <c r="O28" t="str">
        <f t="shared" si="1"/>
        <v>Normal</v>
      </c>
      <c r="P28" t="str">
        <f t="shared" si="2"/>
        <v>Duplicate ID</v>
      </c>
      <c r="Q28" t="str">
        <f t="shared" si="3"/>
        <v>0-4,999</v>
      </c>
      <c r="R28" s="6">
        <f>IF(COUNTIF($A$2:A28,A28)=1,1,0)</f>
        <v>1</v>
      </c>
    </row>
    <row r="29" spans="1:18" x14ac:dyDescent="0.25">
      <c r="A29" s="6">
        <v>1316</v>
      </c>
      <c r="B29" s="7">
        <v>45235</v>
      </c>
      <c r="C29" t="s">
        <v>51</v>
      </c>
      <c r="D29" s="6">
        <v>2018</v>
      </c>
      <c r="E29" s="8">
        <v>5540</v>
      </c>
      <c r="F29" s="8">
        <v>9000</v>
      </c>
      <c r="G29" s="8">
        <f t="shared" si="0"/>
        <v>3460</v>
      </c>
      <c r="H29" s="6">
        <v>120000</v>
      </c>
      <c r="I29" t="s">
        <v>58</v>
      </c>
      <c r="J29" t="s">
        <v>35</v>
      </c>
      <c r="K29" t="s">
        <v>96</v>
      </c>
      <c r="L29" t="s">
        <v>48</v>
      </c>
      <c r="M29" t="s">
        <v>90</v>
      </c>
      <c r="N29" s="6" t="s">
        <v>1647</v>
      </c>
      <c r="O29" t="str">
        <f t="shared" si="1"/>
        <v>Normal</v>
      </c>
      <c r="P29" t="str">
        <f t="shared" si="2"/>
        <v>Duplicate ID</v>
      </c>
      <c r="Q29" t="str">
        <f t="shared" si="3"/>
        <v>5,000-9,999</v>
      </c>
      <c r="R29" s="6">
        <f>IF(COUNTIF($A$2:A29,A29)=1,1,0)</f>
        <v>1</v>
      </c>
    </row>
    <row r="30" spans="1:18" x14ac:dyDescent="0.25">
      <c r="A30" s="6">
        <v>1440</v>
      </c>
      <c r="B30" s="7">
        <v>44627</v>
      </c>
      <c r="C30" t="s">
        <v>51</v>
      </c>
      <c r="D30" s="6">
        <v>2020</v>
      </c>
      <c r="E30" s="8">
        <v>3650</v>
      </c>
      <c r="F30" s="8">
        <v>7000</v>
      </c>
      <c r="G30" s="8">
        <f t="shared" si="0"/>
        <v>3350</v>
      </c>
      <c r="H30" s="6">
        <v>40000</v>
      </c>
      <c r="I30" t="s">
        <v>1647</v>
      </c>
      <c r="J30" t="s">
        <v>72</v>
      </c>
      <c r="K30" t="s">
        <v>36</v>
      </c>
      <c r="L30" t="s">
        <v>1647</v>
      </c>
      <c r="M30" t="s">
        <v>98</v>
      </c>
      <c r="N30" s="6">
        <v>1</v>
      </c>
      <c r="O30" t="str">
        <f t="shared" si="1"/>
        <v>Normal</v>
      </c>
      <c r="P30" t="str">
        <f t="shared" si="2"/>
        <v>Duplicate ID</v>
      </c>
      <c r="Q30" t="str">
        <f t="shared" si="3"/>
        <v>0-4,999</v>
      </c>
      <c r="R30" s="6">
        <f>IF(COUNTIF($A$2:A30,A30)=1,1,0)</f>
        <v>1</v>
      </c>
    </row>
    <row r="31" spans="1:18" x14ac:dyDescent="0.25">
      <c r="A31" s="6">
        <v>1230</v>
      </c>
      <c r="B31" s="7">
        <v>44832</v>
      </c>
      <c r="C31" t="s">
        <v>40</v>
      </c>
      <c r="D31" s="6">
        <v>2018</v>
      </c>
      <c r="E31" s="8">
        <v>19076</v>
      </c>
      <c r="F31" s="8">
        <v>22000</v>
      </c>
      <c r="G31" s="8">
        <f t="shared" si="0"/>
        <v>2924</v>
      </c>
      <c r="H31" s="6">
        <v>15000</v>
      </c>
      <c r="I31" t="s">
        <v>1647</v>
      </c>
      <c r="J31" t="s">
        <v>1647</v>
      </c>
      <c r="K31" t="s">
        <v>36</v>
      </c>
      <c r="L31" t="s">
        <v>48</v>
      </c>
      <c r="M31" t="s">
        <v>98</v>
      </c>
      <c r="N31" s="6" t="s">
        <v>1647</v>
      </c>
      <c r="O31" t="str">
        <f t="shared" si="1"/>
        <v>Normal</v>
      </c>
      <c r="P31" t="str">
        <f t="shared" si="2"/>
        <v>Duplicate ID</v>
      </c>
      <c r="Q31" t="str">
        <f t="shared" si="3"/>
        <v>15,000-19,999</v>
      </c>
      <c r="R31" s="6">
        <f>IF(COUNTIF($A$2:A31,A31)=1,1,0)</f>
        <v>1</v>
      </c>
    </row>
    <row r="32" spans="1:18" x14ac:dyDescent="0.25">
      <c r="A32" s="6">
        <v>1005</v>
      </c>
      <c r="B32" s="7">
        <v>44499</v>
      </c>
      <c r="C32" t="s">
        <v>57</v>
      </c>
      <c r="D32" s="6">
        <v>2020</v>
      </c>
      <c r="E32" s="8">
        <v>28002</v>
      </c>
      <c r="F32" s="8">
        <v>31000</v>
      </c>
      <c r="G32" s="8">
        <f t="shared" si="0"/>
        <v>2998</v>
      </c>
      <c r="H32" s="6">
        <v>60000</v>
      </c>
      <c r="I32" t="s">
        <v>34</v>
      </c>
      <c r="J32" t="s">
        <v>35</v>
      </c>
      <c r="K32" t="s">
        <v>36</v>
      </c>
      <c r="L32" t="s">
        <v>1647</v>
      </c>
      <c r="M32" t="s">
        <v>98</v>
      </c>
      <c r="N32" s="6">
        <v>0</v>
      </c>
      <c r="O32" t="str">
        <f t="shared" si="1"/>
        <v>Normal</v>
      </c>
      <c r="P32" t="str">
        <f t="shared" si="2"/>
        <v>Duplicate ID</v>
      </c>
      <c r="Q32" t="str">
        <f t="shared" si="3"/>
        <v>25,000-30,000</v>
      </c>
      <c r="R32" s="6">
        <f>IF(COUNTIF($A$2:A32,A32)=1,1,0)</f>
        <v>1</v>
      </c>
    </row>
    <row r="33" spans="1:18" x14ac:dyDescent="0.25">
      <c r="A33" s="6">
        <v>1572</v>
      </c>
      <c r="B33" s="7">
        <v>45284</v>
      </c>
      <c r="C33" t="s">
        <v>119</v>
      </c>
      <c r="D33" s="6">
        <v>2015</v>
      </c>
      <c r="E33" s="8">
        <v>26194</v>
      </c>
      <c r="F33" s="8">
        <v>31000</v>
      </c>
      <c r="G33" s="8">
        <f t="shared" si="0"/>
        <v>4806</v>
      </c>
      <c r="H33" s="6">
        <v>25000</v>
      </c>
      <c r="I33" t="s">
        <v>34</v>
      </c>
      <c r="J33" t="s">
        <v>1647</v>
      </c>
      <c r="K33" t="s">
        <v>96</v>
      </c>
      <c r="L33" t="s">
        <v>100</v>
      </c>
      <c r="M33" t="s">
        <v>98</v>
      </c>
      <c r="N33" s="6">
        <v>3</v>
      </c>
      <c r="O33" t="str">
        <f t="shared" si="1"/>
        <v>Normal</v>
      </c>
      <c r="P33" t="str">
        <f t="shared" si="2"/>
        <v>Duplicate ID</v>
      </c>
      <c r="Q33" t="str">
        <f t="shared" si="3"/>
        <v>25,000-30,000</v>
      </c>
      <c r="R33" s="6">
        <f>IF(COUNTIF($A$2:A33,A33)=1,1,0)</f>
        <v>1</v>
      </c>
    </row>
    <row r="34" spans="1:18" x14ac:dyDescent="0.25">
      <c r="A34" s="6">
        <v>1281</v>
      </c>
      <c r="B34" s="7">
        <v>44686</v>
      </c>
      <c r="C34" t="s">
        <v>119</v>
      </c>
      <c r="D34" s="6">
        <v>2017</v>
      </c>
      <c r="E34" s="8">
        <v>13031</v>
      </c>
      <c r="F34" s="8">
        <v>18000</v>
      </c>
      <c r="G34" s="8">
        <f t="shared" si="0"/>
        <v>4969</v>
      </c>
      <c r="H34" s="6">
        <v>80000</v>
      </c>
      <c r="I34" t="s">
        <v>69</v>
      </c>
      <c r="J34" t="s">
        <v>72</v>
      </c>
      <c r="K34" t="s">
        <v>1647</v>
      </c>
      <c r="L34" t="s">
        <v>73</v>
      </c>
      <c r="M34" t="s">
        <v>90</v>
      </c>
      <c r="N34" s="6">
        <v>1</v>
      </c>
      <c r="O34" t="str">
        <f t="shared" si="1"/>
        <v>Normal</v>
      </c>
      <c r="P34" t="str">
        <f t="shared" si="2"/>
        <v>Duplicate ID</v>
      </c>
      <c r="Q34" t="str">
        <f t="shared" si="3"/>
        <v>10,000-14,999</v>
      </c>
      <c r="R34" s="6">
        <f>IF(COUNTIF($A$2:A34,A34)=1,1,0)</f>
        <v>1</v>
      </c>
    </row>
    <row r="35" spans="1:18" x14ac:dyDescent="0.25">
      <c r="A35" s="6">
        <v>1424</v>
      </c>
      <c r="B35" s="7">
        <v>44328</v>
      </c>
      <c r="C35" t="s">
        <v>119</v>
      </c>
      <c r="D35" s="6">
        <v>2020</v>
      </c>
      <c r="E35" s="8">
        <v>9248</v>
      </c>
      <c r="F35" s="8">
        <v>12000</v>
      </c>
      <c r="G35" s="8">
        <f t="shared" si="0"/>
        <v>2752</v>
      </c>
      <c r="H35" s="6">
        <v>120000</v>
      </c>
      <c r="I35" t="s">
        <v>58</v>
      </c>
      <c r="J35" t="s">
        <v>72</v>
      </c>
      <c r="K35" t="s">
        <v>96</v>
      </c>
      <c r="L35" t="s">
        <v>73</v>
      </c>
      <c r="M35" t="s">
        <v>98</v>
      </c>
      <c r="N35" s="6">
        <v>3</v>
      </c>
      <c r="O35" t="str">
        <f t="shared" si="1"/>
        <v>Normal</v>
      </c>
      <c r="P35" t="str">
        <f t="shared" si="2"/>
        <v>Duplicate ID</v>
      </c>
      <c r="Q35" t="str">
        <f t="shared" si="3"/>
        <v>5,000-9,999</v>
      </c>
      <c r="R35" s="6">
        <f>IF(COUNTIF($A$2:A35,A35)=1,1,0)</f>
        <v>1</v>
      </c>
    </row>
    <row r="36" spans="1:18" x14ac:dyDescent="0.25">
      <c r="A36" s="6">
        <v>1559</v>
      </c>
      <c r="B36" s="7">
        <v>45299</v>
      </c>
      <c r="C36" t="s">
        <v>40</v>
      </c>
      <c r="D36" s="6">
        <v>2019</v>
      </c>
      <c r="E36" s="8">
        <v>13568</v>
      </c>
      <c r="F36" s="8">
        <v>18000</v>
      </c>
      <c r="G36" s="8">
        <f t="shared" si="0"/>
        <v>4432</v>
      </c>
      <c r="H36" s="6">
        <v>60000</v>
      </c>
      <c r="I36" t="s">
        <v>69</v>
      </c>
      <c r="J36" t="s">
        <v>72</v>
      </c>
      <c r="K36" t="s">
        <v>96</v>
      </c>
      <c r="L36" t="s">
        <v>73</v>
      </c>
      <c r="M36" t="s">
        <v>98</v>
      </c>
      <c r="N36" s="6">
        <v>2</v>
      </c>
      <c r="O36" t="str">
        <f t="shared" si="1"/>
        <v>Normal</v>
      </c>
      <c r="P36" t="str">
        <f t="shared" si="2"/>
        <v>Duplicate ID</v>
      </c>
      <c r="Q36" t="str">
        <f t="shared" si="3"/>
        <v>10,000-14,999</v>
      </c>
      <c r="R36" s="6">
        <f>IF(COUNTIF($A$2:A36,A36)=1,1,0)</f>
        <v>1</v>
      </c>
    </row>
    <row r="37" spans="1:18" x14ac:dyDescent="0.25">
      <c r="A37" s="6">
        <v>1027</v>
      </c>
      <c r="B37" s="7">
        <v>45290</v>
      </c>
      <c r="C37" t="s">
        <v>79</v>
      </c>
      <c r="D37" s="6">
        <v>2016</v>
      </c>
      <c r="E37" s="8">
        <v>24903</v>
      </c>
      <c r="F37" s="8">
        <v>31000</v>
      </c>
      <c r="G37" s="8">
        <f t="shared" si="0"/>
        <v>6097</v>
      </c>
      <c r="H37" s="6">
        <v>25000</v>
      </c>
      <c r="I37" t="s">
        <v>41</v>
      </c>
      <c r="J37" t="s">
        <v>72</v>
      </c>
      <c r="K37" t="s">
        <v>36</v>
      </c>
      <c r="L37" t="s">
        <v>48</v>
      </c>
      <c r="M37" t="s">
        <v>90</v>
      </c>
      <c r="N37" s="6">
        <v>0</v>
      </c>
      <c r="O37" t="str">
        <f t="shared" si="1"/>
        <v>Normal</v>
      </c>
      <c r="P37" t="str">
        <f t="shared" si="2"/>
        <v>Unique ID</v>
      </c>
      <c r="Q37" t="str">
        <f t="shared" si="3"/>
        <v>20,000-24,999</v>
      </c>
      <c r="R37" s="6">
        <f>IF(COUNTIF($A$2:A37,A37)=1,1,0)</f>
        <v>1</v>
      </c>
    </row>
    <row r="38" spans="1:18" x14ac:dyDescent="0.25">
      <c r="A38" s="6">
        <v>1345</v>
      </c>
      <c r="B38" s="7">
        <v>44866</v>
      </c>
      <c r="C38" t="s">
        <v>119</v>
      </c>
      <c r="D38" s="6">
        <v>2020</v>
      </c>
      <c r="E38" s="8">
        <v>17276</v>
      </c>
      <c r="F38" s="8">
        <v>22000</v>
      </c>
      <c r="G38" s="8">
        <f t="shared" si="0"/>
        <v>4724</v>
      </c>
      <c r="H38" s="6">
        <v>25000</v>
      </c>
      <c r="I38" t="s">
        <v>34</v>
      </c>
      <c r="J38" t="s">
        <v>72</v>
      </c>
      <c r="K38" t="s">
        <v>36</v>
      </c>
      <c r="L38" t="s">
        <v>48</v>
      </c>
      <c r="M38" t="s">
        <v>126</v>
      </c>
      <c r="N38" s="6" t="s">
        <v>1647</v>
      </c>
      <c r="O38" t="str">
        <f t="shared" si="1"/>
        <v>Normal</v>
      </c>
      <c r="P38" t="str">
        <f t="shared" si="2"/>
        <v>Duplicate ID</v>
      </c>
      <c r="Q38" t="str">
        <f t="shared" si="3"/>
        <v>15,000-19,999</v>
      </c>
      <c r="R38" s="6">
        <f>IF(COUNTIF($A$2:A38,A38)=1,1,0)</f>
        <v>1</v>
      </c>
    </row>
    <row r="39" spans="1:18" x14ac:dyDescent="0.25">
      <c r="A39" s="6">
        <v>1031</v>
      </c>
      <c r="B39" s="7">
        <v>44279</v>
      </c>
      <c r="C39" t="s">
        <v>40</v>
      </c>
      <c r="D39" s="6">
        <v>2019</v>
      </c>
      <c r="E39" s="8">
        <v>13438</v>
      </c>
      <c r="F39" s="8">
        <v>15000</v>
      </c>
      <c r="G39" s="8">
        <f t="shared" si="0"/>
        <v>1562</v>
      </c>
      <c r="H39" s="6">
        <v>120000</v>
      </c>
      <c r="I39" t="s">
        <v>58</v>
      </c>
      <c r="J39" t="s">
        <v>35</v>
      </c>
      <c r="K39" t="s">
        <v>36</v>
      </c>
      <c r="L39" t="s">
        <v>48</v>
      </c>
      <c r="M39" t="s">
        <v>126</v>
      </c>
      <c r="N39" s="6" t="s">
        <v>1647</v>
      </c>
      <c r="O39" t="str">
        <f t="shared" si="1"/>
        <v>Normal</v>
      </c>
      <c r="P39" t="str">
        <f t="shared" si="2"/>
        <v>Duplicate ID</v>
      </c>
      <c r="Q39" t="str">
        <f t="shared" si="3"/>
        <v>10,000-14,999</v>
      </c>
      <c r="R39" s="6">
        <f>IF(COUNTIF($A$2:A39,A39)=1,1,0)</f>
        <v>1</v>
      </c>
    </row>
    <row r="40" spans="1:18" x14ac:dyDescent="0.25">
      <c r="A40" s="6">
        <v>1167</v>
      </c>
      <c r="B40" s="7">
        <v>44431</v>
      </c>
      <c r="C40" t="s">
        <v>57</v>
      </c>
      <c r="D40" s="6">
        <v>2021</v>
      </c>
      <c r="E40" s="8">
        <v>15626</v>
      </c>
      <c r="F40" s="8">
        <v>18000</v>
      </c>
      <c r="G40" s="8">
        <f t="shared" si="0"/>
        <v>2374</v>
      </c>
      <c r="H40" s="6">
        <v>40000</v>
      </c>
      <c r="I40" t="s">
        <v>69</v>
      </c>
      <c r="J40" t="s">
        <v>1647</v>
      </c>
      <c r="K40" t="s">
        <v>96</v>
      </c>
      <c r="L40" t="s">
        <v>48</v>
      </c>
      <c r="M40" t="s">
        <v>90</v>
      </c>
      <c r="N40" s="6">
        <v>0</v>
      </c>
      <c r="O40" t="str">
        <f t="shared" si="1"/>
        <v>Normal</v>
      </c>
      <c r="P40" t="str">
        <f t="shared" si="2"/>
        <v>Duplicate ID</v>
      </c>
      <c r="Q40" t="str">
        <f t="shared" si="3"/>
        <v>15,000-19,999</v>
      </c>
      <c r="R40" s="6">
        <f>IF(COUNTIF($A$2:A40,A40)=1,1,0)</f>
        <v>1</v>
      </c>
    </row>
    <row r="41" spans="1:18" x14ac:dyDescent="0.25">
      <c r="A41" s="6">
        <v>1579</v>
      </c>
      <c r="B41" s="7">
        <v>44444</v>
      </c>
      <c r="C41" t="s">
        <v>119</v>
      </c>
      <c r="D41" s="6">
        <v>2015</v>
      </c>
      <c r="E41" s="8">
        <v>12082</v>
      </c>
      <c r="F41" s="8">
        <v>18000</v>
      </c>
      <c r="G41" s="8">
        <f t="shared" si="0"/>
        <v>5918</v>
      </c>
      <c r="H41" s="6">
        <v>120000</v>
      </c>
      <c r="I41" t="s">
        <v>69</v>
      </c>
      <c r="J41" t="s">
        <v>35</v>
      </c>
      <c r="K41" t="s">
        <v>1647</v>
      </c>
      <c r="L41" t="s">
        <v>54</v>
      </c>
      <c r="M41" t="s">
        <v>126</v>
      </c>
      <c r="N41" s="6">
        <v>3</v>
      </c>
      <c r="O41" t="str">
        <f t="shared" si="1"/>
        <v>Normal</v>
      </c>
      <c r="P41" t="str">
        <f t="shared" si="2"/>
        <v>Duplicate ID</v>
      </c>
      <c r="Q41" t="str">
        <f t="shared" si="3"/>
        <v>10,000-14,999</v>
      </c>
      <c r="R41" s="6">
        <f>IF(COUNTIF($A$2:A41,A41)=1,1,0)</f>
        <v>1</v>
      </c>
    </row>
    <row r="42" spans="1:18" x14ac:dyDescent="0.25">
      <c r="A42" s="6">
        <v>1156</v>
      </c>
      <c r="B42" s="7">
        <v>45138</v>
      </c>
      <c r="C42" t="s">
        <v>1648</v>
      </c>
      <c r="D42" s="6">
        <v>2015</v>
      </c>
      <c r="E42" s="8">
        <v>19794</v>
      </c>
      <c r="F42" s="8">
        <v>26000</v>
      </c>
      <c r="G42" s="8">
        <f t="shared" si="0"/>
        <v>6206</v>
      </c>
      <c r="H42" s="6">
        <v>40000</v>
      </c>
      <c r="I42" t="s">
        <v>69</v>
      </c>
      <c r="J42" t="s">
        <v>1647</v>
      </c>
      <c r="K42" t="s">
        <v>1647</v>
      </c>
      <c r="L42" t="s">
        <v>48</v>
      </c>
      <c r="M42" t="s">
        <v>98</v>
      </c>
      <c r="N42" s="6">
        <v>3</v>
      </c>
      <c r="O42" t="str">
        <f t="shared" si="1"/>
        <v>Normal</v>
      </c>
      <c r="P42" t="str">
        <f t="shared" si="2"/>
        <v>Duplicate ID</v>
      </c>
      <c r="Q42" t="str">
        <f t="shared" si="3"/>
        <v>15,000-19,999</v>
      </c>
      <c r="R42" s="6">
        <f>IF(COUNTIF($A$2:A42,A42)=1,1,0)</f>
        <v>1</v>
      </c>
    </row>
    <row r="43" spans="1:18" x14ac:dyDescent="0.25">
      <c r="A43" s="6">
        <v>1249</v>
      </c>
      <c r="B43" s="7">
        <v>45120</v>
      </c>
      <c r="C43" t="s">
        <v>119</v>
      </c>
      <c r="D43" s="6">
        <v>2019</v>
      </c>
      <c r="E43" s="8">
        <v>11716</v>
      </c>
      <c r="F43" s="8">
        <v>15000</v>
      </c>
      <c r="G43" s="8">
        <f t="shared" si="0"/>
        <v>3284</v>
      </c>
      <c r="H43" s="6">
        <v>15000</v>
      </c>
      <c r="I43" t="s">
        <v>69</v>
      </c>
      <c r="J43" t="s">
        <v>35</v>
      </c>
      <c r="K43" t="s">
        <v>96</v>
      </c>
      <c r="L43" t="s">
        <v>54</v>
      </c>
      <c r="M43" t="s">
        <v>90</v>
      </c>
      <c r="N43" s="6">
        <v>3</v>
      </c>
      <c r="O43" t="str">
        <f t="shared" si="1"/>
        <v>Normal</v>
      </c>
      <c r="P43" t="str">
        <f t="shared" si="2"/>
        <v>Duplicate ID</v>
      </c>
      <c r="Q43" t="str">
        <f t="shared" si="3"/>
        <v>10,000-14,999</v>
      </c>
      <c r="R43" s="6">
        <f>IF(COUNTIF($A$2:A43,A43)=1,1,0)</f>
        <v>1</v>
      </c>
    </row>
    <row r="44" spans="1:18" x14ac:dyDescent="0.25">
      <c r="A44" s="6">
        <v>1569</v>
      </c>
      <c r="B44" s="7">
        <v>44762</v>
      </c>
      <c r="C44" t="s">
        <v>57</v>
      </c>
      <c r="D44" s="6">
        <v>2019</v>
      </c>
      <c r="E44" s="8">
        <v>14710</v>
      </c>
      <c r="F44" s="8">
        <v>18000</v>
      </c>
      <c r="G44" s="8">
        <f t="shared" si="0"/>
        <v>3290</v>
      </c>
      <c r="H44" s="6">
        <v>40000</v>
      </c>
      <c r="I44" t="s">
        <v>34</v>
      </c>
      <c r="J44" t="s">
        <v>72</v>
      </c>
      <c r="K44" t="s">
        <v>1647</v>
      </c>
      <c r="L44" t="s">
        <v>100</v>
      </c>
      <c r="M44" t="s">
        <v>98</v>
      </c>
      <c r="N44" s="6">
        <v>3</v>
      </c>
      <c r="O44" t="str">
        <f t="shared" si="1"/>
        <v>Normal</v>
      </c>
      <c r="P44" t="str">
        <f t="shared" si="2"/>
        <v>Duplicate ID</v>
      </c>
      <c r="Q44" t="str">
        <f t="shared" si="3"/>
        <v>10,000-14,999</v>
      </c>
      <c r="R44" s="6">
        <f>IF(COUNTIF($A$2:A44,A44)=1,1,0)</f>
        <v>1</v>
      </c>
    </row>
    <row r="45" spans="1:18" x14ac:dyDescent="0.25">
      <c r="A45" s="6">
        <v>1249</v>
      </c>
      <c r="B45" s="7">
        <v>45025</v>
      </c>
      <c r="C45" t="s">
        <v>1648</v>
      </c>
      <c r="D45" s="6">
        <v>2014</v>
      </c>
      <c r="E45" s="8">
        <v>6185</v>
      </c>
      <c r="F45" s="8">
        <v>9000</v>
      </c>
      <c r="G45" s="8">
        <f t="shared" si="0"/>
        <v>2815</v>
      </c>
      <c r="H45" s="6">
        <v>40000</v>
      </c>
      <c r="I45" t="s">
        <v>69</v>
      </c>
      <c r="J45" t="s">
        <v>72</v>
      </c>
      <c r="K45" t="s">
        <v>1647</v>
      </c>
      <c r="L45" t="s">
        <v>54</v>
      </c>
      <c r="M45" t="s">
        <v>45</v>
      </c>
      <c r="N45" s="6">
        <v>3</v>
      </c>
      <c r="O45" t="str">
        <f t="shared" si="1"/>
        <v>Normal</v>
      </c>
      <c r="P45" t="str">
        <f t="shared" si="2"/>
        <v>Duplicate ID</v>
      </c>
      <c r="Q45" t="str">
        <f t="shared" si="3"/>
        <v>5,000-9,999</v>
      </c>
      <c r="R45" s="6">
        <f>IF(COUNTIF($A$2:A45,A45)=1,1,0)</f>
        <v>0</v>
      </c>
    </row>
    <row r="46" spans="1:18" x14ac:dyDescent="0.25">
      <c r="A46" s="6">
        <v>1323</v>
      </c>
      <c r="B46" s="7">
        <v>44591</v>
      </c>
      <c r="C46" t="s">
        <v>119</v>
      </c>
      <c r="D46" s="6">
        <v>2018</v>
      </c>
      <c r="E46" s="8">
        <v>16012</v>
      </c>
      <c r="F46" s="8">
        <v>18000</v>
      </c>
      <c r="G46" s="8">
        <f t="shared" si="0"/>
        <v>1988</v>
      </c>
      <c r="H46" s="6">
        <v>25000</v>
      </c>
      <c r="I46" t="s">
        <v>58</v>
      </c>
      <c r="J46" t="s">
        <v>35</v>
      </c>
      <c r="K46" t="s">
        <v>36</v>
      </c>
      <c r="L46" t="s">
        <v>48</v>
      </c>
      <c r="M46" t="s">
        <v>45</v>
      </c>
      <c r="N46" s="6" t="s">
        <v>1647</v>
      </c>
      <c r="O46" t="str">
        <f t="shared" si="1"/>
        <v>Normal</v>
      </c>
      <c r="P46" t="str">
        <f t="shared" si="2"/>
        <v>Duplicate ID</v>
      </c>
      <c r="Q46" t="str">
        <f t="shared" si="3"/>
        <v>15,000-19,999</v>
      </c>
      <c r="R46" s="6">
        <f>IF(COUNTIF($A$2:A46,A46)=1,1,0)</f>
        <v>1</v>
      </c>
    </row>
    <row r="47" spans="1:18" x14ac:dyDescent="0.25">
      <c r="A47" s="6">
        <v>1183</v>
      </c>
      <c r="B47" s="7">
        <v>44936</v>
      </c>
      <c r="C47" t="s">
        <v>51</v>
      </c>
      <c r="D47" s="6">
        <v>2015</v>
      </c>
      <c r="E47" s="8">
        <v>12137</v>
      </c>
      <c r="F47" s="8">
        <v>15000</v>
      </c>
      <c r="G47" s="8">
        <f t="shared" si="0"/>
        <v>2863</v>
      </c>
      <c r="H47" s="6">
        <v>40000</v>
      </c>
      <c r="I47" t="s">
        <v>41</v>
      </c>
      <c r="J47" t="s">
        <v>35</v>
      </c>
      <c r="K47" t="s">
        <v>1647</v>
      </c>
      <c r="L47" t="s">
        <v>54</v>
      </c>
      <c r="M47" t="s">
        <v>90</v>
      </c>
      <c r="N47" s="6">
        <v>3</v>
      </c>
      <c r="O47" t="str">
        <f t="shared" si="1"/>
        <v>Normal</v>
      </c>
      <c r="P47" t="str">
        <f t="shared" si="2"/>
        <v>Duplicate ID</v>
      </c>
      <c r="Q47" t="str">
        <f t="shared" si="3"/>
        <v>10,000-14,999</v>
      </c>
      <c r="R47" s="6">
        <f>IF(COUNTIF($A$2:A47,A47)=1,1,0)</f>
        <v>1</v>
      </c>
    </row>
    <row r="48" spans="1:18" x14ac:dyDescent="0.25">
      <c r="A48" s="6">
        <v>1348</v>
      </c>
      <c r="B48" s="7">
        <v>45099</v>
      </c>
      <c r="C48" t="s">
        <v>32</v>
      </c>
      <c r="D48" s="6">
        <v>2014</v>
      </c>
      <c r="E48" s="8">
        <v>13079</v>
      </c>
      <c r="F48" s="8">
        <v>18000</v>
      </c>
      <c r="G48" s="8">
        <f t="shared" si="0"/>
        <v>4921</v>
      </c>
      <c r="H48" s="6">
        <v>60000</v>
      </c>
      <c r="I48" t="s">
        <v>1647</v>
      </c>
      <c r="J48" t="s">
        <v>35</v>
      </c>
      <c r="K48" t="s">
        <v>36</v>
      </c>
      <c r="L48" t="s">
        <v>48</v>
      </c>
      <c r="M48" t="s">
        <v>98</v>
      </c>
      <c r="N48" s="6">
        <v>0</v>
      </c>
      <c r="O48" t="str">
        <f t="shared" si="1"/>
        <v>Normal</v>
      </c>
      <c r="P48" t="str">
        <f t="shared" si="2"/>
        <v>Duplicate ID</v>
      </c>
      <c r="Q48" t="str">
        <f t="shared" si="3"/>
        <v>10,000-14,999</v>
      </c>
      <c r="R48" s="6">
        <f>IF(COUNTIF($A$2:A48,A48)=1,1,0)</f>
        <v>1</v>
      </c>
    </row>
    <row r="49" spans="1:18" x14ac:dyDescent="0.25">
      <c r="A49" s="6">
        <v>1254</v>
      </c>
      <c r="B49" s="7">
        <v>44371</v>
      </c>
      <c r="C49" t="s">
        <v>40</v>
      </c>
      <c r="D49" s="6">
        <v>2016</v>
      </c>
      <c r="E49" s="8">
        <v>8511</v>
      </c>
      <c r="F49" s="8">
        <v>12000</v>
      </c>
      <c r="G49" s="8">
        <f t="shared" si="0"/>
        <v>3489</v>
      </c>
      <c r="H49" s="6">
        <v>80000</v>
      </c>
      <c r="I49" t="s">
        <v>58</v>
      </c>
      <c r="J49" t="s">
        <v>1647</v>
      </c>
      <c r="K49" t="s">
        <v>96</v>
      </c>
      <c r="L49" t="s">
        <v>48</v>
      </c>
      <c r="M49" t="s">
        <v>98</v>
      </c>
      <c r="N49" s="6">
        <v>2</v>
      </c>
      <c r="O49" t="str">
        <f t="shared" si="1"/>
        <v>Normal</v>
      </c>
      <c r="P49" t="str">
        <f t="shared" si="2"/>
        <v>Duplicate ID</v>
      </c>
      <c r="Q49" t="str">
        <f t="shared" si="3"/>
        <v>5,000-9,999</v>
      </c>
      <c r="R49" s="6">
        <f>IF(COUNTIF($A$2:A49,A49)=1,1,0)</f>
        <v>1</v>
      </c>
    </row>
    <row r="50" spans="1:18" x14ac:dyDescent="0.25">
      <c r="A50" s="6">
        <v>1216</v>
      </c>
      <c r="B50" s="7">
        <v>44622</v>
      </c>
      <c r="C50" t="s">
        <v>1648</v>
      </c>
      <c r="D50" s="6">
        <v>2018</v>
      </c>
      <c r="E50" s="8">
        <v>5188</v>
      </c>
      <c r="F50" s="8">
        <v>7000</v>
      </c>
      <c r="G50" s="8">
        <f t="shared" si="0"/>
        <v>1812</v>
      </c>
      <c r="H50" s="6">
        <v>80000</v>
      </c>
      <c r="I50" t="s">
        <v>41</v>
      </c>
      <c r="J50" t="s">
        <v>35</v>
      </c>
      <c r="K50" t="s">
        <v>36</v>
      </c>
      <c r="L50" t="s">
        <v>48</v>
      </c>
      <c r="M50" t="s">
        <v>98</v>
      </c>
      <c r="N50" s="6" t="s">
        <v>1647</v>
      </c>
      <c r="O50" t="str">
        <f t="shared" si="1"/>
        <v>Normal</v>
      </c>
      <c r="P50" t="str">
        <f t="shared" si="2"/>
        <v>Duplicate ID</v>
      </c>
      <c r="Q50" t="str">
        <f t="shared" si="3"/>
        <v>5,000-9,999</v>
      </c>
      <c r="R50" s="6">
        <f>IF(COUNTIF($A$2:A50,A50)=1,1,0)</f>
        <v>1</v>
      </c>
    </row>
    <row r="51" spans="1:18" x14ac:dyDescent="0.25">
      <c r="A51" s="6">
        <v>1464</v>
      </c>
      <c r="B51" s="7">
        <v>44776</v>
      </c>
      <c r="C51" t="s">
        <v>1648</v>
      </c>
      <c r="D51" s="6">
        <v>2018</v>
      </c>
      <c r="E51" s="8">
        <v>3640</v>
      </c>
      <c r="F51" s="8">
        <v>7000</v>
      </c>
      <c r="G51" s="8">
        <f t="shared" si="0"/>
        <v>3360</v>
      </c>
      <c r="H51" s="6">
        <v>25000</v>
      </c>
      <c r="I51" t="s">
        <v>58</v>
      </c>
      <c r="J51" t="s">
        <v>72</v>
      </c>
      <c r="K51" t="s">
        <v>36</v>
      </c>
      <c r="L51" t="s">
        <v>1647</v>
      </c>
      <c r="M51" t="s">
        <v>90</v>
      </c>
      <c r="N51" s="6">
        <v>1</v>
      </c>
      <c r="O51" t="str">
        <f t="shared" si="1"/>
        <v>Normal</v>
      </c>
      <c r="P51" t="str">
        <f t="shared" si="2"/>
        <v>Duplicate ID</v>
      </c>
      <c r="Q51" t="str">
        <f t="shared" si="3"/>
        <v>0-4,999</v>
      </c>
      <c r="R51" s="6">
        <f>IF(COUNTIF($A$2:A51,A51)=1,1,0)</f>
        <v>1</v>
      </c>
    </row>
    <row r="52" spans="1:18" x14ac:dyDescent="0.25">
      <c r="A52" s="6">
        <v>1582</v>
      </c>
      <c r="B52" s="7">
        <v>44826</v>
      </c>
      <c r="C52" t="s">
        <v>119</v>
      </c>
      <c r="D52" s="6">
        <v>2016</v>
      </c>
      <c r="E52" s="8">
        <v>6641</v>
      </c>
      <c r="F52" s="8">
        <v>9000</v>
      </c>
      <c r="G52" s="8">
        <f t="shared" si="0"/>
        <v>2359</v>
      </c>
      <c r="H52" s="6">
        <v>15000</v>
      </c>
      <c r="I52" t="s">
        <v>69</v>
      </c>
      <c r="J52" t="s">
        <v>72</v>
      </c>
      <c r="K52" t="s">
        <v>96</v>
      </c>
      <c r="L52" t="s">
        <v>1647</v>
      </c>
      <c r="M52" t="s">
        <v>1647</v>
      </c>
      <c r="N52" s="6">
        <v>3</v>
      </c>
      <c r="O52" t="str">
        <f t="shared" si="1"/>
        <v>Normal</v>
      </c>
      <c r="P52" t="str">
        <f t="shared" si="2"/>
        <v>Duplicate ID</v>
      </c>
      <c r="Q52" t="str">
        <f t="shared" si="3"/>
        <v>5,000-9,999</v>
      </c>
      <c r="R52" s="6">
        <f>IF(COUNTIF($A$2:A52,A52)=1,1,0)</f>
        <v>1</v>
      </c>
    </row>
    <row r="53" spans="1:18" x14ac:dyDescent="0.25">
      <c r="A53" s="6">
        <v>1026</v>
      </c>
      <c r="B53" s="7">
        <v>44709</v>
      </c>
      <c r="C53" t="s">
        <v>1648</v>
      </c>
      <c r="D53" s="6">
        <v>2015</v>
      </c>
      <c r="E53" s="8">
        <v>3360</v>
      </c>
      <c r="F53" s="8">
        <v>7000</v>
      </c>
      <c r="G53" s="8">
        <f t="shared" si="0"/>
        <v>3640</v>
      </c>
      <c r="H53" s="6">
        <v>60000</v>
      </c>
      <c r="I53" t="s">
        <v>41</v>
      </c>
      <c r="J53" t="s">
        <v>72</v>
      </c>
      <c r="K53" t="s">
        <v>1647</v>
      </c>
      <c r="L53" t="s">
        <v>73</v>
      </c>
      <c r="M53" t="s">
        <v>90</v>
      </c>
      <c r="N53" s="6">
        <v>3</v>
      </c>
      <c r="O53" t="str">
        <f t="shared" si="1"/>
        <v>Normal</v>
      </c>
      <c r="P53" t="str">
        <f t="shared" si="2"/>
        <v>Duplicate ID</v>
      </c>
      <c r="Q53" t="str">
        <f t="shared" si="3"/>
        <v>0-4,999</v>
      </c>
      <c r="R53" s="6">
        <f>IF(COUNTIF($A$2:A53,A53)=1,1,0)</f>
        <v>1</v>
      </c>
    </row>
    <row r="54" spans="1:18" x14ac:dyDescent="0.25">
      <c r="A54" s="6">
        <v>1093</v>
      </c>
      <c r="B54" s="7">
        <v>45204</v>
      </c>
      <c r="C54" t="s">
        <v>1648</v>
      </c>
      <c r="D54" s="6">
        <v>2018</v>
      </c>
      <c r="E54" s="8">
        <v>7430</v>
      </c>
      <c r="F54" s="8">
        <v>12000</v>
      </c>
      <c r="G54" s="8">
        <f t="shared" si="0"/>
        <v>4570</v>
      </c>
      <c r="H54" s="6">
        <v>80000</v>
      </c>
      <c r="I54" t="s">
        <v>41</v>
      </c>
      <c r="J54" t="s">
        <v>35</v>
      </c>
      <c r="K54" t="s">
        <v>96</v>
      </c>
      <c r="L54" t="s">
        <v>48</v>
      </c>
      <c r="M54" t="s">
        <v>98</v>
      </c>
      <c r="N54" s="6">
        <v>2</v>
      </c>
      <c r="O54" t="str">
        <f t="shared" si="1"/>
        <v>Normal</v>
      </c>
      <c r="P54" t="str">
        <f t="shared" si="2"/>
        <v>Duplicate ID</v>
      </c>
      <c r="Q54" t="str">
        <f t="shared" si="3"/>
        <v>5,000-9,999</v>
      </c>
      <c r="R54" s="6">
        <f>IF(COUNTIF($A$2:A54,A54)=1,1,0)</f>
        <v>1</v>
      </c>
    </row>
    <row r="55" spans="1:18" x14ac:dyDescent="0.25">
      <c r="A55" s="6">
        <v>1258</v>
      </c>
      <c r="B55" s="7">
        <v>44841</v>
      </c>
      <c r="C55" t="s">
        <v>79</v>
      </c>
      <c r="D55" s="6">
        <v>2022</v>
      </c>
      <c r="E55" s="8">
        <v>5279</v>
      </c>
      <c r="F55" s="8">
        <v>7000</v>
      </c>
      <c r="G55" s="8">
        <f t="shared" si="0"/>
        <v>1721</v>
      </c>
      <c r="H55" s="6">
        <v>60000</v>
      </c>
      <c r="I55" t="s">
        <v>41</v>
      </c>
      <c r="J55" t="s">
        <v>1647</v>
      </c>
      <c r="K55" t="s">
        <v>96</v>
      </c>
      <c r="L55" t="s">
        <v>48</v>
      </c>
      <c r="M55" t="s">
        <v>126</v>
      </c>
      <c r="N55" s="6">
        <v>1</v>
      </c>
      <c r="O55" t="str">
        <f t="shared" si="1"/>
        <v>Normal</v>
      </c>
      <c r="P55" t="str">
        <f t="shared" si="2"/>
        <v>Duplicate ID</v>
      </c>
      <c r="Q55" t="str">
        <f t="shared" si="3"/>
        <v>5,000-9,999</v>
      </c>
      <c r="R55" s="6">
        <f>IF(COUNTIF($A$2:A55,A55)=1,1,0)</f>
        <v>1</v>
      </c>
    </row>
    <row r="56" spans="1:18" x14ac:dyDescent="0.25">
      <c r="A56" s="6">
        <v>1208</v>
      </c>
      <c r="B56" s="7">
        <v>44302</v>
      </c>
      <c r="C56" t="s">
        <v>79</v>
      </c>
      <c r="D56" s="6"/>
      <c r="E56" s="8">
        <v>26379</v>
      </c>
      <c r="F56" s="8">
        <v>31000</v>
      </c>
      <c r="G56" s="8">
        <f t="shared" si="0"/>
        <v>4621</v>
      </c>
      <c r="H56" s="6">
        <v>120000</v>
      </c>
      <c r="I56" t="s">
        <v>1647</v>
      </c>
      <c r="J56" t="s">
        <v>35</v>
      </c>
      <c r="K56" t="s">
        <v>36</v>
      </c>
      <c r="L56" t="s">
        <v>100</v>
      </c>
      <c r="M56" t="s">
        <v>90</v>
      </c>
      <c r="N56" s="6">
        <v>2</v>
      </c>
      <c r="O56" t="str">
        <f t="shared" si="1"/>
        <v>Normal</v>
      </c>
      <c r="P56" t="str">
        <f t="shared" si="2"/>
        <v>Duplicate ID</v>
      </c>
      <c r="Q56" t="str">
        <f t="shared" si="3"/>
        <v>25,000-30,000</v>
      </c>
      <c r="R56" s="6">
        <f>IF(COUNTIF($A$2:A56,A56)=1,1,0)</f>
        <v>1</v>
      </c>
    </row>
    <row r="57" spans="1:18" x14ac:dyDescent="0.25">
      <c r="A57" s="6">
        <v>1472</v>
      </c>
      <c r="B57" s="7">
        <v>44429</v>
      </c>
      <c r="C57" t="s">
        <v>40</v>
      </c>
      <c r="D57" s="6">
        <v>2022</v>
      </c>
      <c r="E57" s="8">
        <v>23160</v>
      </c>
      <c r="F57" s="8">
        <v>26000</v>
      </c>
      <c r="G57" s="8">
        <f t="shared" si="0"/>
        <v>2840</v>
      </c>
      <c r="H57" s="6">
        <v>15000</v>
      </c>
      <c r="I57" t="s">
        <v>69</v>
      </c>
      <c r="J57" t="s">
        <v>1647</v>
      </c>
      <c r="K57" t="s">
        <v>96</v>
      </c>
      <c r="L57" t="s">
        <v>48</v>
      </c>
      <c r="M57" t="s">
        <v>98</v>
      </c>
      <c r="N57" s="6">
        <v>3</v>
      </c>
      <c r="O57" t="str">
        <f t="shared" si="1"/>
        <v>Normal</v>
      </c>
      <c r="P57" t="str">
        <f t="shared" si="2"/>
        <v>Duplicate ID</v>
      </c>
      <c r="Q57" t="str">
        <f t="shared" si="3"/>
        <v>20,000-24,999</v>
      </c>
      <c r="R57" s="6">
        <f>IF(COUNTIF($A$2:A57,A57)=1,1,0)</f>
        <v>1</v>
      </c>
    </row>
    <row r="58" spans="1:18" x14ac:dyDescent="0.25">
      <c r="A58" s="6">
        <v>1139</v>
      </c>
      <c r="B58" s="7">
        <v>45237</v>
      </c>
      <c r="C58" t="s">
        <v>119</v>
      </c>
      <c r="D58" s="6">
        <v>2021</v>
      </c>
      <c r="E58" s="8">
        <v>9439</v>
      </c>
      <c r="F58" s="8">
        <v>12000</v>
      </c>
      <c r="G58" s="8">
        <f t="shared" si="0"/>
        <v>2561</v>
      </c>
      <c r="H58" s="6">
        <v>60000</v>
      </c>
      <c r="I58" t="s">
        <v>34</v>
      </c>
      <c r="J58" t="s">
        <v>72</v>
      </c>
      <c r="K58" t="s">
        <v>1647</v>
      </c>
      <c r="L58" t="s">
        <v>54</v>
      </c>
      <c r="M58" t="s">
        <v>126</v>
      </c>
      <c r="N58" s="6">
        <v>2</v>
      </c>
      <c r="O58" t="str">
        <f t="shared" si="1"/>
        <v>Normal</v>
      </c>
      <c r="P58" t="str">
        <f t="shared" si="2"/>
        <v>Duplicate ID</v>
      </c>
      <c r="Q58" t="str">
        <f t="shared" si="3"/>
        <v>5,000-9,999</v>
      </c>
      <c r="R58" s="6">
        <f>IF(COUNTIF($A$2:A58,A58)=1,1,0)</f>
        <v>1</v>
      </c>
    </row>
    <row r="59" spans="1:18" x14ac:dyDescent="0.25">
      <c r="A59" s="6">
        <v>1495</v>
      </c>
      <c r="B59" s="7">
        <v>45300</v>
      </c>
      <c r="C59" t="s">
        <v>51</v>
      </c>
      <c r="D59" s="6"/>
      <c r="E59" s="8">
        <v>26342</v>
      </c>
      <c r="F59" s="8">
        <v>31000</v>
      </c>
      <c r="G59" s="8">
        <f t="shared" si="0"/>
        <v>4658</v>
      </c>
      <c r="H59" s="6">
        <v>25000</v>
      </c>
      <c r="I59" t="s">
        <v>1647</v>
      </c>
      <c r="J59" t="s">
        <v>72</v>
      </c>
      <c r="K59" t="s">
        <v>36</v>
      </c>
      <c r="L59" t="s">
        <v>100</v>
      </c>
      <c r="M59" t="s">
        <v>98</v>
      </c>
      <c r="N59" s="6">
        <v>1</v>
      </c>
      <c r="O59" t="str">
        <f t="shared" si="1"/>
        <v>Normal</v>
      </c>
      <c r="P59" t="str">
        <f t="shared" si="2"/>
        <v>Duplicate ID</v>
      </c>
      <c r="Q59" t="str">
        <f t="shared" si="3"/>
        <v>25,000-30,000</v>
      </c>
      <c r="R59" s="6">
        <f>IF(COUNTIF($A$2:A59,A59)=1,1,0)</f>
        <v>1</v>
      </c>
    </row>
    <row r="60" spans="1:18" x14ac:dyDescent="0.25">
      <c r="A60" s="6">
        <v>1395</v>
      </c>
      <c r="B60" s="7">
        <v>44977</v>
      </c>
      <c r="C60" t="s">
        <v>1648</v>
      </c>
      <c r="D60" s="6">
        <v>2014</v>
      </c>
      <c r="E60" s="8">
        <v>17126</v>
      </c>
      <c r="F60" s="8">
        <v>22000</v>
      </c>
      <c r="G60" s="8">
        <f t="shared" si="0"/>
        <v>4874</v>
      </c>
      <c r="H60" s="6">
        <v>120000</v>
      </c>
      <c r="I60" t="s">
        <v>58</v>
      </c>
      <c r="J60" t="s">
        <v>72</v>
      </c>
      <c r="K60" t="s">
        <v>36</v>
      </c>
      <c r="L60" t="s">
        <v>100</v>
      </c>
      <c r="M60" t="s">
        <v>1647</v>
      </c>
      <c r="N60" s="6" t="s">
        <v>1647</v>
      </c>
      <c r="O60" t="str">
        <f t="shared" si="1"/>
        <v>Normal</v>
      </c>
      <c r="P60" t="str">
        <f t="shared" si="2"/>
        <v>Duplicate ID</v>
      </c>
      <c r="Q60" t="str">
        <f t="shared" si="3"/>
        <v>15,000-19,999</v>
      </c>
      <c r="R60" s="6">
        <f>IF(COUNTIF($A$2:A60,A60)=1,1,0)</f>
        <v>1</v>
      </c>
    </row>
    <row r="61" spans="1:18" x14ac:dyDescent="0.25">
      <c r="A61" s="6">
        <v>1015</v>
      </c>
      <c r="B61" s="7">
        <v>45132</v>
      </c>
      <c r="C61" t="s">
        <v>51</v>
      </c>
      <c r="D61" s="6">
        <v>2015</v>
      </c>
      <c r="E61" s="8">
        <v>25692</v>
      </c>
      <c r="F61" s="8">
        <v>31000</v>
      </c>
      <c r="G61" s="8">
        <f t="shared" si="0"/>
        <v>5308</v>
      </c>
      <c r="H61" s="6">
        <v>15000</v>
      </c>
      <c r="I61" t="s">
        <v>58</v>
      </c>
      <c r="J61" t="s">
        <v>35</v>
      </c>
      <c r="K61" t="s">
        <v>96</v>
      </c>
      <c r="L61" t="s">
        <v>54</v>
      </c>
      <c r="M61" t="s">
        <v>45</v>
      </c>
      <c r="N61" s="6" t="s">
        <v>1647</v>
      </c>
      <c r="O61" t="str">
        <f t="shared" si="1"/>
        <v>Normal</v>
      </c>
      <c r="P61" t="str">
        <f t="shared" si="2"/>
        <v>Duplicate ID</v>
      </c>
      <c r="Q61" t="str">
        <f t="shared" si="3"/>
        <v>25,000-30,000</v>
      </c>
      <c r="R61" s="6">
        <f>IF(COUNTIF($A$2:A61,A61)=1,1,0)</f>
        <v>1</v>
      </c>
    </row>
    <row r="62" spans="1:18" x14ac:dyDescent="0.25">
      <c r="A62" s="6">
        <v>1389</v>
      </c>
      <c r="B62" s="7">
        <v>45289</v>
      </c>
      <c r="C62" t="s">
        <v>79</v>
      </c>
      <c r="D62" s="6">
        <v>2018</v>
      </c>
      <c r="E62" s="8">
        <v>2476</v>
      </c>
      <c r="F62" s="8">
        <v>9000</v>
      </c>
      <c r="G62" s="8">
        <f t="shared" si="0"/>
        <v>6524</v>
      </c>
      <c r="H62" s="6">
        <v>40000</v>
      </c>
      <c r="I62" t="s">
        <v>1647</v>
      </c>
      <c r="J62" t="s">
        <v>1647</v>
      </c>
      <c r="K62" t="s">
        <v>36</v>
      </c>
      <c r="L62" t="s">
        <v>73</v>
      </c>
      <c r="M62" t="s">
        <v>90</v>
      </c>
      <c r="N62" s="6">
        <v>2</v>
      </c>
      <c r="O62" t="str">
        <f t="shared" si="1"/>
        <v>Normal</v>
      </c>
      <c r="P62" t="str">
        <f t="shared" si="2"/>
        <v>Duplicate ID</v>
      </c>
      <c r="Q62" t="str">
        <f t="shared" si="3"/>
        <v>0-4,999</v>
      </c>
      <c r="R62" s="6">
        <f>IF(COUNTIF($A$2:A62,A62)=1,1,0)</f>
        <v>1</v>
      </c>
    </row>
    <row r="63" spans="1:18" x14ac:dyDescent="0.25">
      <c r="A63" s="6">
        <v>1454</v>
      </c>
      <c r="B63" s="7">
        <v>44402</v>
      </c>
      <c r="C63" t="s">
        <v>119</v>
      </c>
      <c r="D63" s="6">
        <v>2015</v>
      </c>
      <c r="E63" s="8">
        <v>19809</v>
      </c>
      <c r="F63" s="8">
        <v>26000</v>
      </c>
      <c r="G63" s="8">
        <f t="shared" si="0"/>
        <v>6191</v>
      </c>
      <c r="H63" s="6">
        <v>15000</v>
      </c>
      <c r="I63" t="s">
        <v>69</v>
      </c>
      <c r="J63" t="s">
        <v>35</v>
      </c>
      <c r="K63" t="s">
        <v>96</v>
      </c>
      <c r="L63" t="s">
        <v>54</v>
      </c>
      <c r="M63" t="s">
        <v>45</v>
      </c>
      <c r="N63" s="6">
        <v>3</v>
      </c>
      <c r="O63" t="str">
        <f t="shared" si="1"/>
        <v>Normal</v>
      </c>
      <c r="P63" t="str">
        <f t="shared" si="2"/>
        <v>Duplicate ID</v>
      </c>
      <c r="Q63" t="str">
        <f t="shared" si="3"/>
        <v>15,000-19,999</v>
      </c>
      <c r="R63" s="6">
        <f>IF(COUNTIF($A$2:A63,A63)=1,1,0)</f>
        <v>1</v>
      </c>
    </row>
    <row r="64" spans="1:18" x14ac:dyDescent="0.25">
      <c r="A64" s="6">
        <v>1174</v>
      </c>
      <c r="B64" s="7">
        <v>44565</v>
      </c>
      <c r="C64" t="s">
        <v>32</v>
      </c>
      <c r="D64" s="6">
        <v>2017</v>
      </c>
      <c r="E64" s="8">
        <v>19415</v>
      </c>
      <c r="F64" s="8">
        <v>26000</v>
      </c>
      <c r="G64" s="8">
        <f t="shared" si="0"/>
        <v>6585</v>
      </c>
      <c r="H64" s="6">
        <v>80000</v>
      </c>
      <c r="I64" t="s">
        <v>58</v>
      </c>
      <c r="J64" t="s">
        <v>72</v>
      </c>
      <c r="K64" t="s">
        <v>1647</v>
      </c>
      <c r="L64" t="s">
        <v>100</v>
      </c>
      <c r="M64" t="s">
        <v>90</v>
      </c>
      <c r="N64" s="6">
        <v>3</v>
      </c>
      <c r="O64" t="str">
        <f t="shared" si="1"/>
        <v>Normal</v>
      </c>
      <c r="P64" t="str">
        <f t="shared" si="2"/>
        <v>Duplicate ID</v>
      </c>
      <c r="Q64" t="str">
        <f t="shared" si="3"/>
        <v>15,000-19,999</v>
      </c>
      <c r="R64" s="6">
        <f>IF(COUNTIF($A$2:A64,A64)=1,1,0)</f>
        <v>1</v>
      </c>
    </row>
    <row r="65" spans="1:18" x14ac:dyDescent="0.25">
      <c r="A65" s="6">
        <v>1294</v>
      </c>
      <c r="B65" s="7">
        <v>45149</v>
      </c>
      <c r="C65" t="s">
        <v>119</v>
      </c>
      <c r="D65" s="6">
        <v>2021</v>
      </c>
      <c r="E65" s="8">
        <v>16924</v>
      </c>
      <c r="F65" s="8">
        <v>18000</v>
      </c>
      <c r="G65" s="8">
        <f t="shared" si="0"/>
        <v>1076</v>
      </c>
      <c r="H65" s="6">
        <v>120000</v>
      </c>
      <c r="I65" t="s">
        <v>69</v>
      </c>
      <c r="J65" t="s">
        <v>1647</v>
      </c>
      <c r="K65" t="s">
        <v>96</v>
      </c>
      <c r="L65" t="s">
        <v>48</v>
      </c>
      <c r="M65" t="s">
        <v>45</v>
      </c>
      <c r="N65" s="6">
        <v>3</v>
      </c>
      <c r="O65" t="str">
        <f t="shared" si="1"/>
        <v>Normal</v>
      </c>
      <c r="P65" t="str">
        <f t="shared" si="2"/>
        <v>Duplicate ID</v>
      </c>
      <c r="Q65" t="str">
        <f t="shared" si="3"/>
        <v>15,000-19,999</v>
      </c>
      <c r="R65" s="6">
        <f>IF(COUNTIF($A$2:A65,A65)=1,1,0)</f>
        <v>1</v>
      </c>
    </row>
    <row r="66" spans="1:18" x14ac:dyDescent="0.25">
      <c r="A66" s="6">
        <v>1390</v>
      </c>
      <c r="B66" s="7">
        <v>44682</v>
      </c>
      <c r="C66" t="s">
        <v>51</v>
      </c>
      <c r="D66" s="6">
        <v>2017</v>
      </c>
      <c r="E66" s="8">
        <v>24127</v>
      </c>
      <c r="F66" s="8">
        <v>26000</v>
      </c>
      <c r="G66" s="8">
        <f t="shared" ref="G66:G129" si="4">IF(OR(F66="",E66=""),"",F66-E66)</f>
        <v>1873</v>
      </c>
      <c r="H66" s="6">
        <v>60000</v>
      </c>
      <c r="I66" t="s">
        <v>69</v>
      </c>
      <c r="J66" t="s">
        <v>35</v>
      </c>
      <c r="K66" t="s">
        <v>96</v>
      </c>
      <c r="L66" t="s">
        <v>54</v>
      </c>
      <c r="M66" t="s">
        <v>126</v>
      </c>
      <c r="N66" s="6" t="s">
        <v>1647</v>
      </c>
      <c r="O66" t="str">
        <f t="shared" ref="O66:O129" si="5">IF(E66&lt;1000,"Outlier","Normal")</f>
        <v>Normal</v>
      </c>
      <c r="P66" t="str">
        <f t="shared" ref="P66:P129" si="6">IF(COUNTIF($A$2:$A$2501,A66)&gt;1,"Duplicate ID","Unique ID")</f>
        <v>Duplicate ID</v>
      </c>
      <c r="Q66" t="str">
        <f t="shared" ref="Q66:Q129" si="7">IF(E66&lt;5000,"0-4,999",IF(E66&lt;10000,"5,000-9,999",IF(E66&lt;15000,"10,000-14,999",IF(E66&lt;20000,"15,000-19,999",IF(E66&lt;25000,"20,000-24,999","25,000-30,000")))))</f>
        <v>20,000-24,999</v>
      </c>
      <c r="R66" s="6">
        <f>IF(COUNTIF($A$2:A66,A66)=1,1,0)</f>
        <v>1</v>
      </c>
    </row>
    <row r="67" spans="1:18" x14ac:dyDescent="0.25">
      <c r="A67" s="6">
        <v>1224</v>
      </c>
      <c r="B67" s="7">
        <v>44918</v>
      </c>
      <c r="C67" t="s">
        <v>40</v>
      </c>
      <c r="D67" s="6"/>
      <c r="E67" s="8">
        <v>28115</v>
      </c>
      <c r="F67" s="8">
        <v>31000</v>
      </c>
      <c r="G67" s="8">
        <f t="shared" si="4"/>
        <v>2885</v>
      </c>
      <c r="H67" s="6">
        <v>40000</v>
      </c>
      <c r="I67" t="s">
        <v>58</v>
      </c>
      <c r="J67" t="s">
        <v>35</v>
      </c>
      <c r="K67" t="s">
        <v>36</v>
      </c>
      <c r="L67" t="s">
        <v>54</v>
      </c>
      <c r="M67" t="s">
        <v>98</v>
      </c>
      <c r="N67" s="6">
        <v>0</v>
      </c>
      <c r="O67" t="str">
        <f t="shared" si="5"/>
        <v>Normal</v>
      </c>
      <c r="P67" t="str">
        <f t="shared" si="6"/>
        <v>Duplicate ID</v>
      </c>
      <c r="Q67" t="str">
        <f t="shared" si="7"/>
        <v>25,000-30,000</v>
      </c>
      <c r="R67" s="6">
        <f>IF(COUNTIF($A$2:A67,A67)=1,1,0)</f>
        <v>1</v>
      </c>
    </row>
    <row r="68" spans="1:18" x14ac:dyDescent="0.25">
      <c r="A68" s="6">
        <v>1179</v>
      </c>
      <c r="B68" s="7">
        <v>45047</v>
      </c>
      <c r="C68" t="s">
        <v>79</v>
      </c>
      <c r="D68" s="6">
        <v>2016</v>
      </c>
      <c r="E68" s="8">
        <v>5324</v>
      </c>
      <c r="F68" s="8">
        <v>9000</v>
      </c>
      <c r="G68" s="8">
        <f t="shared" si="4"/>
        <v>3676</v>
      </c>
      <c r="H68" s="6">
        <v>40000</v>
      </c>
      <c r="I68" t="s">
        <v>69</v>
      </c>
      <c r="J68" t="s">
        <v>1647</v>
      </c>
      <c r="K68" t="s">
        <v>1647</v>
      </c>
      <c r="L68" t="s">
        <v>54</v>
      </c>
      <c r="M68" t="s">
        <v>90</v>
      </c>
      <c r="N68" s="6">
        <v>2</v>
      </c>
      <c r="O68" t="str">
        <f t="shared" si="5"/>
        <v>Normal</v>
      </c>
      <c r="P68" t="str">
        <f t="shared" si="6"/>
        <v>Duplicate ID</v>
      </c>
      <c r="Q68" t="str">
        <f t="shared" si="7"/>
        <v>5,000-9,999</v>
      </c>
      <c r="R68" s="6">
        <f>IF(COUNTIF($A$2:A68,A68)=1,1,0)</f>
        <v>1</v>
      </c>
    </row>
    <row r="69" spans="1:18" x14ac:dyDescent="0.25">
      <c r="A69" s="6">
        <v>1144</v>
      </c>
      <c r="B69" s="7">
        <v>44351</v>
      </c>
      <c r="C69" t="s">
        <v>1648</v>
      </c>
      <c r="D69" s="6">
        <v>2018</v>
      </c>
      <c r="E69" s="8">
        <v>17164</v>
      </c>
      <c r="F69" s="8">
        <v>22000</v>
      </c>
      <c r="G69" s="8">
        <f t="shared" si="4"/>
        <v>4836</v>
      </c>
      <c r="H69" s="6">
        <v>15000</v>
      </c>
      <c r="I69" t="s">
        <v>34</v>
      </c>
      <c r="J69" t="s">
        <v>1647</v>
      </c>
      <c r="K69" t="s">
        <v>96</v>
      </c>
      <c r="L69" t="s">
        <v>73</v>
      </c>
      <c r="M69" t="s">
        <v>98</v>
      </c>
      <c r="N69" s="6">
        <v>0</v>
      </c>
      <c r="O69" t="str">
        <f t="shared" si="5"/>
        <v>Normal</v>
      </c>
      <c r="P69" t="str">
        <f t="shared" si="6"/>
        <v>Duplicate ID</v>
      </c>
      <c r="Q69" t="str">
        <f t="shared" si="7"/>
        <v>15,000-19,999</v>
      </c>
      <c r="R69" s="6">
        <f>IF(COUNTIF($A$2:A69,A69)=1,1,0)</f>
        <v>1</v>
      </c>
    </row>
    <row r="70" spans="1:18" x14ac:dyDescent="0.25">
      <c r="A70" s="6">
        <v>1598</v>
      </c>
      <c r="B70" s="7">
        <v>44733</v>
      </c>
      <c r="C70" t="s">
        <v>119</v>
      </c>
      <c r="D70" s="6">
        <v>2022</v>
      </c>
      <c r="E70" s="8">
        <v>4981</v>
      </c>
      <c r="F70" s="8">
        <v>9000</v>
      </c>
      <c r="G70" s="8">
        <f t="shared" si="4"/>
        <v>4019</v>
      </c>
      <c r="H70" s="6">
        <v>60000</v>
      </c>
      <c r="I70" t="s">
        <v>58</v>
      </c>
      <c r="J70" t="s">
        <v>72</v>
      </c>
      <c r="K70" t="s">
        <v>36</v>
      </c>
      <c r="L70" t="s">
        <v>1647</v>
      </c>
      <c r="M70" t="s">
        <v>45</v>
      </c>
      <c r="N70" s="6" t="s">
        <v>1647</v>
      </c>
      <c r="O70" t="str">
        <f t="shared" si="5"/>
        <v>Normal</v>
      </c>
      <c r="P70" t="str">
        <f t="shared" si="6"/>
        <v>Duplicate ID</v>
      </c>
      <c r="Q70" t="str">
        <f t="shared" si="7"/>
        <v>0-4,999</v>
      </c>
      <c r="R70" s="6">
        <f>IF(COUNTIF($A$2:A70,A70)=1,1,0)</f>
        <v>1</v>
      </c>
    </row>
    <row r="71" spans="1:18" x14ac:dyDescent="0.25">
      <c r="A71" s="6">
        <v>1418</v>
      </c>
      <c r="B71" s="7">
        <v>44815</v>
      </c>
      <c r="C71" t="s">
        <v>119</v>
      </c>
      <c r="D71" s="6">
        <v>2018</v>
      </c>
      <c r="E71" s="8">
        <v>4197</v>
      </c>
      <c r="F71" s="8">
        <v>9000</v>
      </c>
      <c r="G71" s="8">
        <f t="shared" si="4"/>
        <v>4803</v>
      </c>
      <c r="H71" s="6">
        <v>120000</v>
      </c>
      <c r="I71" t="s">
        <v>1647</v>
      </c>
      <c r="J71" t="s">
        <v>35</v>
      </c>
      <c r="K71" t="s">
        <v>36</v>
      </c>
      <c r="L71" t="s">
        <v>100</v>
      </c>
      <c r="M71" t="s">
        <v>1647</v>
      </c>
      <c r="N71" s="6">
        <v>1</v>
      </c>
      <c r="O71" t="str">
        <f t="shared" si="5"/>
        <v>Normal</v>
      </c>
      <c r="P71" t="str">
        <f t="shared" si="6"/>
        <v>Duplicate ID</v>
      </c>
      <c r="Q71" t="str">
        <f t="shared" si="7"/>
        <v>0-4,999</v>
      </c>
      <c r="R71" s="6">
        <f>IF(COUNTIF($A$2:A71,A71)=1,1,0)</f>
        <v>1</v>
      </c>
    </row>
    <row r="72" spans="1:18" x14ac:dyDescent="0.25">
      <c r="A72" s="6">
        <v>1429</v>
      </c>
      <c r="B72" s="7">
        <v>45303</v>
      </c>
      <c r="C72" t="s">
        <v>79</v>
      </c>
      <c r="D72" s="6">
        <v>2021</v>
      </c>
      <c r="E72" s="8">
        <v>15295</v>
      </c>
      <c r="F72" s="8">
        <v>22000</v>
      </c>
      <c r="G72" s="8">
        <f t="shared" si="4"/>
        <v>6705</v>
      </c>
      <c r="H72" s="6">
        <v>120000</v>
      </c>
      <c r="I72" t="s">
        <v>41</v>
      </c>
      <c r="J72" t="s">
        <v>72</v>
      </c>
      <c r="K72" t="s">
        <v>1647</v>
      </c>
      <c r="L72" t="s">
        <v>48</v>
      </c>
      <c r="M72" t="s">
        <v>45</v>
      </c>
      <c r="N72" s="6">
        <v>0</v>
      </c>
      <c r="O72" t="str">
        <f t="shared" si="5"/>
        <v>Normal</v>
      </c>
      <c r="P72" t="str">
        <f t="shared" si="6"/>
        <v>Duplicate ID</v>
      </c>
      <c r="Q72" t="str">
        <f t="shared" si="7"/>
        <v>15,000-19,999</v>
      </c>
      <c r="R72" s="6">
        <f>IF(COUNTIF($A$2:A72,A72)=1,1,0)</f>
        <v>0</v>
      </c>
    </row>
    <row r="73" spans="1:18" x14ac:dyDescent="0.25">
      <c r="A73" s="6">
        <v>1101</v>
      </c>
      <c r="B73" s="7">
        <v>44939</v>
      </c>
      <c r="C73" t="s">
        <v>79</v>
      </c>
      <c r="D73" s="6">
        <v>2017</v>
      </c>
      <c r="E73" s="8">
        <v>28066</v>
      </c>
      <c r="F73" s="8">
        <v>31000</v>
      </c>
      <c r="G73" s="8">
        <f t="shared" si="4"/>
        <v>2934</v>
      </c>
      <c r="H73" s="6">
        <v>60000</v>
      </c>
      <c r="I73" t="s">
        <v>69</v>
      </c>
      <c r="J73" t="s">
        <v>35</v>
      </c>
      <c r="K73" t="s">
        <v>96</v>
      </c>
      <c r="L73" t="s">
        <v>54</v>
      </c>
      <c r="M73" t="s">
        <v>90</v>
      </c>
      <c r="N73" s="6">
        <v>0</v>
      </c>
      <c r="O73" t="str">
        <f t="shared" si="5"/>
        <v>Normal</v>
      </c>
      <c r="P73" t="str">
        <f t="shared" si="6"/>
        <v>Duplicate ID</v>
      </c>
      <c r="Q73" t="str">
        <f t="shared" si="7"/>
        <v>25,000-30,000</v>
      </c>
      <c r="R73" s="6">
        <f>IF(COUNTIF($A$2:A73,A73)=1,1,0)</f>
        <v>1</v>
      </c>
    </row>
    <row r="74" spans="1:18" x14ac:dyDescent="0.25">
      <c r="A74" s="6">
        <v>1051</v>
      </c>
      <c r="B74" s="7">
        <v>44240</v>
      </c>
      <c r="C74" t="s">
        <v>1648</v>
      </c>
      <c r="D74" s="6">
        <v>2015</v>
      </c>
      <c r="E74" s="8">
        <v>8762</v>
      </c>
      <c r="F74" s="8">
        <v>15000</v>
      </c>
      <c r="G74" s="8">
        <f t="shared" si="4"/>
        <v>6238</v>
      </c>
      <c r="H74" s="6">
        <v>120000</v>
      </c>
      <c r="I74" t="s">
        <v>58</v>
      </c>
      <c r="J74" t="s">
        <v>35</v>
      </c>
      <c r="K74" t="s">
        <v>1647</v>
      </c>
      <c r="L74" t="s">
        <v>100</v>
      </c>
      <c r="M74" t="s">
        <v>90</v>
      </c>
      <c r="N74" s="6">
        <v>1</v>
      </c>
      <c r="O74" t="str">
        <f t="shared" si="5"/>
        <v>Normal</v>
      </c>
      <c r="P74" t="str">
        <f t="shared" si="6"/>
        <v>Duplicate ID</v>
      </c>
      <c r="Q74" t="str">
        <f t="shared" si="7"/>
        <v>5,000-9,999</v>
      </c>
      <c r="R74" s="6">
        <f>IF(COUNTIF($A$2:A74,A74)=1,1,0)</f>
        <v>1</v>
      </c>
    </row>
    <row r="75" spans="1:18" x14ac:dyDescent="0.25">
      <c r="A75" s="6">
        <v>1553</v>
      </c>
      <c r="B75" s="7">
        <v>44463</v>
      </c>
      <c r="C75" t="s">
        <v>51</v>
      </c>
      <c r="D75" s="6">
        <v>2016</v>
      </c>
      <c r="E75" s="8">
        <v>4815</v>
      </c>
      <c r="F75" s="8">
        <v>7000</v>
      </c>
      <c r="G75" s="8">
        <f t="shared" si="4"/>
        <v>2185</v>
      </c>
      <c r="H75" s="6">
        <v>40000</v>
      </c>
      <c r="I75" t="s">
        <v>41</v>
      </c>
      <c r="J75" t="s">
        <v>35</v>
      </c>
      <c r="K75" t="s">
        <v>36</v>
      </c>
      <c r="L75" t="s">
        <v>54</v>
      </c>
      <c r="M75" t="s">
        <v>90</v>
      </c>
      <c r="N75" s="6" t="s">
        <v>1647</v>
      </c>
      <c r="O75" t="str">
        <f t="shared" si="5"/>
        <v>Normal</v>
      </c>
      <c r="P75" t="str">
        <f t="shared" si="6"/>
        <v>Duplicate ID</v>
      </c>
      <c r="Q75" t="str">
        <f t="shared" si="7"/>
        <v>0-4,999</v>
      </c>
      <c r="R75" s="6">
        <f>IF(COUNTIF($A$2:A75,A75)=1,1,0)</f>
        <v>1</v>
      </c>
    </row>
    <row r="76" spans="1:18" x14ac:dyDescent="0.25">
      <c r="A76" s="6">
        <v>1431</v>
      </c>
      <c r="B76" s="7">
        <v>44456</v>
      </c>
      <c r="C76" t="s">
        <v>51</v>
      </c>
      <c r="D76" s="6">
        <v>2014</v>
      </c>
      <c r="E76" s="8">
        <v>10571</v>
      </c>
      <c r="F76" s="8">
        <v>12000</v>
      </c>
      <c r="G76" s="8">
        <f t="shared" si="4"/>
        <v>1429</v>
      </c>
      <c r="H76" s="6">
        <v>40000</v>
      </c>
      <c r="I76" t="s">
        <v>69</v>
      </c>
      <c r="J76" t="s">
        <v>1647</v>
      </c>
      <c r="K76" t="s">
        <v>1647</v>
      </c>
      <c r="L76" t="s">
        <v>73</v>
      </c>
      <c r="M76" t="s">
        <v>98</v>
      </c>
      <c r="N76" s="6" t="s">
        <v>1647</v>
      </c>
      <c r="O76" t="str">
        <f t="shared" si="5"/>
        <v>Normal</v>
      </c>
      <c r="P76" t="str">
        <f t="shared" si="6"/>
        <v>Duplicate ID</v>
      </c>
      <c r="Q76" t="str">
        <f t="shared" si="7"/>
        <v>10,000-14,999</v>
      </c>
      <c r="R76" s="6">
        <f>IF(COUNTIF($A$2:A76,A76)=1,1,0)</f>
        <v>1</v>
      </c>
    </row>
    <row r="77" spans="1:18" x14ac:dyDescent="0.25">
      <c r="A77" s="6">
        <v>1308</v>
      </c>
      <c r="B77" s="7">
        <v>45264</v>
      </c>
      <c r="C77" t="s">
        <v>119</v>
      </c>
      <c r="D77" s="6"/>
      <c r="E77" s="8">
        <v>603</v>
      </c>
      <c r="F77" s="8">
        <v>7000</v>
      </c>
      <c r="G77" s="8">
        <f t="shared" si="4"/>
        <v>6397</v>
      </c>
      <c r="H77" s="6">
        <v>120000</v>
      </c>
      <c r="I77" t="s">
        <v>1647</v>
      </c>
      <c r="J77" t="s">
        <v>72</v>
      </c>
      <c r="K77" t="s">
        <v>96</v>
      </c>
      <c r="L77" t="s">
        <v>73</v>
      </c>
      <c r="M77" t="s">
        <v>98</v>
      </c>
      <c r="N77" s="6">
        <v>3</v>
      </c>
      <c r="O77" t="str">
        <f t="shared" si="5"/>
        <v>Outlier</v>
      </c>
      <c r="P77" t="str">
        <f t="shared" si="6"/>
        <v>Duplicate ID</v>
      </c>
      <c r="Q77" t="str">
        <f t="shared" si="7"/>
        <v>0-4,999</v>
      </c>
      <c r="R77" s="6">
        <f>IF(COUNTIF($A$2:A77,A77)=1,1,0)</f>
        <v>1</v>
      </c>
    </row>
    <row r="78" spans="1:18" x14ac:dyDescent="0.25">
      <c r="A78" s="6">
        <v>1129</v>
      </c>
      <c r="B78" s="7">
        <v>44331</v>
      </c>
      <c r="C78" t="s">
        <v>40</v>
      </c>
      <c r="D78" s="6">
        <v>2015</v>
      </c>
      <c r="E78" s="8">
        <v>19785</v>
      </c>
      <c r="F78" s="8">
        <v>22000</v>
      </c>
      <c r="G78" s="8">
        <f t="shared" si="4"/>
        <v>2215</v>
      </c>
      <c r="H78" s="6">
        <v>80000</v>
      </c>
      <c r="I78" t="s">
        <v>69</v>
      </c>
      <c r="J78" t="s">
        <v>72</v>
      </c>
      <c r="K78" t="s">
        <v>1647</v>
      </c>
      <c r="L78" t="s">
        <v>1647</v>
      </c>
      <c r="M78" t="s">
        <v>45</v>
      </c>
      <c r="N78" s="6">
        <v>3</v>
      </c>
      <c r="O78" t="str">
        <f t="shared" si="5"/>
        <v>Normal</v>
      </c>
      <c r="P78" t="str">
        <f t="shared" si="6"/>
        <v>Duplicate ID</v>
      </c>
      <c r="Q78" t="str">
        <f t="shared" si="7"/>
        <v>15,000-19,999</v>
      </c>
      <c r="R78" s="6">
        <f>IF(COUNTIF($A$2:A78,A78)=1,1,0)</f>
        <v>1</v>
      </c>
    </row>
    <row r="79" spans="1:18" x14ac:dyDescent="0.25">
      <c r="A79" s="6">
        <v>1220</v>
      </c>
      <c r="B79" s="7">
        <v>45326</v>
      </c>
      <c r="C79" t="s">
        <v>1648</v>
      </c>
      <c r="D79" s="6">
        <v>2015</v>
      </c>
      <c r="E79" s="8">
        <v>2668</v>
      </c>
      <c r="F79" s="8">
        <v>9000</v>
      </c>
      <c r="G79" s="8">
        <f t="shared" si="4"/>
        <v>6332</v>
      </c>
      <c r="H79" s="6">
        <v>120000</v>
      </c>
      <c r="I79" t="s">
        <v>1647</v>
      </c>
      <c r="J79" t="s">
        <v>72</v>
      </c>
      <c r="K79" t="s">
        <v>96</v>
      </c>
      <c r="L79" t="s">
        <v>73</v>
      </c>
      <c r="M79" t="s">
        <v>45</v>
      </c>
      <c r="N79" s="6">
        <v>3</v>
      </c>
      <c r="O79" t="str">
        <f t="shared" si="5"/>
        <v>Normal</v>
      </c>
      <c r="P79" t="str">
        <f t="shared" si="6"/>
        <v>Duplicate ID</v>
      </c>
      <c r="Q79" t="str">
        <f t="shared" si="7"/>
        <v>0-4,999</v>
      </c>
      <c r="R79" s="6">
        <f>IF(COUNTIF($A$2:A79,A79)=1,1,0)</f>
        <v>1</v>
      </c>
    </row>
    <row r="80" spans="1:18" x14ac:dyDescent="0.25">
      <c r="A80" s="6">
        <v>1068</v>
      </c>
      <c r="B80" s="7">
        <v>45168</v>
      </c>
      <c r="C80" t="s">
        <v>51</v>
      </c>
      <c r="D80" s="6">
        <v>2018</v>
      </c>
      <c r="E80" s="8">
        <v>15750</v>
      </c>
      <c r="F80" s="8">
        <v>18000</v>
      </c>
      <c r="G80" s="8">
        <f t="shared" si="4"/>
        <v>2250</v>
      </c>
      <c r="H80" s="6">
        <v>40000</v>
      </c>
      <c r="I80" t="s">
        <v>69</v>
      </c>
      <c r="J80" t="s">
        <v>35</v>
      </c>
      <c r="K80" t="s">
        <v>1647</v>
      </c>
      <c r="L80" t="s">
        <v>73</v>
      </c>
      <c r="M80" t="s">
        <v>1647</v>
      </c>
      <c r="N80" s="6" t="s">
        <v>1647</v>
      </c>
      <c r="O80" t="str">
        <f t="shared" si="5"/>
        <v>Normal</v>
      </c>
      <c r="P80" t="str">
        <f t="shared" si="6"/>
        <v>Duplicate ID</v>
      </c>
      <c r="Q80" t="str">
        <f t="shared" si="7"/>
        <v>15,000-19,999</v>
      </c>
      <c r="R80" s="6">
        <f>IF(COUNTIF($A$2:A80,A80)=1,1,0)</f>
        <v>1</v>
      </c>
    </row>
    <row r="81" spans="1:18" x14ac:dyDescent="0.25">
      <c r="A81" s="6">
        <v>1052</v>
      </c>
      <c r="B81" s="7">
        <v>45063</v>
      </c>
      <c r="C81" t="s">
        <v>51</v>
      </c>
      <c r="D81" s="6">
        <v>2018</v>
      </c>
      <c r="E81" s="8">
        <v>5104</v>
      </c>
      <c r="F81" s="8">
        <v>9000</v>
      </c>
      <c r="G81" s="8">
        <f t="shared" si="4"/>
        <v>3896</v>
      </c>
      <c r="H81" s="6">
        <v>60000</v>
      </c>
      <c r="I81" t="s">
        <v>58</v>
      </c>
      <c r="J81" t="s">
        <v>35</v>
      </c>
      <c r="K81" t="s">
        <v>96</v>
      </c>
      <c r="L81" t="s">
        <v>100</v>
      </c>
      <c r="M81" t="s">
        <v>126</v>
      </c>
      <c r="N81" s="6">
        <v>2</v>
      </c>
      <c r="O81" t="str">
        <f t="shared" si="5"/>
        <v>Normal</v>
      </c>
      <c r="P81" t="str">
        <f t="shared" si="6"/>
        <v>Duplicate ID</v>
      </c>
      <c r="Q81" t="str">
        <f t="shared" si="7"/>
        <v>5,000-9,999</v>
      </c>
      <c r="R81" s="6">
        <f>IF(COUNTIF($A$2:A81,A81)=1,1,0)</f>
        <v>1</v>
      </c>
    </row>
    <row r="82" spans="1:18" x14ac:dyDescent="0.25">
      <c r="A82" s="6">
        <v>1574</v>
      </c>
      <c r="B82" s="7">
        <v>45075</v>
      </c>
      <c r="C82" t="s">
        <v>79</v>
      </c>
      <c r="D82" s="6">
        <v>2015</v>
      </c>
      <c r="E82" s="8">
        <v>15148</v>
      </c>
      <c r="F82" s="8">
        <v>18000</v>
      </c>
      <c r="G82" s="8">
        <f t="shared" si="4"/>
        <v>2852</v>
      </c>
      <c r="H82" s="6">
        <v>80000</v>
      </c>
      <c r="I82" t="s">
        <v>41</v>
      </c>
      <c r="J82" t="s">
        <v>1647</v>
      </c>
      <c r="K82" t="s">
        <v>96</v>
      </c>
      <c r="L82" t="s">
        <v>73</v>
      </c>
      <c r="M82" t="s">
        <v>90</v>
      </c>
      <c r="N82" s="6">
        <v>2</v>
      </c>
      <c r="O82" t="str">
        <f t="shared" si="5"/>
        <v>Normal</v>
      </c>
      <c r="P82" t="str">
        <f t="shared" si="6"/>
        <v>Duplicate ID</v>
      </c>
      <c r="Q82" t="str">
        <f t="shared" si="7"/>
        <v>15,000-19,999</v>
      </c>
      <c r="R82" s="6">
        <f>IF(COUNTIF($A$2:A82,A82)=1,1,0)</f>
        <v>1</v>
      </c>
    </row>
    <row r="83" spans="1:18" x14ac:dyDescent="0.25">
      <c r="A83" s="6">
        <v>1579</v>
      </c>
      <c r="B83" s="7">
        <v>44490</v>
      </c>
      <c r="C83" t="s">
        <v>51</v>
      </c>
      <c r="D83" s="6">
        <v>2019</v>
      </c>
      <c r="E83" s="8">
        <v>19514</v>
      </c>
      <c r="F83" s="8">
        <v>22000</v>
      </c>
      <c r="G83" s="8">
        <f t="shared" si="4"/>
        <v>2486</v>
      </c>
      <c r="H83" s="6">
        <v>15000</v>
      </c>
      <c r="I83" t="s">
        <v>41</v>
      </c>
      <c r="J83" t="s">
        <v>35</v>
      </c>
      <c r="K83" t="s">
        <v>1647</v>
      </c>
      <c r="L83" t="s">
        <v>100</v>
      </c>
      <c r="M83" t="s">
        <v>98</v>
      </c>
      <c r="N83" s="6">
        <v>3</v>
      </c>
      <c r="O83" t="str">
        <f t="shared" si="5"/>
        <v>Normal</v>
      </c>
      <c r="P83" t="str">
        <f t="shared" si="6"/>
        <v>Duplicate ID</v>
      </c>
      <c r="Q83" t="str">
        <f t="shared" si="7"/>
        <v>15,000-19,999</v>
      </c>
      <c r="R83" s="6">
        <f>IF(COUNTIF($A$2:A83,A83)=1,1,0)</f>
        <v>0</v>
      </c>
    </row>
    <row r="84" spans="1:18" x14ac:dyDescent="0.25">
      <c r="A84" s="6">
        <v>1581</v>
      </c>
      <c r="B84" s="7">
        <v>44861</v>
      </c>
      <c r="C84" t="s">
        <v>1648</v>
      </c>
      <c r="D84" s="6">
        <v>2019</v>
      </c>
      <c r="E84" s="8">
        <v>8448</v>
      </c>
      <c r="F84" s="8">
        <v>12000</v>
      </c>
      <c r="G84" s="8">
        <f t="shared" si="4"/>
        <v>3552</v>
      </c>
      <c r="H84" s="6">
        <v>40000</v>
      </c>
      <c r="I84" t="s">
        <v>41</v>
      </c>
      <c r="J84" t="s">
        <v>35</v>
      </c>
      <c r="K84" t="s">
        <v>96</v>
      </c>
      <c r="L84" t="s">
        <v>48</v>
      </c>
      <c r="M84" t="s">
        <v>98</v>
      </c>
      <c r="N84" s="6">
        <v>3</v>
      </c>
      <c r="O84" t="str">
        <f t="shared" si="5"/>
        <v>Normal</v>
      </c>
      <c r="P84" t="str">
        <f t="shared" si="6"/>
        <v>Duplicate ID</v>
      </c>
      <c r="Q84" t="str">
        <f t="shared" si="7"/>
        <v>5,000-9,999</v>
      </c>
      <c r="R84" s="6">
        <f>IF(COUNTIF($A$2:A84,A84)=1,1,0)</f>
        <v>1</v>
      </c>
    </row>
    <row r="85" spans="1:18" x14ac:dyDescent="0.25">
      <c r="A85" s="6">
        <v>1353</v>
      </c>
      <c r="B85" s="7">
        <v>44430</v>
      </c>
      <c r="C85" t="s">
        <v>1648</v>
      </c>
      <c r="D85" s="6">
        <v>2020</v>
      </c>
      <c r="E85" s="8">
        <v>12803</v>
      </c>
      <c r="F85" s="8">
        <v>18000</v>
      </c>
      <c r="G85" s="8">
        <f t="shared" si="4"/>
        <v>5197</v>
      </c>
      <c r="H85" s="6">
        <v>25000</v>
      </c>
      <c r="I85" t="s">
        <v>1647</v>
      </c>
      <c r="J85" t="s">
        <v>1647</v>
      </c>
      <c r="K85" t="s">
        <v>96</v>
      </c>
      <c r="L85" t="s">
        <v>73</v>
      </c>
      <c r="M85" t="s">
        <v>90</v>
      </c>
      <c r="N85" s="6">
        <v>3</v>
      </c>
      <c r="O85" t="str">
        <f t="shared" si="5"/>
        <v>Normal</v>
      </c>
      <c r="P85" t="str">
        <f t="shared" si="6"/>
        <v>Duplicate ID</v>
      </c>
      <c r="Q85" t="str">
        <f t="shared" si="7"/>
        <v>10,000-14,999</v>
      </c>
      <c r="R85" s="6">
        <f>IF(COUNTIF($A$2:A85,A85)=1,1,0)</f>
        <v>1</v>
      </c>
    </row>
    <row r="86" spans="1:18" x14ac:dyDescent="0.25">
      <c r="A86" s="6">
        <v>1261</v>
      </c>
      <c r="B86" s="7">
        <v>44478</v>
      </c>
      <c r="C86" t="s">
        <v>40</v>
      </c>
      <c r="D86" s="6">
        <v>2014</v>
      </c>
      <c r="E86" s="8">
        <v>12270</v>
      </c>
      <c r="F86" s="8">
        <v>15000</v>
      </c>
      <c r="G86" s="8">
        <f t="shared" si="4"/>
        <v>2730</v>
      </c>
      <c r="H86" s="6">
        <v>40000</v>
      </c>
      <c r="I86" t="s">
        <v>34</v>
      </c>
      <c r="J86" t="s">
        <v>35</v>
      </c>
      <c r="K86" t="s">
        <v>36</v>
      </c>
      <c r="L86" t="s">
        <v>48</v>
      </c>
      <c r="M86" t="s">
        <v>1647</v>
      </c>
      <c r="N86" s="6">
        <v>1</v>
      </c>
      <c r="O86" t="str">
        <f t="shared" si="5"/>
        <v>Normal</v>
      </c>
      <c r="P86" t="str">
        <f t="shared" si="6"/>
        <v>Duplicate ID</v>
      </c>
      <c r="Q86" t="str">
        <f t="shared" si="7"/>
        <v>10,000-14,999</v>
      </c>
      <c r="R86" s="6">
        <f>IF(COUNTIF($A$2:A86,A86)=1,1,0)</f>
        <v>1</v>
      </c>
    </row>
    <row r="87" spans="1:18" x14ac:dyDescent="0.25">
      <c r="A87" s="6">
        <v>1019</v>
      </c>
      <c r="B87" s="7">
        <v>45090</v>
      </c>
      <c r="C87" t="s">
        <v>79</v>
      </c>
      <c r="D87" s="6">
        <v>2015</v>
      </c>
      <c r="E87" s="8">
        <v>24654</v>
      </c>
      <c r="F87" s="8">
        <v>26000</v>
      </c>
      <c r="G87" s="8">
        <f t="shared" si="4"/>
        <v>1346</v>
      </c>
      <c r="H87" s="6">
        <v>120000</v>
      </c>
      <c r="I87" t="s">
        <v>34</v>
      </c>
      <c r="J87" t="s">
        <v>1647</v>
      </c>
      <c r="K87" t="s">
        <v>96</v>
      </c>
      <c r="L87" t="s">
        <v>48</v>
      </c>
      <c r="M87" t="s">
        <v>45</v>
      </c>
      <c r="N87" s="6">
        <v>0</v>
      </c>
      <c r="O87" t="str">
        <f t="shared" si="5"/>
        <v>Normal</v>
      </c>
      <c r="P87" t="str">
        <f t="shared" si="6"/>
        <v>Duplicate ID</v>
      </c>
      <c r="Q87" t="str">
        <f t="shared" si="7"/>
        <v>20,000-24,999</v>
      </c>
      <c r="R87" s="6">
        <f>IF(COUNTIF($A$2:A87,A87)=1,1,0)</f>
        <v>1</v>
      </c>
    </row>
    <row r="88" spans="1:18" x14ac:dyDescent="0.25">
      <c r="A88" s="6">
        <v>1370</v>
      </c>
      <c r="B88" s="7">
        <v>45139</v>
      </c>
      <c r="C88" t="s">
        <v>79</v>
      </c>
      <c r="D88" s="6">
        <v>2014</v>
      </c>
      <c r="E88" s="8">
        <v>15937</v>
      </c>
      <c r="F88" s="8">
        <v>22000</v>
      </c>
      <c r="G88" s="8">
        <f t="shared" si="4"/>
        <v>6063</v>
      </c>
      <c r="H88" s="6">
        <v>25000</v>
      </c>
      <c r="I88" t="s">
        <v>34</v>
      </c>
      <c r="J88" t="s">
        <v>1647</v>
      </c>
      <c r="K88" t="s">
        <v>36</v>
      </c>
      <c r="L88" t="s">
        <v>48</v>
      </c>
      <c r="M88" t="s">
        <v>45</v>
      </c>
      <c r="N88" s="6">
        <v>2</v>
      </c>
      <c r="O88" t="str">
        <f t="shared" si="5"/>
        <v>Normal</v>
      </c>
      <c r="P88" t="str">
        <f t="shared" si="6"/>
        <v>Duplicate ID</v>
      </c>
      <c r="Q88" t="str">
        <f t="shared" si="7"/>
        <v>15,000-19,999</v>
      </c>
      <c r="R88" s="6">
        <f>IF(COUNTIF($A$2:A88,A88)=1,1,0)</f>
        <v>1</v>
      </c>
    </row>
    <row r="89" spans="1:18" x14ac:dyDescent="0.25">
      <c r="A89" s="6">
        <v>1543</v>
      </c>
      <c r="B89" s="7">
        <v>44430</v>
      </c>
      <c r="C89" t="s">
        <v>119</v>
      </c>
      <c r="D89" s="6">
        <v>2019</v>
      </c>
      <c r="E89" s="8">
        <v>6819</v>
      </c>
      <c r="F89" s="8">
        <v>12000</v>
      </c>
      <c r="G89" s="8">
        <f t="shared" si="4"/>
        <v>5181</v>
      </c>
      <c r="H89" s="6">
        <v>15000</v>
      </c>
      <c r="I89" t="s">
        <v>58</v>
      </c>
      <c r="J89" t="s">
        <v>35</v>
      </c>
      <c r="K89" t="s">
        <v>36</v>
      </c>
      <c r="L89" t="s">
        <v>100</v>
      </c>
      <c r="M89" t="s">
        <v>45</v>
      </c>
      <c r="N89" s="6">
        <v>1</v>
      </c>
      <c r="O89" t="str">
        <f t="shared" si="5"/>
        <v>Normal</v>
      </c>
      <c r="P89" t="str">
        <f t="shared" si="6"/>
        <v>Duplicate ID</v>
      </c>
      <c r="Q89" t="str">
        <f t="shared" si="7"/>
        <v>5,000-9,999</v>
      </c>
      <c r="R89" s="6">
        <f>IF(COUNTIF($A$2:A89,A89)=1,1,0)</f>
        <v>1</v>
      </c>
    </row>
    <row r="90" spans="1:18" x14ac:dyDescent="0.25">
      <c r="A90" s="6">
        <v>1505</v>
      </c>
      <c r="B90" s="7">
        <v>44559</v>
      </c>
      <c r="C90" t="s">
        <v>57</v>
      </c>
      <c r="D90" s="6"/>
      <c r="E90" s="8">
        <v>10383</v>
      </c>
      <c r="F90" s="8">
        <v>12000</v>
      </c>
      <c r="G90" s="8">
        <f t="shared" si="4"/>
        <v>1617</v>
      </c>
      <c r="H90" s="6">
        <v>120000</v>
      </c>
      <c r="I90" t="s">
        <v>69</v>
      </c>
      <c r="J90" t="s">
        <v>72</v>
      </c>
      <c r="K90" t="s">
        <v>36</v>
      </c>
      <c r="L90" t="s">
        <v>48</v>
      </c>
      <c r="M90" t="s">
        <v>126</v>
      </c>
      <c r="N90" s="6">
        <v>3</v>
      </c>
      <c r="O90" t="str">
        <f t="shared" si="5"/>
        <v>Normal</v>
      </c>
      <c r="P90" t="str">
        <f t="shared" si="6"/>
        <v>Duplicate ID</v>
      </c>
      <c r="Q90" t="str">
        <f t="shared" si="7"/>
        <v>10,000-14,999</v>
      </c>
      <c r="R90" s="6">
        <f>IF(COUNTIF($A$2:A90,A90)=1,1,0)</f>
        <v>1</v>
      </c>
    </row>
    <row r="91" spans="1:18" x14ac:dyDescent="0.25">
      <c r="A91" s="6">
        <v>1360</v>
      </c>
      <c r="B91" s="7">
        <v>44312</v>
      </c>
      <c r="C91" t="s">
        <v>1648</v>
      </c>
      <c r="D91" s="6">
        <v>2018</v>
      </c>
      <c r="E91" s="8">
        <v>12156</v>
      </c>
      <c r="F91" s="8">
        <v>18000</v>
      </c>
      <c r="G91" s="8">
        <f t="shared" si="4"/>
        <v>5844</v>
      </c>
      <c r="H91" s="6">
        <v>40000</v>
      </c>
      <c r="I91" t="s">
        <v>41</v>
      </c>
      <c r="J91" t="s">
        <v>72</v>
      </c>
      <c r="K91" t="s">
        <v>96</v>
      </c>
      <c r="L91" t="s">
        <v>73</v>
      </c>
      <c r="M91" t="s">
        <v>126</v>
      </c>
      <c r="N91" s="6" t="s">
        <v>1647</v>
      </c>
      <c r="O91" t="str">
        <f t="shared" si="5"/>
        <v>Normal</v>
      </c>
      <c r="P91" t="str">
        <f t="shared" si="6"/>
        <v>Duplicate ID</v>
      </c>
      <c r="Q91" t="str">
        <f t="shared" si="7"/>
        <v>10,000-14,999</v>
      </c>
      <c r="R91" s="6">
        <f>IF(COUNTIF($A$2:A91,A91)=1,1,0)</f>
        <v>1</v>
      </c>
    </row>
    <row r="92" spans="1:18" x14ac:dyDescent="0.25">
      <c r="A92" s="6">
        <v>1329</v>
      </c>
      <c r="B92" s="7">
        <v>44582</v>
      </c>
      <c r="C92" t="s">
        <v>79</v>
      </c>
      <c r="D92" s="6">
        <v>2021</v>
      </c>
      <c r="E92" s="8">
        <v>1317</v>
      </c>
      <c r="F92" s="8">
        <v>7000</v>
      </c>
      <c r="G92" s="8">
        <f t="shared" si="4"/>
        <v>5683</v>
      </c>
      <c r="H92" s="6">
        <v>60000</v>
      </c>
      <c r="I92" t="s">
        <v>1647</v>
      </c>
      <c r="J92" t="s">
        <v>35</v>
      </c>
      <c r="K92" t="s">
        <v>96</v>
      </c>
      <c r="L92" t="s">
        <v>73</v>
      </c>
      <c r="M92" t="s">
        <v>1647</v>
      </c>
      <c r="N92" s="6">
        <v>1</v>
      </c>
      <c r="O92" t="str">
        <f t="shared" si="5"/>
        <v>Normal</v>
      </c>
      <c r="P92" t="str">
        <f t="shared" si="6"/>
        <v>Duplicate ID</v>
      </c>
      <c r="Q92" t="str">
        <f t="shared" si="7"/>
        <v>0-4,999</v>
      </c>
      <c r="R92" s="6">
        <f>IF(COUNTIF($A$2:A92,A92)=1,1,0)</f>
        <v>1</v>
      </c>
    </row>
    <row r="93" spans="1:18" x14ac:dyDescent="0.25">
      <c r="A93" s="6">
        <v>1162</v>
      </c>
      <c r="B93" s="7">
        <v>45267</v>
      </c>
      <c r="C93" t="s">
        <v>40</v>
      </c>
      <c r="D93" s="6">
        <v>2017</v>
      </c>
      <c r="E93" s="8">
        <v>25707</v>
      </c>
      <c r="F93" s="8">
        <v>31000</v>
      </c>
      <c r="G93" s="8">
        <f t="shared" si="4"/>
        <v>5293</v>
      </c>
      <c r="H93" s="6">
        <v>60000</v>
      </c>
      <c r="I93" t="s">
        <v>69</v>
      </c>
      <c r="J93" t="s">
        <v>1647</v>
      </c>
      <c r="K93" t="s">
        <v>36</v>
      </c>
      <c r="L93" t="s">
        <v>54</v>
      </c>
      <c r="M93" t="s">
        <v>126</v>
      </c>
      <c r="N93" s="6">
        <v>2</v>
      </c>
      <c r="O93" t="str">
        <f t="shared" si="5"/>
        <v>Normal</v>
      </c>
      <c r="P93" t="str">
        <f t="shared" si="6"/>
        <v>Duplicate ID</v>
      </c>
      <c r="Q93" t="str">
        <f t="shared" si="7"/>
        <v>25,000-30,000</v>
      </c>
      <c r="R93" s="6">
        <f>IF(COUNTIF($A$2:A93,A93)=1,1,0)</f>
        <v>1</v>
      </c>
    </row>
    <row r="94" spans="1:18" x14ac:dyDescent="0.25">
      <c r="A94" s="6">
        <v>1341</v>
      </c>
      <c r="B94" s="7">
        <v>44504</v>
      </c>
      <c r="C94" t="s">
        <v>32</v>
      </c>
      <c r="D94" s="6">
        <v>2022</v>
      </c>
      <c r="E94" s="8">
        <v>22936</v>
      </c>
      <c r="F94" s="8">
        <v>26000</v>
      </c>
      <c r="G94" s="8">
        <f t="shared" si="4"/>
        <v>3064</v>
      </c>
      <c r="H94" s="6">
        <v>40000</v>
      </c>
      <c r="I94" t="s">
        <v>69</v>
      </c>
      <c r="J94" t="s">
        <v>72</v>
      </c>
      <c r="K94" t="s">
        <v>36</v>
      </c>
      <c r="L94" t="s">
        <v>73</v>
      </c>
      <c r="M94" t="s">
        <v>45</v>
      </c>
      <c r="N94" s="6" t="s">
        <v>1647</v>
      </c>
      <c r="O94" t="str">
        <f t="shared" si="5"/>
        <v>Normal</v>
      </c>
      <c r="P94" t="str">
        <f t="shared" si="6"/>
        <v>Duplicate ID</v>
      </c>
      <c r="Q94" t="str">
        <f t="shared" si="7"/>
        <v>20,000-24,999</v>
      </c>
      <c r="R94" s="6">
        <f>IF(COUNTIF($A$2:A94,A94)=1,1,0)</f>
        <v>1</v>
      </c>
    </row>
    <row r="95" spans="1:18" x14ac:dyDescent="0.25">
      <c r="A95" s="6">
        <v>1095</v>
      </c>
      <c r="B95" s="7">
        <v>45275</v>
      </c>
      <c r="C95" t="s">
        <v>79</v>
      </c>
      <c r="D95" s="6">
        <v>2018</v>
      </c>
      <c r="E95" s="8">
        <v>15511</v>
      </c>
      <c r="F95" s="8">
        <v>22000</v>
      </c>
      <c r="G95" s="8">
        <f t="shared" si="4"/>
        <v>6489</v>
      </c>
      <c r="H95" s="6">
        <v>25000</v>
      </c>
      <c r="I95" t="s">
        <v>69</v>
      </c>
      <c r="J95" t="s">
        <v>72</v>
      </c>
      <c r="K95" t="s">
        <v>36</v>
      </c>
      <c r="L95" t="s">
        <v>100</v>
      </c>
      <c r="M95" t="s">
        <v>45</v>
      </c>
      <c r="N95" s="6">
        <v>3</v>
      </c>
      <c r="O95" t="str">
        <f t="shared" si="5"/>
        <v>Normal</v>
      </c>
      <c r="P95" t="str">
        <f t="shared" si="6"/>
        <v>Duplicate ID</v>
      </c>
      <c r="Q95" t="str">
        <f t="shared" si="7"/>
        <v>15,000-19,999</v>
      </c>
      <c r="R95" s="6">
        <f>IF(COUNTIF($A$2:A95,A95)=1,1,0)</f>
        <v>1</v>
      </c>
    </row>
    <row r="96" spans="1:18" x14ac:dyDescent="0.25">
      <c r="A96" s="6">
        <v>1103</v>
      </c>
      <c r="B96" s="7">
        <v>44802</v>
      </c>
      <c r="C96" t="s">
        <v>57</v>
      </c>
      <c r="D96" s="6">
        <v>2017</v>
      </c>
      <c r="E96" s="8">
        <v>10368</v>
      </c>
      <c r="F96" s="8">
        <v>12000</v>
      </c>
      <c r="G96" s="8">
        <f t="shared" si="4"/>
        <v>1632</v>
      </c>
      <c r="H96" s="6">
        <v>25000</v>
      </c>
      <c r="I96" t="s">
        <v>41</v>
      </c>
      <c r="J96" t="s">
        <v>72</v>
      </c>
      <c r="K96" t="s">
        <v>1647</v>
      </c>
      <c r="L96" t="s">
        <v>100</v>
      </c>
      <c r="M96" t="s">
        <v>98</v>
      </c>
      <c r="N96" s="6">
        <v>1</v>
      </c>
      <c r="O96" t="str">
        <f t="shared" si="5"/>
        <v>Normal</v>
      </c>
      <c r="P96" t="str">
        <f t="shared" si="6"/>
        <v>Duplicate ID</v>
      </c>
      <c r="Q96" t="str">
        <f t="shared" si="7"/>
        <v>10,000-14,999</v>
      </c>
      <c r="R96" s="6">
        <f>IF(COUNTIF($A$2:A96,A96)=1,1,0)</f>
        <v>1</v>
      </c>
    </row>
    <row r="97" spans="1:18" x14ac:dyDescent="0.25">
      <c r="A97" s="6">
        <v>1420</v>
      </c>
      <c r="B97" s="7">
        <v>44286</v>
      </c>
      <c r="C97" t="s">
        <v>57</v>
      </c>
      <c r="D97" s="6">
        <v>2016</v>
      </c>
      <c r="E97" s="8">
        <v>7415</v>
      </c>
      <c r="F97" s="8">
        <v>12000</v>
      </c>
      <c r="G97" s="8">
        <f t="shared" si="4"/>
        <v>4585</v>
      </c>
      <c r="H97" s="6">
        <v>120000</v>
      </c>
      <c r="I97" t="s">
        <v>69</v>
      </c>
      <c r="J97" t="s">
        <v>72</v>
      </c>
      <c r="K97" t="s">
        <v>36</v>
      </c>
      <c r="L97" t="s">
        <v>1647</v>
      </c>
      <c r="M97" t="s">
        <v>90</v>
      </c>
      <c r="N97" s="6">
        <v>2</v>
      </c>
      <c r="O97" t="str">
        <f t="shared" si="5"/>
        <v>Normal</v>
      </c>
      <c r="P97" t="str">
        <f t="shared" si="6"/>
        <v>Duplicate ID</v>
      </c>
      <c r="Q97" t="str">
        <f t="shared" si="7"/>
        <v>5,000-9,999</v>
      </c>
      <c r="R97" s="6">
        <f>IF(COUNTIF($A$2:A97,A97)=1,1,0)</f>
        <v>1</v>
      </c>
    </row>
    <row r="98" spans="1:18" x14ac:dyDescent="0.25">
      <c r="A98" s="6">
        <v>1472</v>
      </c>
      <c r="B98" s="7">
        <v>45099</v>
      </c>
      <c r="C98" t="s">
        <v>1648</v>
      </c>
      <c r="D98" s="6">
        <v>2017</v>
      </c>
      <c r="E98" s="8">
        <v>16328</v>
      </c>
      <c r="F98" s="8">
        <v>22000</v>
      </c>
      <c r="G98" s="8">
        <f t="shared" si="4"/>
        <v>5672</v>
      </c>
      <c r="H98" s="6">
        <v>120000</v>
      </c>
      <c r="I98" t="s">
        <v>34</v>
      </c>
      <c r="J98" t="s">
        <v>35</v>
      </c>
      <c r="K98" t="s">
        <v>36</v>
      </c>
      <c r="L98" t="s">
        <v>100</v>
      </c>
      <c r="M98" t="s">
        <v>45</v>
      </c>
      <c r="N98" s="6">
        <v>0</v>
      </c>
      <c r="O98" t="str">
        <f t="shared" si="5"/>
        <v>Normal</v>
      </c>
      <c r="P98" t="str">
        <f t="shared" si="6"/>
        <v>Duplicate ID</v>
      </c>
      <c r="Q98" t="str">
        <f t="shared" si="7"/>
        <v>15,000-19,999</v>
      </c>
      <c r="R98" s="6">
        <f>IF(COUNTIF($A$2:A98,A98)=1,1,0)</f>
        <v>0</v>
      </c>
    </row>
    <row r="99" spans="1:18" x14ac:dyDescent="0.25">
      <c r="A99" s="6">
        <v>1291</v>
      </c>
      <c r="B99" s="7">
        <v>44452</v>
      </c>
      <c r="C99" t="s">
        <v>1648</v>
      </c>
      <c r="D99" s="6">
        <v>2019</v>
      </c>
      <c r="E99" s="8">
        <v>3774</v>
      </c>
      <c r="F99" s="8">
        <v>9000</v>
      </c>
      <c r="G99" s="8">
        <f t="shared" si="4"/>
        <v>5226</v>
      </c>
      <c r="H99" s="6">
        <v>120000</v>
      </c>
      <c r="I99" t="s">
        <v>58</v>
      </c>
      <c r="J99" t="s">
        <v>72</v>
      </c>
      <c r="K99" t="s">
        <v>36</v>
      </c>
      <c r="L99" t="s">
        <v>100</v>
      </c>
      <c r="M99" t="s">
        <v>98</v>
      </c>
      <c r="N99" s="6">
        <v>2</v>
      </c>
      <c r="O99" t="str">
        <f t="shared" si="5"/>
        <v>Normal</v>
      </c>
      <c r="P99" t="str">
        <f t="shared" si="6"/>
        <v>Duplicate ID</v>
      </c>
      <c r="Q99" t="str">
        <f t="shared" si="7"/>
        <v>0-4,999</v>
      </c>
      <c r="R99" s="6">
        <f>IF(COUNTIF($A$2:A99,A99)=1,1,0)</f>
        <v>1</v>
      </c>
    </row>
    <row r="100" spans="1:18" x14ac:dyDescent="0.25">
      <c r="A100" s="6">
        <v>1241</v>
      </c>
      <c r="B100" s="7">
        <v>44962</v>
      </c>
      <c r="C100" t="s">
        <v>40</v>
      </c>
      <c r="D100" s="6">
        <v>2020</v>
      </c>
      <c r="E100" s="8">
        <v>1888</v>
      </c>
      <c r="F100" s="8">
        <v>7000</v>
      </c>
      <c r="G100" s="8">
        <f t="shared" si="4"/>
        <v>5112</v>
      </c>
      <c r="H100" s="6">
        <v>60000</v>
      </c>
      <c r="I100" t="s">
        <v>69</v>
      </c>
      <c r="J100" t="s">
        <v>35</v>
      </c>
      <c r="K100" t="s">
        <v>96</v>
      </c>
      <c r="L100" t="s">
        <v>100</v>
      </c>
      <c r="M100" t="s">
        <v>90</v>
      </c>
      <c r="N100" s="6">
        <v>0</v>
      </c>
      <c r="O100" t="str">
        <f t="shared" si="5"/>
        <v>Normal</v>
      </c>
      <c r="P100" t="str">
        <f t="shared" si="6"/>
        <v>Duplicate ID</v>
      </c>
      <c r="Q100" t="str">
        <f t="shared" si="7"/>
        <v>0-4,999</v>
      </c>
      <c r="R100" s="6">
        <f>IF(COUNTIF($A$2:A100,A100)=1,1,0)</f>
        <v>1</v>
      </c>
    </row>
    <row r="101" spans="1:18" x14ac:dyDescent="0.25">
      <c r="A101" s="6">
        <v>1005</v>
      </c>
      <c r="B101" s="7">
        <v>45115</v>
      </c>
      <c r="C101" t="s">
        <v>51</v>
      </c>
      <c r="D101" s="6">
        <v>2021</v>
      </c>
      <c r="E101" s="8">
        <v>7158</v>
      </c>
      <c r="F101" s="8">
        <v>12000</v>
      </c>
      <c r="G101" s="8">
        <f t="shared" si="4"/>
        <v>4842</v>
      </c>
      <c r="H101" s="6">
        <v>120000</v>
      </c>
      <c r="I101" t="s">
        <v>58</v>
      </c>
      <c r="J101" t="s">
        <v>1647</v>
      </c>
      <c r="K101" t="s">
        <v>1647</v>
      </c>
      <c r="L101" t="s">
        <v>1647</v>
      </c>
      <c r="M101" t="s">
        <v>98</v>
      </c>
      <c r="N101" s="6">
        <v>0</v>
      </c>
      <c r="O101" t="str">
        <f t="shared" si="5"/>
        <v>Normal</v>
      </c>
      <c r="P101" t="str">
        <f t="shared" si="6"/>
        <v>Duplicate ID</v>
      </c>
      <c r="Q101" t="str">
        <f t="shared" si="7"/>
        <v>5,000-9,999</v>
      </c>
      <c r="R101" s="6">
        <f>IF(COUNTIF($A$2:A101,A101)=1,1,0)</f>
        <v>0</v>
      </c>
    </row>
    <row r="102" spans="1:18" x14ac:dyDescent="0.25">
      <c r="A102" s="6">
        <v>1429</v>
      </c>
      <c r="B102" s="7">
        <v>44685</v>
      </c>
      <c r="C102" t="s">
        <v>51</v>
      </c>
      <c r="D102" s="6">
        <v>2017</v>
      </c>
      <c r="E102" s="8">
        <v>16609</v>
      </c>
      <c r="F102" s="8">
        <v>18000</v>
      </c>
      <c r="G102" s="8">
        <f t="shared" si="4"/>
        <v>1391</v>
      </c>
      <c r="H102" s="6">
        <v>15000</v>
      </c>
      <c r="I102" t="s">
        <v>1647</v>
      </c>
      <c r="J102" t="s">
        <v>1647</v>
      </c>
      <c r="K102" t="s">
        <v>1647</v>
      </c>
      <c r="L102" t="s">
        <v>73</v>
      </c>
      <c r="M102" t="s">
        <v>1647</v>
      </c>
      <c r="N102" s="6" t="s">
        <v>1647</v>
      </c>
      <c r="O102" t="str">
        <f t="shared" si="5"/>
        <v>Normal</v>
      </c>
      <c r="P102" t="str">
        <f t="shared" si="6"/>
        <v>Duplicate ID</v>
      </c>
      <c r="Q102" t="str">
        <f t="shared" si="7"/>
        <v>15,000-19,999</v>
      </c>
      <c r="R102" s="6">
        <f>IF(COUNTIF($A$2:A102,A102)=1,1,0)</f>
        <v>0</v>
      </c>
    </row>
    <row r="103" spans="1:18" x14ac:dyDescent="0.25">
      <c r="A103" s="6">
        <v>1246</v>
      </c>
      <c r="B103" s="7">
        <v>44919</v>
      </c>
      <c r="C103" t="s">
        <v>119</v>
      </c>
      <c r="D103" s="6">
        <v>2016</v>
      </c>
      <c r="E103" s="8">
        <v>16988</v>
      </c>
      <c r="F103" s="8">
        <v>18000</v>
      </c>
      <c r="G103" s="8">
        <f t="shared" si="4"/>
        <v>1012</v>
      </c>
      <c r="H103" s="6">
        <v>60000</v>
      </c>
      <c r="I103" t="s">
        <v>69</v>
      </c>
      <c r="J103" t="s">
        <v>35</v>
      </c>
      <c r="K103" t="s">
        <v>1647</v>
      </c>
      <c r="L103" t="s">
        <v>1647</v>
      </c>
      <c r="M103" t="s">
        <v>1647</v>
      </c>
      <c r="N103" s="6" t="s">
        <v>1647</v>
      </c>
      <c r="O103" t="str">
        <f t="shared" si="5"/>
        <v>Normal</v>
      </c>
      <c r="P103" t="str">
        <f t="shared" si="6"/>
        <v>Duplicate ID</v>
      </c>
      <c r="Q103" t="str">
        <f t="shared" si="7"/>
        <v>15,000-19,999</v>
      </c>
      <c r="R103" s="6">
        <f>IF(COUNTIF($A$2:A103,A103)=1,1,0)</f>
        <v>1</v>
      </c>
    </row>
    <row r="104" spans="1:18" x14ac:dyDescent="0.25">
      <c r="A104" s="6">
        <v>1382</v>
      </c>
      <c r="B104" s="7">
        <v>44989</v>
      </c>
      <c r="C104" t="s">
        <v>40</v>
      </c>
      <c r="D104" s="6">
        <v>2020</v>
      </c>
      <c r="E104" s="8">
        <v>24793</v>
      </c>
      <c r="F104" s="8">
        <v>31000</v>
      </c>
      <c r="G104" s="8">
        <f t="shared" si="4"/>
        <v>6207</v>
      </c>
      <c r="H104" s="6">
        <v>15000</v>
      </c>
      <c r="I104" t="s">
        <v>69</v>
      </c>
      <c r="J104" t="s">
        <v>35</v>
      </c>
      <c r="K104" t="s">
        <v>36</v>
      </c>
      <c r="L104" t="s">
        <v>54</v>
      </c>
      <c r="M104" t="s">
        <v>90</v>
      </c>
      <c r="N104" s="6">
        <v>0</v>
      </c>
      <c r="O104" t="str">
        <f t="shared" si="5"/>
        <v>Normal</v>
      </c>
      <c r="P104" t="str">
        <f t="shared" si="6"/>
        <v>Duplicate ID</v>
      </c>
      <c r="Q104" t="str">
        <f t="shared" si="7"/>
        <v>20,000-24,999</v>
      </c>
      <c r="R104" s="6">
        <f>IF(COUNTIF($A$2:A104,A104)=1,1,0)</f>
        <v>1</v>
      </c>
    </row>
    <row r="105" spans="1:18" x14ac:dyDescent="0.25">
      <c r="A105" s="6">
        <v>1490</v>
      </c>
      <c r="B105" s="7">
        <v>45148</v>
      </c>
      <c r="C105" t="s">
        <v>79</v>
      </c>
      <c r="D105" s="6">
        <v>2022</v>
      </c>
      <c r="E105" s="8">
        <v>19566</v>
      </c>
      <c r="F105" s="8">
        <v>22000</v>
      </c>
      <c r="G105" s="8">
        <f t="shared" si="4"/>
        <v>2434</v>
      </c>
      <c r="H105" s="6">
        <v>120000</v>
      </c>
      <c r="I105" t="s">
        <v>1647</v>
      </c>
      <c r="J105" t="s">
        <v>35</v>
      </c>
      <c r="K105" t="s">
        <v>96</v>
      </c>
      <c r="L105" t="s">
        <v>100</v>
      </c>
      <c r="M105" t="s">
        <v>126</v>
      </c>
      <c r="N105" s="6">
        <v>1</v>
      </c>
      <c r="O105" t="str">
        <f t="shared" si="5"/>
        <v>Normal</v>
      </c>
      <c r="P105" t="str">
        <f t="shared" si="6"/>
        <v>Duplicate ID</v>
      </c>
      <c r="Q105" t="str">
        <f t="shared" si="7"/>
        <v>15,000-19,999</v>
      </c>
      <c r="R105" s="6">
        <f>IF(COUNTIF($A$2:A105,A105)=1,1,0)</f>
        <v>1</v>
      </c>
    </row>
    <row r="106" spans="1:18" x14ac:dyDescent="0.25">
      <c r="A106" s="6">
        <v>1484</v>
      </c>
      <c r="B106" s="7">
        <v>45309</v>
      </c>
      <c r="C106" t="s">
        <v>40</v>
      </c>
      <c r="D106" s="6">
        <v>2019</v>
      </c>
      <c r="E106" s="8">
        <v>13738</v>
      </c>
      <c r="F106" s="8">
        <v>18000</v>
      </c>
      <c r="G106" s="8">
        <f t="shared" si="4"/>
        <v>4262</v>
      </c>
      <c r="H106" s="6">
        <v>80000</v>
      </c>
      <c r="I106" t="s">
        <v>69</v>
      </c>
      <c r="J106" t="s">
        <v>35</v>
      </c>
      <c r="K106" t="s">
        <v>96</v>
      </c>
      <c r="L106" t="s">
        <v>54</v>
      </c>
      <c r="M106" t="s">
        <v>126</v>
      </c>
      <c r="N106" s="6">
        <v>2</v>
      </c>
      <c r="O106" t="str">
        <f t="shared" si="5"/>
        <v>Normal</v>
      </c>
      <c r="P106" t="str">
        <f t="shared" si="6"/>
        <v>Duplicate ID</v>
      </c>
      <c r="Q106" t="str">
        <f t="shared" si="7"/>
        <v>10,000-14,999</v>
      </c>
      <c r="R106" s="6">
        <f>IF(COUNTIF($A$2:A106,A106)=1,1,0)</f>
        <v>1</v>
      </c>
    </row>
    <row r="107" spans="1:18" x14ac:dyDescent="0.25">
      <c r="A107" s="6">
        <v>1508</v>
      </c>
      <c r="B107" s="7">
        <v>44579</v>
      </c>
      <c r="C107" t="s">
        <v>1648</v>
      </c>
      <c r="D107" s="6">
        <v>2020</v>
      </c>
      <c r="E107" s="8">
        <v>27223</v>
      </c>
      <c r="F107" s="8">
        <v>31000</v>
      </c>
      <c r="G107" s="8">
        <f t="shared" si="4"/>
        <v>3777</v>
      </c>
      <c r="H107" s="6">
        <v>60000</v>
      </c>
      <c r="I107" t="s">
        <v>69</v>
      </c>
      <c r="J107" t="s">
        <v>35</v>
      </c>
      <c r="K107" t="s">
        <v>96</v>
      </c>
      <c r="L107" t="s">
        <v>73</v>
      </c>
      <c r="M107" t="s">
        <v>98</v>
      </c>
      <c r="N107" s="6" t="s">
        <v>1647</v>
      </c>
      <c r="O107" t="str">
        <f t="shared" si="5"/>
        <v>Normal</v>
      </c>
      <c r="P107" t="str">
        <f t="shared" si="6"/>
        <v>Duplicate ID</v>
      </c>
      <c r="Q107" t="str">
        <f t="shared" si="7"/>
        <v>25,000-30,000</v>
      </c>
      <c r="R107" s="6">
        <f>IF(COUNTIF($A$2:A107,A107)=1,1,0)</f>
        <v>1</v>
      </c>
    </row>
    <row r="108" spans="1:18" x14ac:dyDescent="0.25">
      <c r="A108" s="6">
        <v>1335</v>
      </c>
      <c r="B108" s="7">
        <v>44360</v>
      </c>
      <c r="C108" t="s">
        <v>57</v>
      </c>
      <c r="D108" s="6">
        <v>2022</v>
      </c>
      <c r="E108" s="8">
        <v>16160</v>
      </c>
      <c r="F108" s="8">
        <v>18000</v>
      </c>
      <c r="G108" s="8">
        <f t="shared" si="4"/>
        <v>1840</v>
      </c>
      <c r="H108" s="6">
        <v>40000</v>
      </c>
      <c r="I108" t="s">
        <v>34</v>
      </c>
      <c r="J108" t="s">
        <v>35</v>
      </c>
      <c r="K108" t="s">
        <v>96</v>
      </c>
      <c r="L108" t="s">
        <v>54</v>
      </c>
      <c r="M108" t="s">
        <v>98</v>
      </c>
      <c r="N108" s="6">
        <v>0</v>
      </c>
      <c r="O108" t="str">
        <f t="shared" si="5"/>
        <v>Normal</v>
      </c>
      <c r="P108" t="str">
        <f t="shared" si="6"/>
        <v>Duplicate ID</v>
      </c>
      <c r="Q108" t="str">
        <f t="shared" si="7"/>
        <v>15,000-19,999</v>
      </c>
      <c r="R108" s="6">
        <f>IF(COUNTIF($A$2:A108,A108)=1,1,0)</f>
        <v>1</v>
      </c>
    </row>
    <row r="109" spans="1:18" x14ac:dyDescent="0.25">
      <c r="A109" s="6">
        <v>1076</v>
      </c>
      <c r="B109" s="7">
        <v>44314</v>
      </c>
      <c r="C109" t="s">
        <v>79</v>
      </c>
      <c r="D109" s="6"/>
      <c r="E109" s="8">
        <v>19762</v>
      </c>
      <c r="F109" s="8">
        <v>26000</v>
      </c>
      <c r="G109" s="8">
        <f t="shared" si="4"/>
        <v>6238</v>
      </c>
      <c r="H109" s="6">
        <v>40000</v>
      </c>
      <c r="I109" t="s">
        <v>58</v>
      </c>
      <c r="J109" t="s">
        <v>35</v>
      </c>
      <c r="K109" t="s">
        <v>36</v>
      </c>
      <c r="L109" t="s">
        <v>48</v>
      </c>
      <c r="M109" t="s">
        <v>126</v>
      </c>
      <c r="N109" s="6">
        <v>1</v>
      </c>
      <c r="O109" t="str">
        <f t="shared" si="5"/>
        <v>Normal</v>
      </c>
      <c r="P109" t="str">
        <f t="shared" si="6"/>
        <v>Duplicate ID</v>
      </c>
      <c r="Q109" t="str">
        <f t="shared" si="7"/>
        <v>15,000-19,999</v>
      </c>
      <c r="R109" s="6">
        <f>IF(COUNTIF($A$2:A109,A109)=1,1,0)</f>
        <v>1</v>
      </c>
    </row>
    <row r="110" spans="1:18" x14ac:dyDescent="0.25">
      <c r="A110" s="6">
        <v>1033</v>
      </c>
      <c r="B110" s="7">
        <v>45358</v>
      </c>
      <c r="C110" t="s">
        <v>40</v>
      </c>
      <c r="D110" s="6">
        <v>2017</v>
      </c>
      <c r="E110" s="8">
        <v>17864</v>
      </c>
      <c r="F110" s="8">
        <v>22000</v>
      </c>
      <c r="G110" s="8">
        <f t="shared" si="4"/>
        <v>4136</v>
      </c>
      <c r="H110" s="6">
        <v>40000</v>
      </c>
      <c r="I110" t="s">
        <v>69</v>
      </c>
      <c r="J110" t="s">
        <v>72</v>
      </c>
      <c r="K110" t="s">
        <v>36</v>
      </c>
      <c r="L110" t="s">
        <v>100</v>
      </c>
      <c r="M110" t="s">
        <v>1647</v>
      </c>
      <c r="N110" s="6">
        <v>2</v>
      </c>
      <c r="O110" t="str">
        <f t="shared" si="5"/>
        <v>Normal</v>
      </c>
      <c r="P110" t="str">
        <f t="shared" si="6"/>
        <v>Duplicate ID</v>
      </c>
      <c r="Q110" t="str">
        <f t="shared" si="7"/>
        <v>15,000-19,999</v>
      </c>
      <c r="R110" s="6">
        <f>IF(COUNTIF($A$2:A110,A110)=1,1,0)</f>
        <v>1</v>
      </c>
    </row>
    <row r="111" spans="1:18" x14ac:dyDescent="0.25">
      <c r="A111" s="6">
        <v>1190</v>
      </c>
      <c r="B111" s="7">
        <v>44250</v>
      </c>
      <c r="C111" t="s">
        <v>79</v>
      </c>
      <c r="D111" s="6">
        <v>2019</v>
      </c>
      <c r="E111" s="8">
        <v>16071</v>
      </c>
      <c r="F111" s="8">
        <v>18000</v>
      </c>
      <c r="G111" s="8">
        <f t="shared" si="4"/>
        <v>1929</v>
      </c>
      <c r="H111" s="6">
        <v>25000</v>
      </c>
      <c r="I111" t="s">
        <v>69</v>
      </c>
      <c r="J111" t="s">
        <v>72</v>
      </c>
      <c r="K111" t="s">
        <v>96</v>
      </c>
      <c r="L111" t="s">
        <v>100</v>
      </c>
      <c r="M111" t="s">
        <v>45</v>
      </c>
      <c r="N111" s="6">
        <v>3</v>
      </c>
      <c r="O111" t="str">
        <f t="shared" si="5"/>
        <v>Normal</v>
      </c>
      <c r="P111" t="str">
        <f t="shared" si="6"/>
        <v>Duplicate ID</v>
      </c>
      <c r="Q111" t="str">
        <f t="shared" si="7"/>
        <v>15,000-19,999</v>
      </c>
      <c r="R111" s="6">
        <f>IF(COUNTIF($A$2:A111,A111)=1,1,0)</f>
        <v>1</v>
      </c>
    </row>
    <row r="112" spans="1:18" x14ac:dyDescent="0.25">
      <c r="A112" s="6">
        <v>1455</v>
      </c>
      <c r="B112" s="7">
        <v>44550</v>
      </c>
      <c r="C112" t="s">
        <v>57</v>
      </c>
      <c r="D112" s="6">
        <v>2015</v>
      </c>
      <c r="E112" s="8">
        <v>7297</v>
      </c>
      <c r="F112" s="8">
        <v>12000</v>
      </c>
      <c r="G112" s="8">
        <f t="shared" si="4"/>
        <v>4703</v>
      </c>
      <c r="H112" s="6">
        <v>15000</v>
      </c>
      <c r="I112" t="s">
        <v>69</v>
      </c>
      <c r="J112" t="s">
        <v>72</v>
      </c>
      <c r="K112" t="s">
        <v>36</v>
      </c>
      <c r="L112" t="s">
        <v>1647</v>
      </c>
      <c r="M112" t="s">
        <v>1647</v>
      </c>
      <c r="N112" s="6">
        <v>2</v>
      </c>
      <c r="O112" t="str">
        <f t="shared" si="5"/>
        <v>Normal</v>
      </c>
      <c r="P112" t="str">
        <f t="shared" si="6"/>
        <v>Duplicate ID</v>
      </c>
      <c r="Q112" t="str">
        <f t="shared" si="7"/>
        <v>5,000-9,999</v>
      </c>
      <c r="R112" s="6">
        <f>IF(COUNTIF($A$2:A112,A112)=1,1,0)</f>
        <v>1</v>
      </c>
    </row>
    <row r="113" spans="1:18" x14ac:dyDescent="0.25">
      <c r="A113" s="6">
        <v>1124</v>
      </c>
      <c r="B113" s="7">
        <v>44656</v>
      </c>
      <c r="C113" t="s">
        <v>51</v>
      </c>
      <c r="D113" s="6">
        <v>2016</v>
      </c>
      <c r="E113" s="8">
        <v>6833</v>
      </c>
      <c r="F113" s="8">
        <v>12000</v>
      </c>
      <c r="G113" s="8">
        <f t="shared" si="4"/>
        <v>5167</v>
      </c>
      <c r="H113" s="6">
        <v>40000</v>
      </c>
      <c r="I113" t="s">
        <v>1647</v>
      </c>
      <c r="J113" t="s">
        <v>35</v>
      </c>
      <c r="K113" t="s">
        <v>96</v>
      </c>
      <c r="L113" t="s">
        <v>1647</v>
      </c>
      <c r="M113" t="s">
        <v>45</v>
      </c>
      <c r="N113" s="6">
        <v>3</v>
      </c>
      <c r="O113" t="str">
        <f t="shared" si="5"/>
        <v>Normal</v>
      </c>
      <c r="P113" t="str">
        <f t="shared" si="6"/>
        <v>Duplicate ID</v>
      </c>
      <c r="Q113" t="str">
        <f t="shared" si="7"/>
        <v>5,000-9,999</v>
      </c>
      <c r="R113" s="6">
        <f>IF(COUNTIF($A$2:A113,A113)=1,1,0)</f>
        <v>1</v>
      </c>
    </row>
    <row r="114" spans="1:18" x14ac:dyDescent="0.25">
      <c r="A114" s="6">
        <v>1490</v>
      </c>
      <c r="B114" s="7">
        <v>45012</v>
      </c>
      <c r="C114" t="s">
        <v>32</v>
      </c>
      <c r="D114" s="6"/>
      <c r="E114" s="8">
        <v>5467</v>
      </c>
      <c r="F114" s="8">
        <v>9000</v>
      </c>
      <c r="G114" s="8">
        <f t="shared" si="4"/>
        <v>3533</v>
      </c>
      <c r="H114" s="6">
        <v>15000</v>
      </c>
      <c r="I114" t="s">
        <v>41</v>
      </c>
      <c r="J114" t="s">
        <v>35</v>
      </c>
      <c r="K114" t="s">
        <v>96</v>
      </c>
      <c r="L114" t="s">
        <v>73</v>
      </c>
      <c r="M114" t="s">
        <v>98</v>
      </c>
      <c r="N114" s="6">
        <v>3</v>
      </c>
      <c r="O114" t="str">
        <f t="shared" si="5"/>
        <v>Normal</v>
      </c>
      <c r="P114" t="str">
        <f t="shared" si="6"/>
        <v>Duplicate ID</v>
      </c>
      <c r="Q114" t="str">
        <f t="shared" si="7"/>
        <v>5,000-9,999</v>
      </c>
      <c r="R114" s="6">
        <f>IF(COUNTIF($A$2:A114,A114)=1,1,0)</f>
        <v>0</v>
      </c>
    </row>
    <row r="115" spans="1:18" x14ac:dyDescent="0.25">
      <c r="A115" s="6">
        <v>1056</v>
      </c>
      <c r="B115" s="7">
        <v>45226</v>
      </c>
      <c r="C115" t="s">
        <v>79</v>
      </c>
      <c r="D115" s="6">
        <v>2016</v>
      </c>
      <c r="E115" s="8">
        <v>7456</v>
      </c>
      <c r="F115" s="8">
        <v>12000</v>
      </c>
      <c r="G115" s="8">
        <f t="shared" si="4"/>
        <v>4544</v>
      </c>
      <c r="H115" s="6">
        <v>25000</v>
      </c>
      <c r="I115" t="s">
        <v>58</v>
      </c>
      <c r="J115" t="s">
        <v>72</v>
      </c>
      <c r="K115" t="s">
        <v>36</v>
      </c>
      <c r="L115" t="s">
        <v>54</v>
      </c>
      <c r="M115" t="s">
        <v>1647</v>
      </c>
      <c r="N115" s="6">
        <v>2</v>
      </c>
      <c r="O115" t="str">
        <f t="shared" si="5"/>
        <v>Normal</v>
      </c>
      <c r="P115" t="str">
        <f t="shared" si="6"/>
        <v>Duplicate ID</v>
      </c>
      <c r="Q115" t="str">
        <f t="shared" si="7"/>
        <v>5,000-9,999</v>
      </c>
      <c r="R115" s="6">
        <f>IF(COUNTIF($A$2:A115,A115)=1,1,0)</f>
        <v>1</v>
      </c>
    </row>
    <row r="116" spans="1:18" x14ac:dyDescent="0.25">
      <c r="A116" s="6">
        <v>1128</v>
      </c>
      <c r="B116" s="7">
        <v>44759</v>
      </c>
      <c r="C116" t="s">
        <v>40</v>
      </c>
      <c r="D116" s="6">
        <v>2018</v>
      </c>
      <c r="E116" s="8">
        <v>9488</v>
      </c>
      <c r="F116" s="8">
        <v>15000</v>
      </c>
      <c r="G116" s="8">
        <f t="shared" si="4"/>
        <v>5512</v>
      </c>
      <c r="H116" s="6">
        <v>120000</v>
      </c>
      <c r="I116" t="s">
        <v>58</v>
      </c>
      <c r="J116" t="s">
        <v>1647</v>
      </c>
      <c r="K116" t="s">
        <v>1647</v>
      </c>
      <c r="L116" t="s">
        <v>100</v>
      </c>
      <c r="M116" t="s">
        <v>90</v>
      </c>
      <c r="N116" s="6" t="s">
        <v>1647</v>
      </c>
      <c r="O116" t="str">
        <f t="shared" si="5"/>
        <v>Normal</v>
      </c>
      <c r="P116" t="str">
        <f t="shared" si="6"/>
        <v>Duplicate ID</v>
      </c>
      <c r="Q116" t="str">
        <f t="shared" si="7"/>
        <v>5,000-9,999</v>
      </c>
      <c r="R116" s="6">
        <f>IF(COUNTIF($A$2:A116,A116)=1,1,0)</f>
        <v>1</v>
      </c>
    </row>
    <row r="117" spans="1:18" x14ac:dyDescent="0.25">
      <c r="A117" s="6">
        <v>1590</v>
      </c>
      <c r="B117" s="7">
        <v>44290</v>
      </c>
      <c r="C117" t="s">
        <v>51</v>
      </c>
      <c r="D117" s="6"/>
      <c r="E117" s="8">
        <v>5335</v>
      </c>
      <c r="F117" s="8">
        <v>7000</v>
      </c>
      <c r="G117" s="8">
        <f t="shared" si="4"/>
        <v>1665</v>
      </c>
      <c r="H117" s="6">
        <v>15000</v>
      </c>
      <c r="I117" t="s">
        <v>41</v>
      </c>
      <c r="J117" t="s">
        <v>72</v>
      </c>
      <c r="K117" t="s">
        <v>1647</v>
      </c>
      <c r="L117" t="s">
        <v>54</v>
      </c>
      <c r="M117" t="s">
        <v>45</v>
      </c>
      <c r="N117" s="6">
        <v>3</v>
      </c>
      <c r="O117" t="str">
        <f t="shared" si="5"/>
        <v>Normal</v>
      </c>
      <c r="P117" t="str">
        <f t="shared" si="6"/>
        <v>Duplicate ID</v>
      </c>
      <c r="Q117" t="str">
        <f t="shared" si="7"/>
        <v>5,000-9,999</v>
      </c>
      <c r="R117" s="6">
        <f>IF(COUNTIF($A$2:A117,A117)=1,1,0)</f>
        <v>1</v>
      </c>
    </row>
    <row r="118" spans="1:18" x14ac:dyDescent="0.25">
      <c r="A118" s="6">
        <v>1061</v>
      </c>
      <c r="B118" s="7">
        <v>44346</v>
      </c>
      <c r="C118" t="s">
        <v>119</v>
      </c>
      <c r="D118" s="6">
        <v>2018</v>
      </c>
      <c r="E118" s="8">
        <v>21285</v>
      </c>
      <c r="F118" s="8">
        <v>26000</v>
      </c>
      <c r="G118" s="8">
        <f t="shared" si="4"/>
        <v>4715</v>
      </c>
      <c r="H118" s="6">
        <v>40000</v>
      </c>
      <c r="I118" t="s">
        <v>69</v>
      </c>
      <c r="J118" t="s">
        <v>1647</v>
      </c>
      <c r="K118" t="s">
        <v>36</v>
      </c>
      <c r="L118" t="s">
        <v>54</v>
      </c>
      <c r="M118" t="s">
        <v>45</v>
      </c>
      <c r="N118" s="6">
        <v>2</v>
      </c>
      <c r="O118" t="str">
        <f t="shared" si="5"/>
        <v>Normal</v>
      </c>
      <c r="P118" t="str">
        <f t="shared" si="6"/>
        <v>Duplicate ID</v>
      </c>
      <c r="Q118" t="str">
        <f t="shared" si="7"/>
        <v>20,000-24,999</v>
      </c>
      <c r="R118" s="6">
        <f>IF(COUNTIF($A$2:A118,A118)=1,1,0)</f>
        <v>1</v>
      </c>
    </row>
    <row r="119" spans="1:18" x14ac:dyDescent="0.25">
      <c r="A119" s="6">
        <v>1326</v>
      </c>
      <c r="B119" s="7">
        <v>44414</v>
      </c>
      <c r="C119" t="s">
        <v>79</v>
      </c>
      <c r="D119" s="6">
        <v>2016</v>
      </c>
      <c r="E119" s="8">
        <v>16399</v>
      </c>
      <c r="F119" s="8">
        <v>22000</v>
      </c>
      <c r="G119" s="8">
        <f t="shared" si="4"/>
        <v>5601</v>
      </c>
      <c r="H119" s="6">
        <v>80000</v>
      </c>
      <c r="I119" t="s">
        <v>58</v>
      </c>
      <c r="J119" t="s">
        <v>35</v>
      </c>
      <c r="K119" t="s">
        <v>36</v>
      </c>
      <c r="L119" t="s">
        <v>54</v>
      </c>
      <c r="M119" t="s">
        <v>98</v>
      </c>
      <c r="N119" s="6" t="s">
        <v>1647</v>
      </c>
      <c r="O119" t="str">
        <f t="shared" si="5"/>
        <v>Normal</v>
      </c>
      <c r="P119" t="str">
        <f t="shared" si="6"/>
        <v>Duplicate ID</v>
      </c>
      <c r="Q119" t="str">
        <f t="shared" si="7"/>
        <v>15,000-19,999</v>
      </c>
      <c r="R119" s="6">
        <f>IF(COUNTIF($A$2:A119,A119)=1,1,0)</f>
        <v>1</v>
      </c>
    </row>
    <row r="120" spans="1:18" x14ac:dyDescent="0.25">
      <c r="A120" s="6">
        <v>1194</v>
      </c>
      <c r="B120" s="7">
        <v>44837</v>
      </c>
      <c r="C120" t="s">
        <v>1648</v>
      </c>
      <c r="D120" s="6">
        <v>2017</v>
      </c>
      <c r="E120" s="8">
        <v>6268</v>
      </c>
      <c r="F120" s="8">
        <v>12000</v>
      </c>
      <c r="G120" s="8">
        <f t="shared" si="4"/>
        <v>5732</v>
      </c>
      <c r="H120" s="6">
        <v>40000</v>
      </c>
      <c r="I120" t="s">
        <v>1647</v>
      </c>
      <c r="J120" t="s">
        <v>72</v>
      </c>
      <c r="K120" t="s">
        <v>96</v>
      </c>
      <c r="L120" t="s">
        <v>73</v>
      </c>
      <c r="M120" t="s">
        <v>126</v>
      </c>
      <c r="N120" s="6">
        <v>3</v>
      </c>
      <c r="O120" t="str">
        <f t="shared" si="5"/>
        <v>Normal</v>
      </c>
      <c r="P120" t="str">
        <f t="shared" si="6"/>
        <v>Duplicate ID</v>
      </c>
      <c r="Q120" t="str">
        <f t="shared" si="7"/>
        <v>5,000-9,999</v>
      </c>
      <c r="R120" s="6">
        <f>IF(COUNTIF($A$2:A120,A120)=1,1,0)</f>
        <v>1</v>
      </c>
    </row>
    <row r="121" spans="1:18" x14ac:dyDescent="0.25">
      <c r="A121" s="6">
        <v>1051</v>
      </c>
      <c r="B121" s="7">
        <v>44296</v>
      </c>
      <c r="C121" t="s">
        <v>1648</v>
      </c>
      <c r="D121" s="6">
        <v>2017</v>
      </c>
      <c r="E121" s="8">
        <v>11110</v>
      </c>
      <c r="F121" s="8">
        <v>15000</v>
      </c>
      <c r="G121" s="8">
        <f t="shared" si="4"/>
        <v>3890</v>
      </c>
      <c r="H121" s="6">
        <v>80000</v>
      </c>
      <c r="I121" t="s">
        <v>1647</v>
      </c>
      <c r="J121" t="s">
        <v>72</v>
      </c>
      <c r="K121" t="s">
        <v>1647</v>
      </c>
      <c r="L121" t="s">
        <v>73</v>
      </c>
      <c r="M121" t="s">
        <v>126</v>
      </c>
      <c r="N121" s="6">
        <v>3</v>
      </c>
      <c r="O121" t="str">
        <f t="shared" si="5"/>
        <v>Normal</v>
      </c>
      <c r="P121" t="str">
        <f t="shared" si="6"/>
        <v>Duplicate ID</v>
      </c>
      <c r="Q121" t="str">
        <f t="shared" si="7"/>
        <v>10,000-14,999</v>
      </c>
      <c r="R121" s="6">
        <f>IF(COUNTIF($A$2:A121,A121)=1,1,0)</f>
        <v>0</v>
      </c>
    </row>
    <row r="122" spans="1:18" x14ac:dyDescent="0.25">
      <c r="A122" s="6">
        <v>1410</v>
      </c>
      <c r="B122" s="7">
        <v>44289</v>
      </c>
      <c r="C122" t="s">
        <v>32</v>
      </c>
      <c r="D122" s="6">
        <v>2018</v>
      </c>
      <c r="E122" s="8">
        <v>18003</v>
      </c>
      <c r="F122" s="8">
        <v>22000</v>
      </c>
      <c r="G122" s="8">
        <f t="shared" si="4"/>
        <v>3997</v>
      </c>
      <c r="H122" s="6">
        <v>60000</v>
      </c>
      <c r="I122" t="s">
        <v>69</v>
      </c>
      <c r="J122" t="s">
        <v>35</v>
      </c>
      <c r="K122" t="s">
        <v>96</v>
      </c>
      <c r="L122" t="s">
        <v>1647</v>
      </c>
      <c r="M122" t="s">
        <v>98</v>
      </c>
      <c r="N122" s="6" t="s">
        <v>1647</v>
      </c>
      <c r="O122" t="str">
        <f t="shared" si="5"/>
        <v>Normal</v>
      </c>
      <c r="P122" t="str">
        <f t="shared" si="6"/>
        <v>Duplicate ID</v>
      </c>
      <c r="Q122" t="str">
        <f t="shared" si="7"/>
        <v>15,000-19,999</v>
      </c>
      <c r="R122" s="6">
        <f>IF(COUNTIF($A$2:A122,A122)=1,1,0)</f>
        <v>1</v>
      </c>
    </row>
    <row r="123" spans="1:18" x14ac:dyDescent="0.25">
      <c r="A123" s="6">
        <v>1382</v>
      </c>
      <c r="B123" s="7">
        <v>45003</v>
      </c>
      <c r="C123" t="s">
        <v>119</v>
      </c>
      <c r="D123" s="6"/>
      <c r="E123" s="8">
        <v>7208</v>
      </c>
      <c r="F123" s="8">
        <v>9000</v>
      </c>
      <c r="G123" s="8">
        <f t="shared" si="4"/>
        <v>1792</v>
      </c>
      <c r="H123" s="6">
        <v>25000</v>
      </c>
      <c r="I123" t="s">
        <v>58</v>
      </c>
      <c r="J123" t="s">
        <v>35</v>
      </c>
      <c r="K123" t="s">
        <v>1647</v>
      </c>
      <c r="L123" t="s">
        <v>1647</v>
      </c>
      <c r="M123" t="s">
        <v>98</v>
      </c>
      <c r="N123" s="6" t="s">
        <v>1647</v>
      </c>
      <c r="O123" t="str">
        <f t="shared" si="5"/>
        <v>Normal</v>
      </c>
      <c r="P123" t="str">
        <f t="shared" si="6"/>
        <v>Duplicate ID</v>
      </c>
      <c r="Q123" t="str">
        <f t="shared" si="7"/>
        <v>5,000-9,999</v>
      </c>
      <c r="R123" s="6">
        <f>IF(COUNTIF($A$2:A123,A123)=1,1,0)</f>
        <v>0</v>
      </c>
    </row>
    <row r="124" spans="1:18" x14ac:dyDescent="0.25">
      <c r="A124" s="6">
        <v>1485</v>
      </c>
      <c r="B124" s="7">
        <v>44879</v>
      </c>
      <c r="C124" t="s">
        <v>40</v>
      </c>
      <c r="D124" s="6">
        <v>2014</v>
      </c>
      <c r="E124" s="8">
        <v>155</v>
      </c>
      <c r="F124" s="8">
        <v>7000</v>
      </c>
      <c r="G124" s="8">
        <f t="shared" si="4"/>
        <v>6845</v>
      </c>
      <c r="H124" s="6">
        <v>25000</v>
      </c>
      <c r="I124" t="s">
        <v>58</v>
      </c>
      <c r="J124" t="s">
        <v>72</v>
      </c>
      <c r="K124" t="s">
        <v>1647</v>
      </c>
      <c r="L124" t="s">
        <v>54</v>
      </c>
      <c r="M124" t="s">
        <v>90</v>
      </c>
      <c r="N124" s="6">
        <v>3</v>
      </c>
      <c r="O124" t="str">
        <f t="shared" si="5"/>
        <v>Outlier</v>
      </c>
      <c r="P124" t="str">
        <f t="shared" si="6"/>
        <v>Duplicate ID</v>
      </c>
      <c r="Q124" t="str">
        <f t="shared" si="7"/>
        <v>0-4,999</v>
      </c>
      <c r="R124" s="6">
        <f>IF(COUNTIF($A$2:A124,A124)=1,1,0)</f>
        <v>1</v>
      </c>
    </row>
    <row r="125" spans="1:18" x14ac:dyDescent="0.25">
      <c r="A125" s="6">
        <v>1501</v>
      </c>
      <c r="B125" s="7">
        <v>45287</v>
      </c>
      <c r="C125" t="s">
        <v>51</v>
      </c>
      <c r="D125" s="6"/>
      <c r="E125" s="8">
        <v>16825</v>
      </c>
      <c r="F125" s="8">
        <v>22000</v>
      </c>
      <c r="G125" s="8">
        <f t="shared" si="4"/>
        <v>5175</v>
      </c>
      <c r="H125" s="6">
        <v>80000</v>
      </c>
      <c r="I125" t="s">
        <v>69</v>
      </c>
      <c r="J125" t="s">
        <v>72</v>
      </c>
      <c r="K125" t="s">
        <v>36</v>
      </c>
      <c r="L125" t="s">
        <v>48</v>
      </c>
      <c r="M125" t="s">
        <v>45</v>
      </c>
      <c r="N125" s="6">
        <v>0</v>
      </c>
      <c r="O125" t="str">
        <f t="shared" si="5"/>
        <v>Normal</v>
      </c>
      <c r="P125" t="str">
        <f t="shared" si="6"/>
        <v>Duplicate ID</v>
      </c>
      <c r="Q125" t="str">
        <f t="shared" si="7"/>
        <v>15,000-19,999</v>
      </c>
      <c r="R125" s="6">
        <f>IF(COUNTIF($A$2:A125,A125)=1,1,0)</f>
        <v>1</v>
      </c>
    </row>
    <row r="126" spans="1:18" x14ac:dyDescent="0.25">
      <c r="A126" s="6">
        <v>1491</v>
      </c>
      <c r="B126" s="7">
        <v>45392</v>
      </c>
      <c r="C126" t="s">
        <v>1648</v>
      </c>
      <c r="D126" s="6">
        <v>2018</v>
      </c>
      <c r="E126" s="8">
        <v>13580</v>
      </c>
      <c r="F126" s="8">
        <v>15000</v>
      </c>
      <c r="G126" s="8">
        <f t="shared" si="4"/>
        <v>1420</v>
      </c>
      <c r="H126" s="6">
        <v>120000</v>
      </c>
      <c r="I126" t="s">
        <v>34</v>
      </c>
      <c r="J126" t="s">
        <v>35</v>
      </c>
      <c r="K126" t="s">
        <v>36</v>
      </c>
      <c r="L126" t="s">
        <v>73</v>
      </c>
      <c r="M126" t="s">
        <v>126</v>
      </c>
      <c r="N126" s="6">
        <v>1</v>
      </c>
      <c r="O126" t="str">
        <f t="shared" si="5"/>
        <v>Normal</v>
      </c>
      <c r="P126" t="str">
        <f t="shared" si="6"/>
        <v>Duplicate ID</v>
      </c>
      <c r="Q126" t="str">
        <f t="shared" si="7"/>
        <v>10,000-14,999</v>
      </c>
      <c r="R126" s="6">
        <f>IF(COUNTIF($A$2:A126,A126)=1,1,0)</f>
        <v>1</v>
      </c>
    </row>
    <row r="127" spans="1:18" x14ac:dyDescent="0.25">
      <c r="A127" s="6">
        <v>1208</v>
      </c>
      <c r="B127" s="7">
        <v>45042</v>
      </c>
      <c r="C127" t="s">
        <v>40</v>
      </c>
      <c r="D127" s="6">
        <v>2021</v>
      </c>
      <c r="E127" s="8">
        <v>19760</v>
      </c>
      <c r="F127" s="8">
        <v>22000</v>
      </c>
      <c r="G127" s="8">
        <f t="shared" si="4"/>
        <v>2240</v>
      </c>
      <c r="H127" s="6">
        <v>60000</v>
      </c>
      <c r="I127" t="s">
        <v>41</v>
      </c>
      <c r="J127" t="s">
        <v>35</v>
      </c>
      <c r="K127" t="s">
        <v>1647</v>
      </c>
      <c r="L127" t="s">
        <v>100</v>
      </c>
      <c r="M127" t="s">
        <v>1647</v>
      </c>
      <c r="N127" s="6">
        <v>2</v>
      </c>
      <c r="O127" t="str">
        <f t="shared" si="5"/>
        <v>Normal</v>
      </c>
      <c r="P127" t="str">
        <f t="shared" si="6"/>
        <v>Duplicate ID</v>
      </c>
      <c r="Q127" t="str">
        <f t="shared" si="7"/>
        <v>15,000-19,999</v>
      </c>
      <c r="R127" s="6">
        <f>IF(COUNTIF($A$2:A127,A127)=1,1,0)</f>
        <v>0</v>
      </c>
    </row>
    <row r="128" spans="1:18" x14ac:dyDescent="0.25">
      <c r="A128" s="6">
        <v>1545</v>
      </c>
      <c r="B128" s="7">
        <v>45138</v>
      </c>
      <c r="C128" t="s">
        <v>1648</v>
      </c>
      <c r="D128" s="6">
        <v>2022</v>
      </c>
      <c r="E128" s="8">
        <v>23582</v>
      </c>
      <c r="F128" s="8">
        <v>26000</v>
      </c>
      <c r="G128" s="8">
        <f t="shared" si="4"/>
        <v>2418</v>
      </c>
      <c r="H128" s="6">
        <v>40000</v>
      </c>
      <c r="I128" t="s">
        <v>69</v>
      </c>
      <c r="J128" t="s">
        <v>1647</v>
      </c>
      <c r="K128" t="s">
        <v>96</v>
      </c>
      <c r="L128" t="s">
        <v>100</v>
      </c>
      <c r="M128" t="s">
        <v>90</v>
      </c>
      <c r="N128" s="6">
        <v>2</v>
      </c>
      <c r="O128" t="str">
        <f t="shared" si="5"/>
        <v>Normal</v>
      </c>
      <c r="P128" t="str">
        <f t="shared" si="6"/>
        <v>Duplicate ID</v>
      </c>
      <c r="Q128" t="str">
        <f t="shared" si="7"/>
        <v>20,000-24,999</v>
      </c>
      <c r="R128" s="6">
        <f>IF(COUNTIF($A$2:A128,A128)=1,1,0)</f>
        <v>1</v>
      </c>
    </row>
    <row r="129" spans="1:18" x14ac:dyDescent="0.25">
      <c r="A129" s="6">
        <v>1500</v>
      </c>
      <c r="B129" s="7">
        <v>44621</v>
      </c>
      <c r="C129" t="s">
        <v>51</v>
      </c>
      <c r="D129" s="6">
        <v>2017</v>
      </c>
      <c r="E129" s="8">
        <v>11226</v>
      </c>
      <c r="F129" s="8">
        <v>18000</v>
      </c>
      <c r="G129" s="8">
        <f t="shared" si="4"/>
        <v>6774</v>
      </c>
      <c r="H129" s="6">
        <v>40000</v>
      </c>
      <c r="I129" t="s">
        <v>69</v>
      </c>
      <c r="J129" t="s">
        <v>72</v>
      </c>
      <c r="K129" t="s">
        <v>36</v>
      </c>
      <c r="L129" t="s">
        <v>1647</v>
      </c>
      <c r="M129" t="s">
        <v>98</v>
      </c>
      <c r="N129" s="6">
        <v>3</v>
      </c>
      <c r="O129" t="str">
        <f t="shared" si="5"/>
        <v>Normal</v>
      </c>
      <c r="P129" t="str">
        <f t="shared" si="6"/>
        <v>Duplicate ID</v>
      </c>
      <c r="Q129" t="str">
        <f t="shared" si="7"/>
        <v>10,000-14,999</v>
      </c>
      <c r="R129" s="6">
        <f>IF(COUNTIF($A$2:A129,A129)=1,1,0)</f>
        <v>1</v>
      </c>
    </row>
    <row r="130" spans="1:18" x14ac:dyDescent="0.25">
      <c r="A130" s="6">
        <v>1354</v>
      </c>
      <c r="B130" s="7">
        <v>44358</v>
      </c>
      <c r="C130" t="s">
        <v>79</v>
      </c>
      <c r="D130" s="6">
        <v>2016</v>
      </c>
      <c r="E130" s="8">
        <v>14644</v>
      </c>
      <c r="F130" s="8">
        <v>18000</v>
      </c>
      <c r="G130" s="8">
        <f t="shared" ref="G130:G193" si="8">IF(OR(F130="",E130=""),"",F130-E130)</f>
        <v>3356</v>
      </c>
      <c r="H130" s="6">
        <v>15000</v>
      </c>
      <c r="I130" t="s">
        <v>58</v>
      </c>
      <c r="J130" t="s">
        <v>35</v>
      </c>
      <c r="K130" t="s">
        <v>1647</v>
      </c>
      <c r="L130" t="s">
        <v>54</v>
      </c>
      <c r="M130" t="s">
        <v>1647</v>
      </c>
      <c r="N130" s="6">
        <v>2</v>
      </c>
      <c r="O130" t="str">
        <f t="shared" ref="O130:O193" si="9">IF(E130&lt;1000,"Outlier","Normal")</f>
        <v>Normal</v>
      </c>
      <c r="P130" t="str">
        <f t="shared" ref="P130:P193" si="10">IF(COUNTIF($A$2:$A$2501,A130)&gt;1,"Duplicate ID","Unique ID")</f>
        <v>Duplicate ID</v>
      </c>
      <c r="Q130" t="str">
        <f t="shared" ref="Q130:Q193" si="11">IF(E130&lt;5000,"0-4,999",IF(E130&lt;10000,"5,000-9,999",IF(E130&lt;15000,"10,000-14,999",IF(E130&lt;20000,"15,000-19,999",IF(E130&lt;25000,"20,000-24,999","25,000-30,000")))))</f>
        <v>10,000-14,999</v>
      </c>
      <c r="R130" s="6">
        <f>IF(COUNTIF($A$2:A130,A130)=1,1,0)</f>
        <v>1</v>
      </c>
    </row>
    <row r="131" spans="1:18" x14ac:dyDescent="0.25">
      <c r="A131" s="6">
        <v>1231</v>
      </c>
      <c r="B131" s="7">
        <v>45284</v>
      </c>
      <c r="C131" t="s">
        <v>32</v>
      </c>
      <c r="D131" s="6">
        <v>2015</v>
      </c>
      <c r="E131" s="8">
        <v>13585</v>
      </c>
      <c r="F131" s="8">
        <v>15000</v>
      </c>
      <c r="G131" s="8">
        <f t="shared" si="8"/>
        <v>1415</v>
      </c>
      <c r="H131" s="6">
        <v>25000</v>
      </c>
      <c r="I131" t="s">
        <v>1647</v>
      </c>
      <c r="J131" t="s">
        <v>35</v>
      </c>
      <c r="K131" t="s">
        <v>36</v>
      </c>
      <c r="L131" t="s">
        <v>73</v>
      </c>
      <c r="M131" t="s">
        <v>1647</v>
      </c>
      <c r="N131" s="6">
        <v>1</v>
      </c>
      <c r="O131" t="str">
        <f t="shared" si="9"/>
        <v>Normal</v>
      </c>
      <c r="P131" t="str">
        <f t="shared" si="10"/>
        <v>Duplicate ID</v>
      </c>
      <c r="Q131" t="str">
        <f t="shared" si="11"/>
        <v>10,000-14,999</v>
      </c>
      <c r="R131" s="6">
        <f>IF(COUNTIF($A$2:A131,A131)=1,1,0)</f>
        <v>1</v>
      </c>
    </row>
    <row r="132" spans="1:18" x14ac:dyDescent="0.25">
      <c r="A132" s="6">
        <v>1294</v>
      </c>
      <c r="B132" s="7">
        <v>44605</v>
      </c>
      <c r="C132" t="s">
        <v>1648</v>
      </c>
      <c r="D132" s="6">
        <v>2018</v>
      </c>
      <c r="E132" s="8">
        <v>24671</v>
      </c>
      <c r="F132" s="8">
        <v>31000</v>
      </c>
      <c r="G132" s="8">
        <f t="shared" si="8"/>
        <v>6329</v>
      </c>
      <c r="H132" s="6">
        <v>60000</v>
      </c>
      <c r="I132" t="s">
        <v>41</v>
      </c>
      <c r="J132" t="s">
        <v>1647</v>
      </c>
      <c r="K132" t="s">
        <v>36</v>
      </c>
      <c r="L132" t="s">
        <v>1647</v>
      </c>
      <c r="M132" t="s">
        <v>126</v>
      </c>
      <c r="N132" s="6">
        <v>1</v>
      </c>
      <c r="O132" t="str">
        <f t="shared" si="9"/>
        <v>Normal</v>
      </c>
      <c r="P132" t="str">
        <f t="shared" si="10"/>
        <v>Duplicate ID</v>
      </c>
      <c r="Q132" t="str">
        <f t="shared" si="11"/>
        <v>20,000-24,999</v>
      </c>
      <c r="R132" s="6">
        <f>IF(COUNTIF($A$2:A132,A132)=1,1,0)</f>
        <v>0</v>
      </c>
    </row>
    <row r="133" spans="1:18" x14ac:dyDescent="0.25">
      <c r="A133" s="6">
        <v>1296</v>
      </c>
      <c r="B133" s="7">
        <v>44578</v>
      </c>
      <c r="C133" t="s">
        <v>1648</v>
      </c>
      <c r="D133" s="6">
        <v>2016</v>
      </c>
      <c r="E133" s="8">
        <v>1942</v>
      </c>
      <c r="F133" s="8">
        <v>7000</v>
      </c>
      <c r="G133" s="8">
        <f t="shared" si="8"/>
        <v>5058</v>
      </c>
      <c r="H133" s="6">
        <v>60000</v>
      </c>
      <c r="I133" t="s">
        <v>41</v>
      </c>
      <c r="J133" t="s">
        <v>72</v>
      </c>
      <c r="K133" t="s">
        <v>96</v>
      </c>
      <c r="L133" t="s">
        <v>48</v>
      </c>
      <c r="M133" t="s">
        <v>1647</v>
      </c>
      <c r="N133" s="6" t="s">
        <v>1647</v>
      </c>
      <c r="O133" t="str">
        <f t="shared" si="9"/>
        <v>Normal</v>
      </c>
      <c r="P133" t="str">
        <f t="shared" si="10"/>
        <v>Duplicate ID</v>
      </c>
      <c r="Q133" t="str">
        <f t="shared" si="11"/>
        <v>0-4,999</v>
      </c>
      <c r="R133" s="6">
        <f>IF(COUNTIF($A$2:A133,A133)=1,1,0)</f>
        <v>1</v>
      </c>
    </row>
    <row r="134" spans="1:18" x14ac:dyDescent="0.25">
      <c r="A134" s="6">
        <v>1338</v>
      </c>
      <c r="B134" s="7">
        <v>44427</v>
      </c>
      <c r="C134" t="s">
        <v>1648</v>
      </c>
      <c r="D134" s="6">
        <v>2016</v>
      </c>
      <c r="E134" s="8">
        <v>28421</v>
      </c>
      <c r="F134" s="8">
        <v>31000</v>
      </c>
      <c r="G134" s="8">
        <f t="shared" si="8"/>
        <v>2579</v>
      </c>
      <c r="H134" s="6">
        <v>40000</v>
      </c>
      <c r="I134" t="s">
        <v>58</v>
      </c>
      <c r="J134" t="s">
        <v>35</v>
      </c>
      <c r="K134" t="s">
        <v>96</v>
      </c>
      <c r="L134" t="s">
        <v>54</v>
      </c>
      <c r="M134" t="s">
        <v>90</v>
      </c>
      <c r="N134" s="6">
        <v>1</v>
      </c>
      <c r="O134" t="str">
        <f t="shared" si="9"/>
        <v>Normal</v>
      </c>
      <c r="P134" t="str">
        <f t="shared" si="10"/>
        <v>Duplicate ID</v>
      </c>
      <c r="Q134" t="str">
        <f t="shared" si="11"/>
        <v>25,000-30,000</v>
      </c>
      <c r="R134" s="6">
        <f>IF(COUNTIF($A$2:A134,A134)=1,1,0)</f>
        <v>1</v>
      </c>
    </row>
    <row r="135" spans="1:18" x14ac:dyDescent="0.25">
      <c r="A135" s="6">
        <v>1189</v>
      </c>
      <c r="B135" s="7">
        <v>44392</v>
      </c>
      <c r="C135" t="s">
        <v>79</v>
      </c>
      <c r="D135" s="6">
        <v>2020</v>
      </c>
      <c r="E135" s="8">
        <v>17717</v>
      </c>
      <c r="F135" s="8">
        <v>22000</v>
      </c>
      <c r="G135" s="8">
        <f t="shared" si="8"/>
        <v>4283</v>
      </c>
      <c r="H135" s="6">
        <v>15000</v>
      </c>
      <c r="I135" t="s">
        <v>41</v>
      </c>
      <c r="J135" t="s">
        <v>72</v>
      </c>
      <c r="K135" t="s">
        <v>96</v>
      </c>
      <c r="L135" t="s">
        <v>100</v>
      </c>
      <c r="M135" t="s">
        <v>98</v>
      </c>
      <c r="N135" s="6">
        <v>2</v>
      </c>
      <c r="O135" t="str">
        <f t="shared" si="9"/>
        <v>Normal</v>
      </c>
      <c r="P135" t="str">
        <f t="shared" si="10"/>
        <v>Duplicate ID</v>
      </c>
      <c r="Q135" t="str">
        <f t="shared" si="11"/>
        <v>15,000-19,999</v>
      </c>
      <c r="R135" s="6">
        <f>IF(COUNTIF($A$2:A135,A135)=1,1,0)</f>
        <v>1</v>
      </c>
    </row>
    <row r="136" spans="1:18" x14ac:dyDescent="0.25">
      <c r="A136" s="6">
        <v>1241</v>
      </c>
      <c r="B136" s="7">
        <v>44933</v>
      </c>
      <c r="C136" t="s">
        <v>51</v>
      </c>
      <c r="D136" s="6">
        <v>2018</v>
      </c>
      <c r="E136" s="8">
        <v>646</v>
      </c>
      <c r="F136" s="8">
        <v>7000</v>
      </c>
      <c r="G136" s="8">
        <f t="shared" si="8"/>
        <v>6354</v>
      </c>
      <c r="H136" s="6">
        <v>40000</v>
      </c>
      <c r="I136" t="s">
        <v>34</v>
      </c>
      <c r="J136" t="s">
        <v>1647</v>
      </c>
      <c r="K136" t="s">
        <v>96</v>
      </c>
      <c r="L136" t="s">
        <v>73</v>
      </c>
      <c r="M136" t="s">
        <v>45</v>
      </c>
      <c r="N136" s="6">
        <v>2</v>
      </c>
      <c r="O136" t="str">
        <f t="shared" si="9"/>
        <v>Outlier</v>
      </c>
      <c r="P136" t="str">
        <f t="shared" si="10"/>
        <v>Duplicate ID</v>
      </c>
      <c r="Q136" t="str">
        <f t="shared" si="11"/>
        <v>0-4,999</v>
      </c>
      <c r="R136" s="6">
        <f>IF(COUNTIF($A$2:A136,A136)=1,1,0)</f>
        <v>0</v>
      </c>
    </row>
    <row r="137" spans="1:18" x14ac:dyDescent="0.25">
      <c r="A137" s="6">
        <v>1382</v>
      </c>
      <c r="B137" s="7">
        <v>45128</v>
      </c>
      <c r="C137" t="s">
        <v>119</v>
      </c>
      <c r="D137" s="6">
        <v>2017</v>
      </c>
      <c r="E137" s="8">
        <v>9746</v>
      </c>
      <c r="F137" s="8">
        <v>12000</v>
      </c>
      <c r="G137" s="8">
        <f t="shared" si="8"/>
        <v>2254</v>
      </c>
      <c r="H137" s="6">
        <v>60000</v>
      </c>
      <c r="I137" t="s">
        <v>58</v>
      </c>
      <c r="J137" t="s">
        <v>35</v>
      </c>
      <c r="K137" t="s">
        <v>1647</v>
      </c>
      <c r="L137" t="s">
        <v>73</v>
      </c>
      <c r="M137" t="s">
        <v>1647</v>
      </c>
      <c r="N137" s="6">
        <v>3</v>
      </c>
      <c r="O137" t="str">
        <f t="shared" si="9"/>
        <v>Normal</v>
      </c>
      <c r="P137" t="str">
        <f t="shared" si="10"/>
        <v>Duplicate ID</v>
      </c>
      <c r="Q137" t="str">
        <f t="shared" si="11"/>
        <v>5,000-9,999</v>
      </c>
      <c r="R137" s="6">
        <f>IF(COUNTIF($A$2:A137,A137)=1,1,0)</f>
        <v>0</v>
      </c>
    </row>
    <row r="138" spans="1:18" x14ac:dyDescent="0.25">
      <c r="A138" s="6">
        <v>1207</v>
      </c>
      <c r="B138" s="7">
        <v>45232</v>
      </c>
      <c r="C138" t="s">
        <v>79</v>
      </c>
      <c r="D138" s="6">
        <v>2015</v>
      </c>
      <c r="E138" s="8">
        <v>3514</v>
      </c>
      <c r="F138" s="8">
        <v>9000</v>
      </c>
      <c r="G138" s="8">
        <f t="shared" si="8"/>
        <v>5486</v>
      </c>
      <c r="H138" s="6">
        <v>15000</v>
      </c>
      <c r="I138" t="s">
        <v>1647</v>
      </c>
      <c r="J138" t="s">
        <v>35</v>
      </c>
      <c r="K138" t="s">
        <v>36</v>
      </c>
      <c r="L138" t="s">
        <v>48</v>
      </c>
      <c r="M138" t="s">
        <v>126</v>
      </c>
      <c r="N138" s="6" t="s">
        <v>1647</v>
      </c>
      <c r="O138" t="str">
        <f t="shared" si="9"/>
        <v>Normal</v>
      </c>
      <c r="P138" t="str">
        <f t="shared" si="10"/>
        <v>Duplicate ID</v>
      </c>
      <c r="Q138" t="str">
        <f t="shared" si="11"/>
        <v>0-4,999</v>
      </c>
      <c r="R138" s="6">
        <f>IF(COUNTIF($A$2:A138,A138)=1,1,0)</f>
        <v>1</v>
      </c>
    </row>
    <row r="139" spans="1:18" x14ac:dyDescent="0.25">
      <c r="A139" s="6">
        <v>1467</v>
      </c>
      <c r="B139" s="7">
        <v>45047</v>
      </c>
      <c r="C139" t="s">
        <v>1648</v>
      </c>
      <c r="D139" s="6">
        <v>2014</v>
      </c>
      <c r="E139" s="8">
        <v>25796</v>
      </c>
      <c r="F139" s="8">
        <v>31000</v>
      </c>
      <c r="G139" s="8">
        <f t="shared" si="8"/>
        <v>5204</v>
      </c>
      <c r="H139" s="6">
        <v>25000</v>
      </c>
      <c r="I139" t="s">
        <v>69</v>
      </c>
      <c r="J139" t="s">
        <v>35</v>
      </c>
      <c r="K139" t="s">
        <v>96</v>
      </c>
      <c r="L139" t="s">
        <v>54</v>
      </c>
      <c r="M139" t="s">
        <v>126</v>
      </c>
      <c r="N139" s="6">
        <v>1</v>
      </c>
      <c r="O139" t="str">
        <f t="shared" si="9"/>
        <v>Normal</v>
      </c>
      <c r="P139" t="str">
        <f t="shared" si="10"/>
        <v>Duplicate ID</v>
      </c>
      <c r="Q139" t="str">
        <f t="shared" si="11"/>
        <v>25,000-30,000</v>
      </c>
      <c r="R139" s="6">
        <f>IF(COUNTIF($A$2:A139,A139)=1,1,0)</f>
        <v>1</v>
      </c>
    </row>
    <row r="140" spans="1:18" x14ac:dyDescent="0.25">
      <c r="A140" s="6">
        <v>1554</v>
      </c>
      <c r="B140" s="7">
        <v>44327</v>
      </c>
      <c r="C140" t="s">
        <v>40</v>
      </c>
      <c r="D140" s="6">
        <v>2014</v>
      </c>
      <c r="E140" s="8">
        <v>19263</v>
      </c>
      <c r="F140" s="8">
        <v>26000</v>
      </c>
      <c r="G140" s="8">
        <f t="shared" si="8"/>
        <v>6737</v>
      </c>
      <c r="H140" s="6">
        <v>40000</v>
      </c>
      <c r="I140" t="s">
        <v>1647</v>
      </c>
      <c r="J140" t="s">
        <v>35</v>
      </c>
      <c r="K140" t="s">
        <v>96</v>
      </c>
      <c r="L140" t="s">
        <v>48</v>
      </c>
      <c r="M140" t="s">
        <v>90</v>
      </c>
      <c r="N140" s="6">
        <v>1</v>
      </c>
      <c r="O140" t="str">
        <f t="shared" si="9"/>
        <v>Normal</v>
      </c>
      <c r="P140" t="str">
        <f t="shared" si="10"/>
        <v>Duplicate ID</v>
      </c>
      <c r="Q140" t="str">
        <f t="shared" si="11"/>
        <v>15,000-19,999</v>
      </c>
      <c r="R140" s="6">
        <f>IF(COUNTIF($A$2:A140,A140)=1,1,0)</f>
        <v>1</v>
      </c>
    </row>
    <row r="141" spans="1:18" x14ac:dyDescent="0.25">
      <c r="A141" s="6">
        <v>1082</v>
      </c>
      <c r="B141" s="7">
        <v>44966</v>
      </c>
      <c r="C141" t="s">
        <v>1648</v>
      </c>
      <c r="D141" s="6">
        <v>2019</v>
      </c>
      <c r="E141" s="8">
        <v>21908</v>
      </c>
      <c r="F141" s="8">
        <v>26000</v>
      </c>
      <c r="G141" s="8">
        <f t="shared" si="8"/>
        <v>4092</v>
      </c>
      <c r="H141" s="6">
        <v>60000</v>
      </c>
      <c r="I141" t="s">
        <v>69</v>
      </c>
      <c r="J141" t="s">
        <v>35</v>
      </c>
      <c r="K141" t="s">
        <v>36</v>
      </c>
      <c r="L141" t="s">
        <v>1647</v>
      </c>
      <c r="M141" t="s">
        <v>98</v>
      </c>
      <c r="N141" s="6" t="s">
        <v>1647</v>
      </c>
      <c r="O141" t="str">
        <f t="shared" si="9"/>
        <v>Normal</v>
      </c>
      <c r="P141" t="str">
        <f t="shared" si="10"/>
        <v>Duplicate ID</v>
      </c>
      <c r="Q141" t="str">
        <f t="shared" si="11"/>
        <v>20,000-24,999</v>
      </c>
      <c r="R141" s="6">
        <f>IF(COUNTIF($A$2:A141,A141)=1,1,0)</f>
        <v>1</v>
      </c>
    </row>
    <row r="142" spans="1:18" x14ac:dyDescent="0.25">
      <c r="A142" s="6">
        <v>1557</v>
      </c>
      <c r="B142" s="7">
        <v>45145</v>
      </c>
      <c r="C142" t="s">
        <v>32</v>
      </c>
      <c r="D142" s="6">
        <v>2017</v>
      </c>
      <c r="E142" s="8">
        <v>3556</v>
      </c>
      <c r="F142" s="8">
        <v>7000</v>
      </c>
      <c r="G142" s="8">
        <f t="shared" si="8"/>
        <v>3444</v>
      </c>
      <c r="H142" s="6">
        <v>15000</v>
      </c>
      <c r="I142" t="s">
        <v>1647</v>
      </c>
      <c r="J142" t="s">
        <v>72</v>
      </c>
      <c r="K142" t="s">
        <v>36</v>
      </c>
      <c r="L142" t="s">
        <v>54</v>
      </c>
      <c r="M142" t="s">
        <v>90</v>
      </c>
      <c r="N142" s="6">
        <v>0</v>
      </c>
      <c r="O142" t="str">
        <f t="shared" si="9"/>
        <v>Normal</v>
      </c>
      <c r="P142" t="str">
        <f t="shared" si="10"/>
        <v>Duplicate ID</v>
      </c>
      <c r="Q142" t="str">
        <f t="shared" si="11"/>
        <v>0-4,999</v>
      </c>
      <c r="R142" s="6">
        <f>IF(COUNTIF($A$2:A142,A142)=1,1,0)</f>
        <v>1</v>
      </c>
    </row>
    <row r="143" spans="1:18" x14ac:dyDescent="0.25">
      <c r="A143" s="6">
        <v>1211</v>
      </c>
      <c r="B143" s="7">
        <v>44689</v>
      </c>
      <c r="C143" t="s">
        <v>40</v>
      </c>
      <c r="D143" s="6">
        <v>2018</v>
      </c>
      <c r="E143" s="8">
        <v>24872</v>
      </c>
      <c r="F143" s="8">
        <v>26000</v>
      </c>
      <c r="G143" s="8">
        <f t="shared" si="8"/>
        <v>1128</v>
      </c>
      <c r="H143" s="6">
        <v>80000</v>
      </c>
      <c r="I143" t="s">
        <v>41</v>
      </c>
      <c r="J143" t="s">
        <v>35</v>
      </c>
      <c r="K143" t="s">
        <v>36</v>
      </c>
      <c r="L143" t="s">
        <v>48</v>
      </c>
      <c r="M143" t="s">
        <v>98</v>
      </c>
      <c r="N143" s="6">
        <v>1</v>
      </c>
      <c r="O143" t="str">
        <f t="shared" si="9"/>
        <v>Normal</v>
      </c>
      <c r="P143" t="str">
        <f t="shared" si="10"/>
        <v>Duplicate ID</v>
      </c>
      <c r="Q143" t="str">
        <f t="shared" si="11"/>
        <v>20,000-24,999</v>
      </c>
      <c r="R143" s="6">
        <f>IF(COUNTIF($A$2:A143,A143)=1,1,0)</f>
        <v>1</v>
      </c>
    </row>
    <row r="144" spans="1:18" x14ac:dyDescent="0.25">
      <c r="A144" s="6">
        <v>1589</v>
      </c>
      <c r="B144" s="7">
        <v>44676</v>
      </c>
      <c r="C144" t="s">
        <v>57</v>
      </c>
      <c r="D144" s="6">
        <v>2014</v>
      </c>
      <c r="E144" s="8">
        <v>8631</v>
      </c>
      <c r="F144" s="8">
        <v>12000</v>
      </c>
      <c r="G144" s="8">
        <f t="shared" si="8"/>
        <v>3369</v>
      </c>
      <c r="H144" s="6">
        <v>80000</v>
      </c>
      <c r="I144" t="s">
        <v>69</v>
      </c>
      <c r="J144" t="s">
        <v>35</v>
      </c>
      <c r="K144" t="s">
        <v>96</v>
      </c>
      <c r="L144" t="s">
        <v>100</v>
      </c>
      <c r="M144" t="s">
        <v>1647</v>
      </c>
      <c r="N144" s="6">
        <v>1</v>
      </c>
      <c r="O144" t="str">
        <f t="shared" si="9"/>
        <v>Normal</v>
      </c>
      <c r="P144" t="str">
        <f t="shared" si="10"/>
        <v>Duplicate ID</v>
      </c>
      <c r="Q144" t="str">
        <f t="shared" si="11"/>
        <v>5,000-9,999</v>
      </c>
      <c r="R144" s="6">
        <f>IF(COUNTIF($A$2:A144,A144)=1,1,0)</f>
        <v>1</v>
      </c>
    </row>
    <row r="145" spans="1:18" x14ac:dyDescent="0.25">
      <c r="A145" s="6">
        <v>1437</v>
      </c>
      <c r="B145" s="7">
        <v>44555</v>
      </c>
      <c r="C145" t="s">
        <v>1648</v>
      </c>
      <c r="D145" s="6">
        <v>2018</v>
      </c>
      <c r="E145" s="8">
        <v>12440</v>
      </c>
      <c r="F145" s="8">
        <v>18000</v>
      </c>
      <c r="G145" s="8">
        <f t="shared" si="8"/>
        <v>5560</v>
      </c>
      <c r="H145" s="6">
        <v>15000</v>
      </c>
      <c r="I145" t="s">
        <v>34</v>
      </c>
      <c r="J145" t="s">
        <v>1647</v>
      </c>
      <c r="K145" t="s">
        <v>96</v>
      </c>
      <c r="L145" t="s">
        <v>48</v>
      </c>
      <c r="M145" t="s">
        <v>98</v>
      </c>
      <c r="N145" s="6">
        <v>1</v>
      </c>
      <c r="O145" t="str">
        <f t="shared" si="9"/>
        <v>Normal</v>
      </c>
      <c r="P145" t="str">
        <f t="shared" si="10"/>
        <v>Duplicate ID</v>
      </c>
      <c r="Q145" t="str">
        <f t="shared" si="11"/>
        <v>10,000-14,999</v>
      </c>
      <c r="R145" s="6">
        <f>IF(COUNTIF($A$2:A145,A145)=1,1,0)</f>
        <v>1</v>
      </c>
    </row>
    <row r="146" spans="1:18" x14ac:dyDescent="0.25">
      <c r="A146" s="6">
        <v>1230</v>
      </c>
      <c r="B146" s="7">
        <v>44690</v>
      </c>
      <c r="C146" t="s">
        <v>51</v>
      </c>
      <c r="D146" s="6">
        <v>2020</v>
      </c>
      <c r="E146" s="8">
        <v>7121</v>
      </c>
      <c r="F146" s="8">
        <v>12000</v>
      </c>
      <c r="G146" s="8">
        <f t="shared" si="8"/>
        <v>4879</v>
      </c>
      <c r="H146" s="6">
        <v>80000</v>
      </c>
      <c r="I146" t="s">
        <v>41</v>
      </c>
      <c r="J146" t="s">
        <v>1647</v>
      </c>
      <c r="K146" t="s">
        <v>96</v>
      </c>
      <c r="L146" t="s">
        <v>48</v>
      </c>
      <c r="M146" t="s">
        <v>1647</v>
      </c>
      <c r="N146" s="6" t="s">
        <v>1647</v>
      </c>
      <c r="O146" t="str">
        <f t="shared" si="9"/>
        <v>Normal</v>
      </c>
      <c r="P146" t="str">
        <f t="shared" si="10"/>
        <v>Duplicate ID</v>
      </c>
      <c r="Q146" t="str">
        <f t="shared" si="11"/>
        <v>5,000-9,999</v>
      </c>
      <c r="R146" s="6">
        <f>IF(COUNTIF($A$2:A146,A146)=1,1,0)</f>
        <v>0</v>
      </c>
    </row>
    <row r="147" spans="1:18" x14ac:dyDescent="0.25">
      <c r="A147" s="6">
        <v>1080</v>
      </c>
      <c r="B147" s="7">
        <v>44873</v>
      </c>
      <c r="C147" t="s">
        <v>32</v>
      </c>
      <c r="D147" s="6">
        <v>2020</v>
      </c>
      <c r="E147" s="8">
        <v>12335</v>
      </c>
      <c r="F147" s="8">
        <v>15000</v>
      </c>
      <c r="G147" s="8">
        <f t="shared" si="8"/>
        <v>2665</v>
      </c>
      <c r="H147" s="6">
        <v>40000</v>
      </c>
      <c r="I147" t="s">
        <v>58</v>
      </c>
      <c r="J147" t="s">
        <v>35</v>
      </c>
      <c r="K147" t="s">
        <v>96</v>
      </c>
      <c r="L147" t="s">
        <v>48</v>
      </c>
      <c r="M147" t="s">
        <v>126</v>
      </c>
      <c r="N147" s="6">
        <v>0</v>
      </c>
      <c r="O147" t="str">
        <f t="shared" si="9"/>
        <v>Normal</v>
      </c>
      <c r="P147" t="str">
        <f t="shared" si="10"/>
        <v>Duplicate ID</v>
      </c>
      <c r="Q147" t="str">
        <f t="shared" si="11"/>
        <v>10,000-14,999</v>
      </c>
      <c r="R147" s="6">
        <f>IF(COUNTIF($A$2:A147,A147)=1,1,0)</f>
        <v>1</v>
      </c>
    </row>
    <row r="148" spans="1:18" x14ac:dyDescent="0.25">
      <c r="A148" s="6">
        <v>1310</v>
      </c>
      <c r="B148" s="7">
        <v>44878</v>
      </c>
      <c r="C148" t="s">
        <v>57</v>
      </c>
      <c r="D148" s="6"/>
      <c r="E148" s="8">
        <v>12289</v>
      </c>
      <c r="F148" s="8">
        <v>15000</v>
      </c>
      <c r="G148" s="8">
        <f t="shared" si="8"/>
        <v>2711</v>
      </c>
      <c r="H148" s="6">
        <v>60000</v>
      </c>
      <c r="I148" t="s">
        <v>41</v>
      </c>
      <c r="J148" t="s">
        <v>72</v>
      </c>
      <c r="K148" t="s">
        <v>36</v>
      </c>
      <c r="L148" t="s">
        <v>100</v>
      </c>
      <c r="M148" t="s">
        <v>98</v>
      </c>
      <c r="N148" s="6">
        <v>1</v>
      </c>
      <c r="O148" t="str">
        <f t="shared" si="9"/>
        <v>Normal</v>
      </c>
      <c r="P148" t="str">
        <f t="shared" si="10"/>
        <v>Duplicate ID</v>
      </c>
      <c r="Q148" t="str">
        <f t="shared" si="11"/>
        <v>10,000-14,999</v>
      </c>
      <c r="R148" s="6">
        <f>IF(COUNTIF($A$2:A148,A148)=1,1,0)</f>
        <v>1</v>
      </c>
    </row>
    <row r="149" spans="1:18" x14ac:dyDescent="0.25">
      <c r="A149" s="6">
        <v>1315</v>
      </c>
      <c r="B149" s="7">
        <v>44932</v>
      </c>
      <c r="C149" t="s">
        <v>51</v>
      </c>
      <c r="D149" s="6">
        <v>2018</v>
      </c>
      <c r="E149" s="8">
        <v>20629</v>
      </c>
      <c r="F149" s="8">
        <v>26000</v>
      </c>
      <c r="G149" s="8">
        <f t="shared" si="8"/>
        <v>5371</v>
      </c>
      <c r="H149" s="6">
        <v>60000</v>
      </c>
      <c r="I149" t="s">
        <v>41</v>
      </c>
      <c r="J149" t="s">
        <v>72</v>
      </c>
      <c r="K149" t="s">
        <v>96</v>
      </c>
      <c r="L149" t="s">
        <v>100</v>
      </c>
      <c r="M149" t="s">
        <v>45</v>
      </c>
      <c r="N149" s="6">
        <v>2</v>
      </c>
      <c r="O149" t="str">
        <f t="shared" si="9"/>
        <v>Normal</v>
      </c>
      <c r="P149" t="str">
        <f t="shared" si="10"/>
        <v>Duplicate ID</v>
      </c>
      <c r="Q149" t="str">
        <f t="shared" si="11"/>
        <v>20,000-24,999</v>
      </c>
      <c r="R149" s="6">
        <f>IF(COUNTIF($A$2:A149,A149)=1,1,0)</f>
        <v>0</v>
      </c>
    </row>
    <row r="150" spans="1:18" x14ac:dyDescent="0.25">
      <c r="A150" s="6">
        <v>1267</v>
      </c>
      <c r="B150" s="7">
        <v>44230</v>
      </c>
      <c r="C150" t="s">
        <v>1648</v>
      </c>
      <c r="D150" s="6">
        <v>2014</v>
      </c>
      <c r="E150" s="8">
        <v>12805</v>
      </c>
      <c r="F150" s="8">
        <v>15000</v>
      </c>
      <c r="G150" s="8">
        <f t="shared" si="8"/>
        <v>2195</v>
      </c>
      <c r="H150" s="6">
        <v>120000</v>
      </c>
      <c r="I150" t="s">
        <v>69</v>
      </c>
      <c r="J150" t="s">
        <v>35</v>
      </c>
      <c r="K150" t="s">
        <v>36</v>
      </c>
      <c r="L150" t="s">
        <v>54</v>
      </c>
      <c r="M150" t="s">
        <v>90</v>
      </c>
      <c r="N150" s="6">
        <v>3</v>
      </c>
      <c r="O150" t="str">
        <f t="shared" si="9"/>
        <v>Normal</v>
      </c>
      <c r="P150" t="str">
        <f t="shared" si="10"/>
        <v>Duplicate ID</v>
      </c>
      <c r="Q150" t="str">
        <f t="shared" si="11"/>
        <v>10,000-14,999</v>
      </c>
      <c r="R150" s="6">
        <f>IF(COUNTIF($A$2:A150,A150)=1,1,0)</f>
        <v>1</v>
      </c>
    </row>
    <row r="151" spans="1:18" x14ac:dyDescent="0.25">
      <c r="A151" s="6">
        <v>1471</v>
      </c>
      <c r="B151" s="7">
        <v>45201</v>
      </c>
      <c r="C151" t="s">
        <v>119</v>
      </c>
      <c r="D151" s="6">
        <v>2021</v>
      </c>
      <c r="E151" s="8">
        <v>16998</v>
      </c>
      <c r="F151" s="8">
        <v>22000</v>
      </c>
      <c r="G151" s="8">
        <f t="shared" si="8"/>
        <v>5002</v>
      </c>
      <c r="H151" s="6">
        <v>40000</v>
      </c>
      <c r="I151" t="s">
        <v>1647</v>
      </c>
      <c r="J151" t="s">
        <v>35</v>
      </c>
      <c r="K151" t="s">
        <v>1647</v>
      </c>
      <c r="L151" t="s">
        <v>73</v>
      </c>
      <c r="M151" t="s">
        <v>1647</v>
      </c>
      <c r="N151" s="6">
        <v>0</v>
      </c>
      <c r="O151" t="str">
        <f t="shared" si="9"/>
        <v>Normal</v>
      </c>
      <c r="P151" t="str">
        <f t="shared" si="10"/>
        <v>Duplicate ID</v>
      </c>
      <c r="Q151" t="str">
        <f t="shared" si="11"/>
        <v>15,000-19,999</v>
      </c>
      <c r="R151" s="6">
        <f>IF(COUNTIF($A$2:A151,A151)=1,1,0)</f>
        <v>1</v>
      </c>
    </row>
    <row r="152" spans="1:18" x14ac:dyDescent="0.25">
      <c r="A152" s="6">
        <v>1236</v>
      </c>
      <c r="B152" s="7">
        <v>44478</v>
      </c>
      <c r="C152" t="s">
        <v>40</v>
      </c>
      <c r="D152" s="6">
        <v>2018</v>
      </c>
      <c r="E152" s="8">
        <v>2622</v>
      </c>
      <c r="F152" s="8">
        <v>7000</v>
      </c>
      <c r="G152" s="8">
        <f t="shared" si="8"/>
        <v>4378</v>
      </c>
      <c r="H152" s="6">
        <v>15000</v>
      </c>
      <c r="I152" t="s">
        <v>1647</v>
      </c>
      <c r="J152" t="s">
        <v>72</v>
      </c>
      <c r="K152" t="s">
        <v>36</v>
      </c>
      <c r="L152" t="s">
        <v>48</v>
      </c>
      <c r="M152" t="s">
        <v>98</v>
      </c>
      <c r="N152" s="6">
        <v>0</v>
      </c>
      <c r="O152" t="str">
        <f t="shared" si="9"/>
        <v>Normal</v>
      </c>
      <c r="P152" t="str">
        <f t="shared" si="10"/>
        <v>Duplicate ID</v>
      </c>
      <c r="Q152" t="str">
        <f t="shared" si="11"/>
        <v>0-4,999</v>
      </c>
      <c r="R152" s="6">
        <f>IF(COUNTIF($A$2:A152,A152)=1,1,0)</f>
        <v>1</v>
      </c>
    </row>
    <row r="153" spans="1:18" x14ac:dyDescent="0.25">
      <c r="A153" s="6">
        <v>1281</v>
      </c>
      <c r="B153" s="7">
        <v>45281</v>
      </c>
      <c r="C153" t="s">
        <v>40</v>
      </c>
      <c r="D153" s="6">
        <v>2022</v>
      </c>
      <c r="E153" s="8">
        <v>24863</v>
      </c>
      <c r="F153" s="8">
        <v>26000</v>
      </c>
      <c r="G153" s="8">
        <f t="shared" si="8"/>
        <v>1137</v>
      </c>
      <c r="H153" s="6">
        <v>15000</v>
      </c>
      <c r="I153" t="s">
        <v>34</v>
      </c>
      <c r="J153" t="s">
        <v>35</v>
      </c>
      <c r="K153" t="s">
        <v>36</v>
      </c>
      <c r="L153" t="s">
        <v>73</v>
      </c>
      <c r="M153" t="s">
        <v>1647</v>
      </c>
      <c r="N153" s="6">
        <v>1</v>
      </c>
      <c r="O153" t="str">
        <f t="shared" si="9"/>
        <v>Normal</v>
      </c>
      <c r="P153" t="str">
        <f t="shared" si="10"/>
        <v>Duplicate ID</v>
      </c>
      <c r="Q153" t="str">
        <f t="shared" si="11"/>
        <v>20,000-24,999</v>
      </c>
      <c r="R153" s="6">
        <f>IF(COUNTIF($A$2:A153,A153)=1,1,0)</f>
        <v>0</v>
      </c>
    </row>
    <row r="154" spans="1:18" x14ac:dyDescent="0.25">
      <c r="A154" s="6">
        <v>1080</v>
      </c>
      <c r="B154" s="7">
        <v>45009</v>
      </c>
      <c r="C154" t="s">
        <v>119</v>
      </c>
      <c r="D154" s="6">
        <v>2017</v>
      </c>
      <c r="E154" s="8">
        <v>14811</v>
      </c>
      <c r="F154" s="8">
        <v>18000</v>
      </c>
      <c r="G154" s="8">
        <f t="shared" si="8"/>
        <v>3189</v>
      </c>
      <c r="H154" s="6">
        <v>40000</v>
      </c>
      <c r="I154" t="s">
        <v>58</v>
      </c>
      <c r="J154" t="s">
        <v>72</v>
      </c>
      <c r="K154" t="s">
        <v>36</v>
      </c>
      <c r="L154" t="s">
        <v>73</v>
      </c>
      <c r="M154" t="s">
        <v>126</v>
      </c>
      <c r="N154" s="6">
        <v>3</v>
      </c>
      <c r="O154" t="str">
        <f t="shared" si="9"/>
        <v>Normal</v>
      </c>
      <c r="P154" t="str">
        <f t="shared" si="10"/>
        <v>Duplicate ID</v>
      </c>
      <c r="Q154" t="str">
        <f t="shared" si="11"/>
        <v>10,000-14,999</v>
      </c>
      <c r="R154" s="6">
        <f>IF(COUNTIF($A$2:A154,A154)=1,1,0)</f>
        <v>0</v>
      </c>
    </row>
    <row r="155" spans="1:18" x14ac:dyDescent="0.25">
      <c r="A155" s="6">
        <v>1175</v>
      </c>
      <c r="B155" s="7">
        <v>44216</v>
      </c>
      <c r="C155" t="s">
        <v>79</v>
      </c>
      <c r="D155" s="6">
        <v>2020</v>
      </c>
      <c r="E155" s="8">
        <v>24784</v>
      </c>
      <c r="F155" s="8">
        <v>31000</v>
      </c>
      <c r="G155" s="8">
        <f t="shared" si="8"/>
        <v>6216</v>
      </c>
      <c r="H155" s="6">
        <v>15000</v>
      </c>
      <c r="I155" t="s">
        <v>69</v>
      </c>
      <c r="J155" t="s">
        <v>1647</v>
      </c>
      <c r="K155" t="s">
        <v>36</v>
      </c>
      <c r="L155" t="s">
        <v>1647</v>
      </c>
      <c r="M155" t="s">
        <v>126</v>
      </c>
      <c r="N155" s="6">
        <v>1</v>
      </c>
      <c r="O155" t="str">
        <f t="shared" si="9"/>
        <v>Normal</v>
      </c>
      <c r="P155" t="str">
        <f t="shared" si="10"/>
        <v>Duplicate ID</v>
      </c>
      <c r="Q155" t="str">
        <f t="shared" si="11"/>
        <v>20,000-24,999</v>
      </c>
      <c r="R155" s="6">
        <f>IF(COUNTIF($A$2:A155,A155)=1,1,0)</f>
        <v>1</v>
      </c>
    </row>
    <row r="156" spans="1:18" x14ac:dyDescent="0.25">
      <c r="A156" s="6">
        <v>1287</v>
      </c>
      <c r="B156" s="7">
        <v>44349</v>
      </c>
      <c r="C156" t="s">
        <v>57</v>
      </c>
      <c r="D156" s="6"/>
      <c r="E156" s="8">
        <v>29619</v>
      </c>
      <c r="F156" s="8">
        <v>31000</v>
      </c>
      <c r="G156" s="8">
        <f t="shared" si="8"/>
        <v>1381</v>
      </c>
      <c r="H156" s="6">
        <v>40000</v>
      </c>
      <c r="I156" t="s">
        <v>69</v>
      </c>
      <c r="J156" t="s">
        <v>35</v>
      </c>
      <c r="K156" t="s">
        <v>36</v>
      </c>
      <c r="L156" t="s">
        <v>100</v>
      </c>
      <c r="M156" t="s">
        <v>98</v>
      </c>
      <c r="N156" s="6">
        <v>0</v>
      </c>
      <c r="O156" t="str">
        <f t="shared" si="9"/>
        <v>Normal</v>
      </c>
      <c r="P156" t="str">
        <f t="shared" si="10"/>
        <v>Duplicate ID</v>
      </c>
      <c r="Q156" t="str">
        <f t="shared" si="11"/>
        <v>25,000-30,000</v>
      </c>
      <c r="R156" s="6">
        <f>IF(COUNTIF($A$2:A156,A156)=1,1,0)</f>
        <v>1</v>
      </c>
    </row>
    <row r="157" spans="1:18" x14ac:dyDescent="0.25">
      <c r="A157" s="6">
        <v>1339</v>
      </c>
      <c r="B157" s="7">
        <v>45304</v>
      </c>
      <c r="C157" t="s">
        <v>51</v>
      </c>
      <c r="D157" s="6">
        <v>2016</v>
      </c>
      <c r="E157" s="8">
        <v>10813</v>
      </c>
      <c r="F157" s="8">
        <v>15000</v>
      </c>
      <c r="G157" s="8">
        <f t="shared" si="8"/>
        <v>4187</v>
      </c>
      <c r="H157" s="6">
        <v>80000</v>
      </c>
      <c r="I157" t="s">
        <v>41</v>
      </c>
      <c r="J157" t="s">
        <v>1647</v>
      </c>
      <c r="K157" t="s">
        <v>96</v>
      </c>
      <c r="L157" t="s">
        <v>73</v>
      </c>
      <c r="M157" t="s">
        <v>126</v>
      </c>
      <c r="N157" s="6">
        <v>3</v>
      </c>
      <c r="O157" t="str">
        <f t="shared" si="9"/>
        <v>Normal</v>
      </c>
      <c r="P157" t="str">
        <f t="shared" si="10"/>
        <v>Duplicate ID</v>
      </c>
      <c r="Q157" t="str">
        <f t="shared" si="11"/>
        <v>10,000-14,999</v>
      </c>
      <c r="R157" s="6">
        <f>IF(COUNTIF($A$2:A157,A157)=1,1,0)</f>
        <v>1</v>
      </c>
    </row>
    <row r="158" spans="1:18" x14ac:dyDescent="0.25">
      <c r="A158" s="6">
        <v>1334</v>
      </c>
      <c r="B158" s="7">
        <v>45009</v>
      </c>
      <c r="C158" t="s">
        <v>119</v>
      </c>
      <c r="D158" s="6">
        <v>2015</v>
      </c>
      <c r="E158" s="8">
        <v>15972</v>
      </c>
      <c r="F158" s="8">
        <v>22000</v>
      </c>
      <c r="G158" s="8">
        <f t="shared" si="8"/>
        <v>6028</v>
      </c>
      <c r="H158" s="6">
        <v>80000</v>
      </c>
      <c r="I158" t="s">
        <v>1647</v>
      </c>
      <c r="J158" t="s">
        <v>35</v>
      </c>
      <c r="K158" t="s">
        <v>96</v>
      </c>
      <c r="L158" t="s">
        <v>1647</v>
      </c>
      <c r="M158" t="s">
        <v>98</v>
      </c>
      <c r="N158" s="6">
        <v>3</v>
      </c>
      <c r="O158" t="str">
        <f t="shared" si="9"/>
        <v>Normal</v>
      </c>
      <c r="P158" t="str">
        <f t="shared" si="10"/>
        <v>Duplicate ID</v>
      </c>
      <c r="Q158" t="str">
        <f t="shared" si="11"/>
        <v>15,000-19,999</v>
      </c>
      <c r="R158" s="6">
        <f>IF(COUNTIF($A$2:A158,A158)=1,1,0)</f>
        <v>1</v>
      </c>
    </row>
    <row r="159" spans="1:18" x14ac:dyDescent="0.25">
      <c r="A159" s="6">
        <v>1252</v>
      </c>
      <c r="B159" s="7">
        <v>44801</v>
      </c>
      <c r="C159" t="s">
        <v>57</v>
      </c>
      <c r="D159" s="6">
        <v>2018</v>
      </c>
      <c r="E159" s="8">
        <v>19933</v>
      </c>
      <c r="F159" s="8">
        <v>26000</v>
      </c>
      <c r="G159" s="8">
        <f t="shared" si="8"/>
        <v>6067</v>
      </c>
      <c r="H159" s="6">
        <v>15000</v>
      </c>
      <c r="I159" t="s">
        <v>58</v>
      </c>
      <c r="J159" t="s">
        <v>72</v>
      </c>
      <c r="K159" t="s">
        <v>96</v>
      </c>
      <c r="L159" t="s">
        <v>54</v>
      </c>
      <c r="M159" t="s">
        <v>126</v>
      </c>
      <c r="N159" s="6">
        <v>0</v>
      </c>
      <c r="O159" t="str">
        <f t="shared" si="9"/>
        <v>Normal</v>
      </c>
      <c r="P159" t="str">
        <f t="shared" si="10"/>
        <v>Duplicate ID</v>
      </c>
      <c r="Q159" t="str">
        <f t="shared" si="11"/>
        <v>15,000-19,999</v>
      </c>
      <c r="R159" s="6">
        <f>IF(COUNTIF($A$2:A159,A159)=1,1,0)</f>
        <v>0</v>
      </c>
    </row>
    <row r="160" spans="1:18" x14ac:dyDescent="0.25">
      <c r="A160" s="6">
        <v>1135</v>
      </c>
      <c r="B160" s="7">
        <v>44406</v>
      </c>
      <c r="C160" t="s">
        <v>40</v>
      </c>
      <c r="D160" s="6">
        <v>2018</v>
      </c>
      <c r="E160" s="8">
        <v>27791</v>
      </c>
      <c r="F160" s="8">
        <v>31000</v>
      </c>
      <c r="G160" s="8">
        <f t="shared" si="8"/>
        <v>3209</v>
      </c>
      <c r="H160" s="6">
        <v>40000</v>
      </c>
      <c r="I160" t="s">
        <v>34</v>
      </c>
      <c r="J160" t="s">
        <v>35</v>
      </c>
      <c r="K160" t="s">
        <v>36</v>
      </c>
      <c r="L160" t="s">
        <v>73</v>
      </c>
      <c r="M160" t="s">
        <v>45</v>
      </c>
      <c r="N160" s="6" t="s">
        <v>1647</v>
      </c>
      <c r="O160" t="str">
        <f t="shared" si="9"/>
        <v>Normal</v>
      </c>
      <c r="P160" t="str">
        <f t="shared" si="10"/>
        <v>Duplicate ID</v>
      </c>
      <c r="Q160" t="str">
        <f t="shared" si="11"/>
        <v>25,000-30,000</v>
      </c>
      <c r="R160" s="6">
        <f>IF(COUNTIF($A$2:A160,A160)=1,1,0)</f>
        <v>1</v>
      </c>
    </row>
    <row r="161" spans="1:18" x14ac:dyDescent="0.25">
      <c r="A161" s="6">
        <v>1423</v>
      </c>
      <c r="B161" s="7">
        <v>44794</v>
      </c>
      <c r="C161" t="s">
        <v>40</v>
      </c>
      <c r="D161" s="6"/>
      <c r="E161" s="8">
        <v>20899</v>
      </c>
      <c r="F161" s="8">
        <v>22000</v>
      </c>
      <c r="G161" s="8">
        <f t="shared" si="8"/>
        <v>1101</v>
      </c>
      <c r="H161" s="6">
        <v>60000</v>
      </c>
      <c r="I161" t="s">
        <v>58</v>
      </c>
      <c r="J161" t="s">
        <v>1647</v>
      </c>
      <c r="K161" t="s">
        <v>1647</v>
      </c>
      <c r="L161" t="s">
        <v>100</v>
      </c>
      <c r="M161" t="s">
        <v>98</v>
      </c>
      <c r="N161" s="6">
        <v>1</v>
      </c>
      <c r="O161" t="str">
        <f t="shared" si="9"/>
        <v>Normal</v>
      </c>
      <c r="P161" t="str">
        <f t="shared" si="10"/>
        <v>Duplicate ID</v>
      </c>
      <c r="Q161" t="str">
        <f t="shared" si="11"/>
        <v>20,000-24,999</v>
      </c>
      <c r="R161" s="6">
        <f>IF(COUNTIF($A$2:A161,A161)=1,1,0)</f>
        <v>1</v>
      </c>
    </row>
    <row r="162" spans="1:18" x14ac:dyDescent="0.25">
      <c r="A162" s="6">
        <v>1064</v>
      </c>
      <c r="B162" s="7">
        <v>44495</v>
      </c>
      <c r="C162" t="s">
        <v>32</v>
      </c>
      <c r="D162" s="6">
        <v>2018</v>
      </c>
      <c r="E162" s="8">
        <v>12961</v>
      </c>
      <c r="F162" s="8">
        <v>18000</v>
      </c>
      <c r="G162" s="8">
        <f t="shared" si="8"/>
        <v>5039</v>
      </c>
      <c r="H162" s="6">
        <v>40000</v>
      </c>
      <c r="I162" t="s">
        <v>41</v>
      </c>
      <c r="J162" t="s">
        <v>72</v>
      </c>
      <c r="K162" t="s">
        <v>96</v>
      </c>
      <c r="L162" t="s">
        <v>100</v>
      </c>
      <c r="M162" t="s">
        <v>98</v>
      </c>
      <c r="N162" s="6" t="s">
        <v>1647</v>
      </c>
      <c r="O162" t="str">
        <f t="shared" si="9"/>
        <v>Normal</v>
      </c>
      <c r="P162" t="str">
        <f t="shared" si="10"/>
        <v>Duplicate ID</v>
      </c>
      <c r="Q162" t="str">
        <f t="shared" si="11"/>
        <v>10,000-14,999</v>
      </c>
      <c r="R162" s="6">
        <f>IF(COUNTIF($A$2:A162,A162)=1,1,0)</f>
        <v>1</v>
      </c>
    </row>
    <row r="163" spans="1:18" x14ac:dyDescent="0.25">
      <c r="A163" s="6">
        <v>1405</v>
      </c>
      <c r="B163" s="7">
        <v>44210</v>
      </c>
      <c r="C163" t="s">
        <v>57</v>
      </c>
      <c r="D163" s="6">
        <v>2021</v>
      </c>
      <c r="E163" s="8">
        <v>5505</v>
      </c>
      <c r="F163" s="8">
        <v>9000</v>
      </c>
      <c r="G163" s="8">
        <f t="shared" si="8"/>
        <v>3495</v>
      </c>
      <c r="H163" s="6">
        <v>25000</v>
      </c>
      <c r="I163" t="s">
        <v>69</v>
      </c>
      <c r="J163" t="s">
        <v>72</v>
      </c>
      <c r="K163" t="s">
        <v>96</v>
      </c>
      <c r="L163" t="s">
        <v>48</v>
      </c>
      <c r="M163" t="s">
        <v>90</v>
      </c>
      <c r="N163" s="6">
        <v>2</v>
      </c>
      <c r="O163" t="str">
        <f t="shared" si="9"/>
        <v>Normal</v>
      </c>
      <c r="P163" t="str">
        <f t="shared" si="10"/>
        <v>Duplicate ID</v>
      </c>
      <c r="Q163" t="str">
        <f t="shared" si="11"/>
        <v>5,000-9,999</v>
      </c>
      <c r="R163" s="6">
        <f>IF(COUNTIF($A$2:A163,A163)=1,1,0)</f>
        <v>1</v>
      </c>
    </row>
    <row r="164" spans="1:18" x14ac:dyDescent="0.25">
      <c r="A164" s="6">
        <v>1407</v>
      </c>
      <c r="B164" s="7">
        <v>44560</v>
      </c>
      <c r="C164" t="s">
        <v>51</v>
      </c>
      <c r="D164" s="6"/>
      <c r="E164" s="8">
        <v>11427</v>
      </c>
      <c r="F164" s="8">
        <v>15000</v>
      </c>
      <c r="G164" s="8">
        <f t="shared" si="8"/>
        <v>3573</v>
      </c>
      <c r="H164" s="6">
        <v>60000</v>
      </c>
      <c r="I164" t="s">
        <v>1647</v>
      </c>
      <c r="J164" t="s">
        <v>1647</v>
      </c>
      <c r="K164" t="s">
        <v>36</v>
      </c>
      <c r="L164" t="s">
        <v>54</v>
      </c>
      <c r="M164" t="s">
        <v>98</v>
      </c>
      <c r="N164" s="6">
        <v>2</v>
      </c>
      <c r="O164" t="str">
        <f t="shared" si="9"/>
        <v>Normal</v>
      </c>
      <c r="P164" t="str">
        <f t="shared" si="10"/>
        <v>Duplicate ID</v>
      </c>
      <c r="Q164" t="str">
        <f t="shared" si="11"/>
        <v>10,000-14,999</v>
      </c>
      <c r="R164" s="6">
        <f>IF(COUNTIF($A$2:A164,A164)=1,1,0)</f>
        <v>1</v>
      </c>
    </row>
    <row r="165" spans="1:18" x14ac:dyDescent="0.25">
      <c r="A165" s="6">
        <v>1184</v>
      </c>
      <c r="B165" s="7">
        <v>45314</v>
      </c>
      <c r="C165" t="s">
        <v>79</v>
      </c>
      <c r="D165" s="6">
        <v>2019</v>
      </c>
      <c r="E165" s="8">
        <v>6364</v>
      </c>
      <c r="F165" s="8">
        <v>9000</v>
      </c>
      <c r="G165" s="8">
        <f t="shared" si="8"/>
        <v>2636</v>
      </c>
      <c r="H165" s="6">
        <v>80000</v>
      </c>
      <c r="I165" t="s">
        <v>1647</v>
      </c>
      <c r="J165" t="s">
        <v>35</v>
      </c>
      <c r="K165" t="s">
        <v>96</v>
      </c>
      <c r="L165" t="s">
        <v>54</v>
      </c>
      <c r="M165" t="s">
        <v>126</v>
      </c>
      <c r="N165" s="6">
        <v>3</v>
      </c>
      <c r="O165" t="str">
        <f t="shared" si="9"/>
        <v>Normal</v>
      </c>
      <c r="P165" t="str">
        <f t="shared" si="10"/>
        <v>Duplicate ID</v>
      </c>
      <c r="Q165" t="str">
        <f t="shared" si="11"/>
        <v>5,000-9,999</v>
      </c>
      <c r="R165" s="6">
        <f>IF(COUNTIF($A$2:A165,A165)=1,1,0)</f>
        <v>1</v>
      </c>
    </row>
    <row r="166" spans="1:18" x14ac:dyDescent="0.25">
      <c r="A166" s="6">
        <v>1433</v>
      </c>
      <c r="B166" s="7">
        <v>44512</v>
      </c>
      <c r="C166" t="s">
        <v>1648</v>
      </c>
      <c r="D166" s="6">
        <v>2016</v>
      </c>
      <c r="E166" s="8">
        <v>14931</v>
      </c>
      <c r="F166" s="8">
        <v>18000</v>
      </c>
      <c r="G166" s="8">
        <f t="shared" si="8"/>
        <v>3069</v>
      </c>
      <c r="H166" s="6">
        <v>25000</v>
      </c>
      <c r="I166" t="s">
        <v>1647</v>
      </c>
      <c r="J166" t="s">
        <v>1647</v>
      </c>
      <c r="K166" t="s">
        <v>96</v>
      </c>
      <c r="L166" t="s">
        <v>1647</v>
      </c>
      <c r="M166" t="s">
        <v>1647</v>
      </c>
      <c r="N166" s="6">
        <v>3</v>
      </c>
      <c r="O166" t="str">
        <f t="shared" si="9"/>
        <v>Normal</v>
      </c>
      <c r="P166" t="str">
        <f t="shared" si="10"/>
        <v>Duplicate ID</v>
      </c>
      <c r="Q166" t="str">
        <f t="shared" si="11"/>
        <v>10,000-14,999</v>
      </c>
      <c r="R166" s="6">
        <f>IF(COUNTIF($A$2:A166,A166)=1,1,0)</f>
        <v>1</v>
      </c>
    </row>
    <row r="167" spans="1:18" x14ac:dyDescent="0.25">
      <c r="A167" s="6">
        <v>1170</v>
      </c>
      <c r="B167" s="7">
        <v>44924</v>
      </c>
      <c r="C167" t="s">
        <v>40</v>
      </c>
      <c r="D167" s="6">
        <v>2019</v>
      </c>
      <c r="E167" s="8">
        <v>5967</v>
      </c>
      <c r="F167" s="8">
        <v>9000</v>
      </c>
      <c r="G167" s="8">
        <f t="shared" si="8"/>
        <v>3033</v>
      </c>
      <c r="H167" s="6">
        <v>15000</v>
      </c>
      <c r="I167" t="s">
        <v>34</v>
      </c>
      <c r="J167" t="s">
        <v>72</v>
      </c>
      <c r="K167" t="s">
        <v>96</v>
      </c>
      <c r="L167" t="s">
        <v>73</v>
      </c>
      <c r="M167" t="s">
        <v>126</v>
      </c>
      <c r="N167" s="6">
        <v>0</v>
      </c>
      <c r="O167" t="str">
        <f t="shared" si="9"/>
        <v>Normal</v>
      </c>
      <c r="P167" t="str">
        <f t="shared" si="10"/>
        <v>Duplicate ID</v>
      </c>
      <c r="Q167" t="str">
        <f t="shared" si="11"/>
        <v>5,000-9,999</v>
      </c>
      <c r="R167" s="6">
        <f>IF(COUNTIF($A$2:A167,A167)=1,1,0)</f>
        <v>1</v>
      </c>
    </row>
    <row r="168" spans="1:18" x14ac:dyDescent="0.25">
      <c r="A168" s="6">
        <v>1474</v>
      </c>
      <c r="B168" s="7">
        <v>44998</v>
      </c>
      <c r="C168" t="s">
        <v>119</v>
      </c>
      <c r="D168" s="6">
        <v>2017</v>
      </c>
      <c r="E168" s="8">
        <v>10936</v>
      </c>
      <c r="F168" s="8">
        <v>15000</v>
      </c>
      <c r="G168" s="8">
        <f t="shared" si="8"/>
        <v>4064</v>
      </c>
      <c r="H168" s="6">
        <v>60000</v>
      </c>
      <c r="I168" t="s">
        <v>69</v>
      </c>
      <c r="J168" t="s">
        <v>35</v>
      </c>
      <c r="K168" t="s">
        <v>96</v>
      </c>
      <c r="L168" t="s">
        <v>73</v>
      </c>
      <c r="M168" t="s">
        <v>45</v>
      </c>
      <c r="N168" s="6">
        <v>3</v>
      </c>
      <c r="O168" t="str">
        <f t="shared" si="9"/>
        <v>Normal</v>
      </c>
      <c r="P168" t="str">
        <f t="shared" si="10"/>
        <v>Duplicate ID</v>
      </c>
      <c r="Q168" t="str">
        <f t="shared" si="11"/>
        <v>10,000-14,999</v>
      </c>
      <c r="R168" s="6">
        <f>IF(COUNTIF($A$2:A168,A168)=1,1,0)</f>
        <v>1</v>
      </c>
    </row>
    <row r="169" spans="1:18" x14ac:dyDescent="0.25">
      <c r="A169" s="6">
        <v>1466</v>
      </c>
      <c r="B169" s="7">
        <v>44899</v>
      </c>
      <c r="C169" t="s">
        <v>40</v>
      </c>
      <c r="D169" s="6">
        <v>2015</v>
      </c>
      <c r="E169" s="8">
        <v>8445</v>
      </c>
      <c r="F169" s="8">
        <v>12000</v>
      </c>
      <c r="G169" s="8">
        <f t="shared" si="8"/>
        <v>3555</v>
      </c>
      <c r="H169" s="6">
        <v>40000</v>
      </c>
      <c r="I169" t="s">
        <v>41</v>
      </c>
      <c r="J169" t="s">
        <v>72</v>
      </c>
      <c r="K169" t="s">
        <v>96</v>
      </c>
      <c r="L169" t="s">
        <v>54</v>
      </c>
      <c r="M169" t="s">
        <v>126</v>
      </c>
      <c r="N169" s="6">
        <v>2</v>
      </c>
      <c r="O169" t="str">
        <f t="shared" si="9"/>
        <v>Normal</v>
      </c>
      <c r="P169" t="str">
        <f t="shared" si="10"/>
        <v>Duplicate ID</v>
      </c>
      <c r="Q169" t="str">
        <f t="shared" si="11"/>
        <v>5,000-9,999</v>
      </c>
      <c r="R169" s="6">
        <f>IF(COUNTIF($A$2:A169,A169)=1,1,0)</f>
        <v>1</v>
      </c>
    </row>
    <row r="170" spans="1:18" x14ac:dyDescent="0.25">
      <c r="A170" s="6">
        <v>1168</v>
      </c>
      <c r="B170" s="7">
        <v>44420</v>
      </c>
      <c r="C170" t="s">
        <v>40</v>
      </c>
      <c r="D170" s="6">
        <v>2015</v>
      </c>
      <c r="E170" s="8">
        <v>692</v>
      </c>
      <c r="F170" s="8">
        <v>7000</v>
      </c>
      <c r="G170" s="8">
        <f t="shared" si="8"/>
        <v>6308</v>
      </c>
      <c r="H170" s="6">
        <v>40000</v>
      </c>
      <c r="I170" t="s">
        <v>58</v>
      </c>
      <c r="J170" t="s">
        <v>72</v>
      </c>
      <c r="K170" t="s">
        <v>1647</v>
      </c>
      <c r="L170" t="s">
        <v>48</v>
      </c>
      <c r="M170" t="s">
        <v>98</v>
      </c>
      <c r="N170" s="6">
        <v>1</v>
      </c>
      <c r="O170" t="str">
        <f t="shared" si="9"/>
        <v>Outlier</v>
      </c>
      <c r="P170" t="str">
        <f t="shared" si="10"/>
        <v>Duplicate ID</v>
      </c>
      <c r="Q170" t="str">
        <f t="shared" si="11"/>
        <v>0-4,999</v>
      </c>
      <c r="R170" s="6">
        <f>IF(COUNTIF($A$2:A170,A170)=1,1,0)</f>
        <v>1</v>
      </c>
    </row>
    <row r="171" spans="1:18" x14ac:dyDescent="0.25">
      <c r="A171" s="6">
        <v>1405</v>
      </c>
      <c r="B171" s="7">
        <v>45082</v>
      </c>
      <c r="C171" t="s">
        <v>79</v>
      </c>
      <c r="D171" s="6">
        <v>2018</v>
      </c>
      <c r="E171" s="8">
        <v>5754</v>
      </c>
      <c r="F171" s="8">
        <v>12000</v>
      </c>
      <c r="G171" s="8">
        <f t="shared" si="8"/>
        <v>6246</v>
      </c>
      <c r="H171" s="6">
        <v>25000</v>
      </c>
      <c r="I171" t="s">
        <v>34</v>
      </c>
      <c r="J171" t="s">
        <v>72</v>
      </c>
      <c r="K171" t="s">
        <v>36</v>
      </c>
      <c r="L171" t="s">
        <v>100</v>
      </c>
      <c r="M171" t="s">
        <v>90</v>
      </c>
      <c r="N171" s="6">
        <v>2</v>
      </c>
      <c r="O171" t="str">
        <f t="shared" si="9"/>
        <v>Normal</v>
      </c>
      <c r="P171" t="str">
        <f t="shared" si="10"/>
        <v>Duplicate ID</v>
      </c>
      <c r="Q171" t="str">
        <f t="shared" si="11"/>
        <v>5,000-9,999</v>
      </c>
      <c r="R171" s="6">
        <f>IF(COUNTIF($A$2:A171,A171)=1,1,0)</f>
        <v>0</v>
      </c>
    </row>
    <row r="172" spans="1:18" x14ac:dyDescent="0.25">
      <c r="A172" s="6">
        <v>1333</v>
      </c>
      <c r="B172" s="7">
        <v>44946</v>
      </c>
      <c r="C172" t="s">
        <v>40</v>
      </c>
      <c r="D172" s="6"/>
      <c r="E172" s="8">
        <v>6469</v>
      </c>
      <c r="F172" s="8">
        <v>9000</v>
      </c>
      <c r="G172" s="8">
        <f t="shared" si="8"/>
        <v>2531</v>
      </c>
      <c r="H172" s="6">
        <v>80000</v>
      </c>
      <c r="I172" t="s">
        <v>1647</v>
      </c>
      <c r="J172" t="s">
        <v>1647</v>
      </c>
      <c r="K172" t="s">
        <v>96</v>
      </c>
      <c r="L172" t="s">
        <v>48</v>
      </c>
      <c r="M172" t="s">
        <v>98</v>
      </c>
      <c r="N172" s="6" t="s">
        <v>1647</v>
      </c>
      <c r="O172" t="str">
        <f t="shared" si="9"/>
        <v>Normal</v>
      </c>
      <c r="P172" t="str">
        <f t="shared" si="10"/>
        <v>Duplicate ID</v>
      </c>
      <c r="Q172" t="str">
        <f t="shared" si="11"/>
        <v>5,000-9,999</v>
      </c>
      <c r="R172" s="6">
        <f>IF(COUNTIF($A$2:A172,A172)=1,1,0)</f>
        <v>1</v>
      </c>
    </row>
    <row r="173" spans="1:18" x14ac:dyDescent="0.25">
      <c r="A173" s="6">
        <v>1304</v>
      </c>
      <c r="B173" s="7">
        <v>44550</v>
      </c>
      <c r="C173" t="s">
        <v>32</v>
      </c>
      <c r="D173" s="6">
        <v>2019</v>
      </c>
      <c r="E173" s="8">
        <v>15943</v>
      </c>
      <c r="F173" s="8">
        <v>22000</v>
      </c>
      <c r="G173" s="8">
        <f t="shared" si="8"/>
        <v>6057</v>
      </c>
      <c r="H173" s="6">
        <v>60000</v>
      </c>
      <c r="I173" t="s">
        <v>69</v>
      </c>
      <c r="J173" t="s">
        <v>35</v>
      </c>
      <c r="K173" t="s">
        <v>36</v>
      </c>
      <c r="L173" t="s">
        <v>54</v>
      </c>
      <c r="M173" t="s">
        <v>126</v>
      </c>
      <c r="N173" s="6">
        <v>1</v>
      </c>
      <c r="O173" t="str">
        <f t="shared" si="9"/>
        <v>Normal</v>
      </c>
      <c r="P173" t="str">
        <f t="shared" si="10"/>
        <v>Duplicate ID</v>
      </c>
      <c r="Q173" t="str">
        <f t="shared" si="11"/>
        <v>15,000-19,999</v>
      </c>
      <c r="R173" s="6">
        <f>IF(COUNTIF($A$2:A173,A173)=1,1,0)</f>
        <v>1</v>
      </c>
    </row>
    <row r="174" spans="1:18" x14ac:dyDescent="0.25">
      <c r="A174" s="6">
        <v>1588</v>
      </c>
      <c r="B174" s="7">
        <v>44479</v>
      </c>
      <c r="C174" t="s">
        <v>79</v>
      </c>
      <c r="D174" s="6">
        <v>2016</v>
      </c>
      <c r="E174" s="8">
        <v>20115</v>
      </c>
      <c r="F174" s="8">
        <v>26000</v>
      </c>
      <c r="G174" s="8">
        <f t="shared" si="8"/>
        <v>5885</v>
      </c>
      <c r="H174" s="6">
        <v>60000</v>
      </c>
      <c r="I174" t="s">
        <v>58</v>
      </c>
      <c r="J174" t="s">
        <v>1647</v>
      </c>
      <c r="K174" t="s">
        <v>36</v>
      </c>
      <c r="L174" t="s">
        <v>48</v>
      </c>
      <c r="M174" t="s">
        <v>45</v>
      </c>
      <c r="N174" s="6">
        <v>1</v>
      </c>
      <c r="O174" t="str">
        <f t="shared" si="9"/>
        <v>Normal</v>
      </c>
      <c r="P174" t="str">
        <f t="shared" si="10"/>
        <v>Duplicate ID</v>
      </c>
      <c r="Q174" t="str">
        <f t="shared" si="11"/>
        <v>20,000-24,999</v>
      </c>
      <c r="R174" s="6">
        <f>IF(COUNTIF($A$2:A174,A174)=1,1,0)</f>
        <v>1</v>
      </c>
    </row>
    <row r="175" spans="1:18" x14ac:dyDescent="0.25">
      <c r="A175" s="6">
        <v>1009</v>
      </c>
      <c r="B175" s="7">
        <v>44932</v>
      </c>
      <c r="C175" t="s">
        <v>57</v>
      </c>
      <c r="D175" s="6">
        <v>2019</v>
      </c>
      <c r="E175" s="8">
        <v>29561</v>
      </c>
      <c r="F175" s="8">
        <v>31000</v>
      </c>
      <c r="G175" s="8">
        <f t="shared" si="8"/>
        <v>1439</v>
      </c>
      <c r="H175" s="6">
        <v>80000</v>
      </c>
      <c r="I175" t="s">
        <v>1647</v>
      </c>
      <c r="J175" t="s">
        <v>72</v>
      </c>
      <c r="K175" t="s">
        <v>96</v>
      </c>
      <c r="L175" t="s">
        <v>48</v>
      </c>
      <c r="M175" t="s">
        <v>98</v>
      </c>
      <c r="N175" s="6">
        <v>3</v>
      </c>
      <c r="O175" t="str">
        <f t="shared" si="9"/>
        <v>Normal</v>
      </c>
      <c r="P175" t="str">
        <f t="shared" si="10"/>
        <v>Duplicate ID</v>
      </c>
      <c r="Q175" t="str">
        <f t="shared" si="11"/>
        <v>25,000-30,000</v>
      </c>
      <c r="R175" s="6">
        <f>IF(COUNTIF($A$2:A175,A175)=1,1,0)</f>
        <v>0</v>
      </c>
    </row>
    <row r="176" spans="1:18" x14ac:dyDescent="0.25">
      <c r="A176" s="6">
        <v>1281</v>
      </c>
      <c r="B176" s="7">
        <v>44263</v>
      </c>
      <c r="C176" t="s">
        <v>57</v>
      </c>
      <c r="D176" s="6">
        <v>2015</v>
      </c>
      <c r="E176" s="8">
        <v>3608</v>
      </c>
      <c r="F176" s="8">
        <v>7000</v>
      </c>
      <c r="G176" s="8">
        <f t="shared" si="8"/>
        <v>3392</v>
      </c>
      <c r="H176" s="6">
        <v>25000</v>
      </c>
      <c r="I176" t="s">
        <v>1647</v>
      </c>
      <c r="J176" t="s">
        <v>1647</v>
      </c>
      <c r="K176" t="s">
        <v>1647</v>
      </c>
      <c r="L176" t="s">
        <v>73</v>
      </c>
      <c r="M176" t="s">
        <v>126</v>
      </c>
      <c r="N176" s="6">
        <v>2</v>
      </c>
      <c r="O176" t="str">
        <f t="shared" si="9"/>
        <v>Normal</v>
      </c>
      <c r="P176" t="str">
        <f t="shared" si="10"/>
        <v>Duplicate ID</v>
      </c>
      <c r="Q176" t="str">
        <f t="shared" si="11"/>
        <v>0-4,999</v>
      </c>
      <c r="R176" s="6">
        <f>IF(COUNTIF($A$2:A176,A176)=1,1,0)</f>
        <v>0</v>
      </c>
    </row>
    <row r="177" spans="1:18" x14ac:dyDescent="0.25">
      <c r="A177" s="6">
        <v>1223</v>
      </c>
      <c r="B177" s="7">
        <v>45315</v>
      </c>
      <c r="C177" t="s">
        <v>79</v>
      </c>
      <c r="D177" s="6">
        <v>2022</v>
      </c>
      <c r="E177" s="8">
        <v>2385</v>
      </c>
      <c r="F177" s="8">
        <v>7000</v>
      </c>
      <c r="G177" s="8">
        <f t="shared" si="8"/>
        <v>4615</v>
      </c>
      <c r="H177" s="6">
        <v>120000</v>
      </c>
      <c r="I177" t="s">
        <v>58</v>
      </c>
      <c r="J177" t="s">
        <v>72</v>
      </c>
      <c r="K177" t="s">
        <v>36</v>
      </c>
      <c r="L177" t="s">
        <v>48</v>
      </c>
      <c r="M177" t="s">
        <v>45</v>
      </c>
      <c r="N177" s="6">
        <v>2</v>
      </c>
      <c r="O177" t="str">
        <f t="shared" si="9"/>
        <v>Normal</v>
      </c>
      <c r="P177" t="str">
        <f t="shared" si="10"/>
        <v>Duplicate ID</v>
      </c>
      <c r="Q177" t="str">
        <f t="shared" si="11"/>
        <v>0-4,999</v>
      </c>
      <c r="R177" s="6">
        <f>IF(COUNTIF($A$2:A177,A177)=1,1,0)</f>
        <v>1</v>
      </c>
    </row>
    <row r="178" spans="1:18" x14ac:dyDescent="0.25">
      <c r="A178" s="6">
        <v>1438</v>
      </c>
      <c r="B178" s="7">
        <v>44915</v>
      </c>
      <c r="C178" t="s">
        <v>40</v>
      </c>
      <c r="D178" s="6">
        <v>2021</v>
      </c>
      <c r="E178" s="8">
        <v>6281</v>
      </c>
      <c r="F178" s="8">
        <v>9000</v>
      </c>
      <c r="G178" s="8">
        <f t="shared" si="8"/>
        <v>2719</v>
      </c>
      <c r="H178" s="6">
        <v>25000</v>
      </c>
      <c r="I178" t="s">
        <v>58</v>
      </c>
      <c r="J178" t="s">
        <v>35</v>
      </c>
      <c r="K178" t="s">
        <v>1647</v>
      </c>
      <c r="L178" t="s">
        <v>54</v>
      </c>
      <c r="M178" t="s">
        <v>1647</v>
      </c>
      <c r="N178" s="6">
        <v>2</v>
      </c>
      <c r="O178" t="str">
        <f t="shared" si="9"/>
        <v>Normal</v>
      </c>
      <c r="P178" t="str">
        <f t="shared" si="10"/>
        <v>Duplicate ID</v>
      </c>
      <c r="Q178" t="str">
        <f t="shared" si="11"/>
        <v>5,000-9,999</v>
      </c>
      <c r="R178" s="6">
        <f>IF(COUNTIF($A$2:A178,A178)=1,1,0)</f>
        <v>1</v>
      </c>
    </row>
    <row r="179" spans="1:18" x14ac:dyDescent="0.25">
      <c r="A179" s="6">
        <v>1526</v>
      </c>
      <c r="B179" s="7">
        <v>44744</v>
      </c>
      <c r="C179" t="s">
        <v>57</v>
      </c>
      <c r="D179" s="6">
        <v>2019</v>
      </c>
      <c r="E179" s="8">
        <v>12309</v>
      </c>
      <c r="F179" s="8">
        <v>18000</v>
      </c>
      <c r="G179" s="8">
        <f t="shared" si="8"/>
        <v>5691</v>
      </c>
      <c r="H179" s="6">
        <v>40000</v>
      </c>
      <c r="I179" t="s">
        <v>34</v>
      </c>
      <c r="J179" t="s">
        <v>35</v>
      </c>
      <c r="K179" t="s">
        <v>96</v>
      </c>
      <c r="L179" t="s">
        <v>100</v>
      </c>
      <c r="M179" t="s">
        <v>90</v>
      </c>
      <c r="N179" s="6">
        <v>1</v>
      </c>
      <c r="O179" t="str">
        <f t="shared" si="9"/>
        <v>Normal</v>
      </c>
      <c r="P179" t="str">
        <f t="shared" si="10"/>
        <v>Duplicate ID</v>
      </c>
      <c r="Q179" t="str">
        <f t="shared" si="11"/>
        <v>10,000-14,999</v>
      </c>
      <c r="R179" s="6">
        <f>IF(COUNTIF($A$2:A179,A179)=1,1,0)</f>
        <v>1</v>
      </c>
    </row>
    <row r="180" spans="1:18" x14ac:dyDescent="0.25">
      <c r="A180" s="6">
        <v>1145</v>
      </c>
      <c r="B180" s="7">
        <v>45199</v>
      </c>
      <c r="C180" t="s">
        <v>32</v>
      </c>
      <c r="D180" s="6">
        <v>2019</v>
      </c>
      <c r="E180" s="8">
        <v>10783</v>
      </c>
      <c r="F180" s="8">
        <v>15000</v>
      </c>
      <c r="G180" s="8">
        <f t="shared" si="8"/>
        <v>4217</v>
      </c>
      <c r="H180" s="6">
        <v>120000</v>
      </c>
      <c r="I180" t="s">
        <v>1647</v>
      </c>
      <c r="J180" t="s">
        <v>35</v>
      </c>
      <c r="K180" t="s">
        <v>36</v>
      </c>
      <c r="L180" t="s">
        <v>48</v>
      </c>
      <c r="M180" t="s">
        <v>1647</v>
      </c>
      <c r="N180" s="6">
        <v>2</v>
      </c>
      <c r="O180" t="str">
        <f t="shared" si="9"/>
        <v>Normal</v>
      </c>
      <c r="P180" t="str">
        <f t="shared" si="10"/>
        <v>Duplicate ID</v>
      </c>
      <c r="Q180" t="str">
        <f t="shared" si="11"/>
        <v>10,000-14,999</v>
      </c>
      <c r="R180" s="6">
        <f>IF(COUNTIF($A$2:A180,A180)=1,1,0)</f>
        <v>1</v>
      </c>
    </row>
    <row r="181" spans="1:18" x14ac:dyDescent="0.25">
      <c r="A181" s="6">
        <v>1095</v>
      </c>
      <c r="B181" s="7">
        <v>44202</v>
      </c>
      <c r="C181" t="s">
        <v>79</v>
      </c>
      <c r="D181" s="6">
        <v>2021</v>
      </c>
      <c r="E181" s="8">
        <v>25233</v>
      </c>
      <c r="F181" s="8">
        <v>31000</v>
      </c>
      <c r="G181" s="8">
        <f t="shared" si="8"/>
        <v>5767</v>
      </c>
      <c r="H181" s="6">
        <v>40000</v>
      </c>
      <c r="I181" t="s">
        <v>69</v>
      </c>
      <c r="J181" t="s">
        <v>35</v>
      </c>
      <c r="K181" t="s">
        <v>1647</v>
      </c>
      <c r="L181" t="s">
        <v>48</v>
      </c>
      <c r="M181" t="s">
        <v>90</v>
      </c>
      <c r="N181" s="6">
        <v>3</v>
      </c>
      <c r="O181" t="str">
        <f t="shared" si="9"/>
        <v>Normal</v>
      </c>
      <c r="P181" t="str">
        <f t="shared" si="10"/>
        <v>Duplicate ID</v>
      </c>
      <c r="Q181" t="str">
        <f t="shared" si="11"/>
        <v>25,000-30,000</v>
      </c>
      <c r="R181" s="6">
        <f>IF(COUNTIF($A$2:A181,A181)=1,1,0)</f>
        <v>0</v>
      </c>
    </row>
    <row r="182" spans="1:18" x14ac:dyDescent="0.25">
      <c r="A182" s="6">
        <v>1560</v>
      </c>
      <c r="B182" s="7">
        <v>44888</v>
      </c>
      <c r="C182" t="s">
        <v>57</v>
      </c>
      <c r="D182" s="6">
        <v>2021</v>
      </c>
      <c r="E182" s="8">
        <v>14677</v>
      </c>
      <c r="F182" s="8">
        <v>18000</v>
      </c>
      <c r="G182" s="8">
        <f t="shared" si="8"/>
        <v>3323</v>
      </c>
      <c r="H182" s="6">
        <v>40000</v>
      </c>
      <c r="I182" t="s">
        <v>69</v>
      </c>
      <c r="J182" t="s">
        <v>35</v>
      </c>
      <c r="K182" t="s">
        <v>36</v>
      </c>
      <c r="L182" t="s">
        <v>73</v>
      </c>
      <c r="M182" t="s">
        <v>98</v>
      </c>
      <c r="N182" s="6">
        <v>0</v>
      </c>
      <c r="O182" t="str">
        <f t="shared" si="9"/>
        <v>Normal</v>
      </c>
      <c r="P182" t="str">
        <f t="shared" si="10"/>
        <v>Duplicate ID</v>
      </c>
      <c r="Q182" t="str">
        <f t="shared" si="11"/>
        <v>10,000-14,999</v>
      </c>
      <c r="R182" s="6">
        <f>IF(COUNTIF($A$2:A182,A182)=1,1,0)</f>
        <v>1</v>
      </c>
    </row>
    <row r="183" spans="1:18" x14ac:dyDescent="0.25">
      <c r="A183" s="6">
        <v>1207</v>
      </c>
      <c r="B183" s="7">
        <v>45073</v>
      </c>
      <c r="C183" t="s">
        <v>32</v>
      </c>
      <c r="D183" s="6">
        <v>2016</v>
      </c>
      <c r="E183" s="8">
        <v>29995</v>
      </c>
      <c r="F183" s="8">
        <v>31000</v>
      </c>
      <c r="G183" s="8">
        <f t="shared" si="8"/>
        <v>1005</v>
      </c>
      <c r="H183" s="6">
        <v>60000</v>
      </c>
      <c r="I183" t="s">
        <v>69</v>
      </c>
      <c r="J183" t="s">
        <v>35</v>
      </c>
      <c r="K183" t="s">
        <v>96</v>
      </c>
      <c r="L183" t="s">
        <v>73</v>
      </c>
      <c r="M183" t="s">
        <v>45</v>
      </c>
      <c r="N183" s="6">
        <v>2</v>
      </c>
      <c r="O183" t="str">
        <f t="shared" si="9"/>
        <v>Normal</v>
      </c>
      <c r="P183" t="str">
        <f t="shared" si="10"/>
        <v>Duplicate ID</v>
      </c>
      <c r="Q183" t="str">
        <f t="shared" si="11"/>
        <v>25,000-30,000</v>
      </c>
      <c r="R183" s="6">
        <f>IF(COUNTIF($A$2:A183,A183)=1,1,0)</f>
        <v>0</v>
      </c>
    </row>
    <row r="184" spans="1:18" x14ac:dyDescent="0.25">
      <c r="A184" s="6">
        <v>1239</v>
      </c>
      <c r="B184" s="7">
        <v>44822</v>
      </c>
      <c r="C184" t="s">
        <v>40</v>
      </c>
      <c r="D184" s="6">
        <v>2019</v>
      </c>
      <c r="E184" s="8">
        <v>7754</v>
      </c>
      <c r="F184" s="8">
        <v>12000</v>
      </c>
      <c r="G184" s="8">
        <f t="shared" si="8"/>
        <v>4246</v>
      </c>
      <c r="H184" s="6">
        <v>15000</v>
      </c>
      <c r="I184" t="s">
        <v>58</v>
      </c>
      <c r="J184" t="s">
        <v>72</v>
      </c>
      <c r="K184" t="s">
        <v>36</v>
      </c>
      <c r="L184" t="s">
        <v>100</v>
      </c>
      <c r="M184" t="s">
        <v>90</v>
      </c>
      <c r="N184" s="6" t="s">
        <v>1647</v>
      </c>
      <c r="O184" t="str">
        <f t="shared" si="9"/>
        <v>Normal</v>
      </c>
      <c r="P184" t="str">
        <f t="shared" si="10"/>
        <v>Duplicate ID</v>
      </c>
      <c r="Q184" t="str">
        <f t="shared" si="11"/>
        <v>5,000-9,999</v>
      </c>
      <c r="R184" s="6">
        <f>IF(COUNTIF($A$2:A184,A184)=1,1,0)</f>
        <v>1</v>
      </c>
    </row>
    <row r="185" spans="1:18" x14ac:dyDescent="0.25">
      <c r="A185" s="6">
        <v>1432</v>
      </c>
      <c r="B185" s="7">
        <v>44443</v>
      </c>
      <c r="C185" t="s">
        <v>1648</v>
      </c>
      <c r="D185" s="6">
        <v>2014</v>
      </c>
      <c r="E185" s="8">
        <v>3186</v>
      </c>
      <c r="F185" s="8">
        <v>7000</v>
      </c>
      <c r="G185" s="8">
        <f t="shared" si="8"/>
        <v>3814</v>
      </c>
      <c r="H185" s="6">
        <v>120000</v>
      </c>
      <c r="I185" t="s">
        <v>41</v>
      </c>
      <c r="J185" t="s">
        <v>35</v>
      </c>
      <c r="K185" t="s">
        <v>36</v>
      </c>
      <c r="L185" t="s">
        <v>54</v>
      </c>
      <c r="M185" t="s">
        <v>45</v>
      </c>
      <c r="N185" s="6">
        <v>2</v>
      </c>
      <c r="O185" t="str">
        <f t="shared" si="9"/>
        <v>Normal</v>
      </c>
      <c r="P185" t="str">
        <f t="shared" si="10"/>
        <v>Duplicate ID</v>
      </c>
      <c r="Q185" t="str">
        <f t="shared" si="11"/>
        <v>0-4,999</v>
      </c>
      <c r="R185" s="6">
        <f>IF(COUNTIF($A$2:A185,A185)=1,1,0)</f>
        <v>1</v>
      </c>
    </row>
    <row r="186" spans="1:18" x14ac:dyDescent="0.25">
      <c r="A186" s="6">
        <v>1070</v>
      </c>
      <c r="B186" s="7">
        <v>44489</v>
      </c>
      <c r="C186" t="s">
        <v>32</v>
      </c>
      <c r="D186" s="6">
        <v>2020</v>
      </c>
      <c r="E186" s="8">
        <v>5453</v>
      </c>
      <c r="F186" s="8">
        <v>12000</v>
      </c>
      <c r="G186" s="8">
        <f t="shared" si="8"/>
        <v>6547</v>
      </c>
      <c r="H186" s="6">
        <v>120000</v>
      </c>
      <c r="I186" t="s">
        <v>1647</v>
      </c>
      <c r="J186" t="s">
        <v>72</v>
      </c>
      <c r="K186" t="s">
        <v>36</v>
      </c>
      <c r="L186" t="s">
        <v>100</v>
      </c>
      <c r="M186" t="s">
        <v>98</v>
      </c>
      <c r="N186" s="6" t="s">
        <v>1647</v>
      </c>
      <c r="O186" t="str">
        <f t="shared" si="9"/>
        <v>Normal</v>
      </c>
      <c r="P186" t="str">
        <f t="shared" si="10"/>
        <v>Duplicate ID</v>
      </c>
      <c r="Q186" t="str">
        <f t="shared" si="11"/>
        <v>5,000-9,999</v>
      </c>
      <c r="R186" s="6">
        <f>IF(COUNTIF($A$2:A186,A186)=1,1,0)</f>
        <v>1</v>
      </c>
    </row>
    <row r="187" spans="1:18" x14ac:dyDescent="0.25">
      <c r="A187" s="6">
        <v>1393</v>
      </c>
      <c r="B187" s="7">
        <v>44449</v>
      </c>
      <c r="C187" t="s">
        <v>1648</v>
      </c>
      <c r="D187" s="6">
        <v>2017</v>
      </c>
      <c r="E187" s="8">
        <v>6854</v>
      </c>
      <c r="F187" s="8">
        <v>9000</v>
      </c>
      <c r="G187" s="8">
        <f t="shared" si="8"/>
        <v>2146</v>
      </c>
      <c r="H187" s="6">
        <v>15000</v>
      </c>
      <c r="I187" t="s">
        <v>58</v>
      </c>
      <c r="J187" t="s">
        <v>72</v>
      </c>
      <c r="K187" t="s">
        <v>36</v>
      </c>
      <c r="L187" t="s">
        <v>100</v>
      </c>
      <c r="M187" t="s">
        <v>1647</v>
      </c>
      <c r="N187" s="6" t="s">
        <v>1647</v>
      </c>
      <c r="O187" t="str">
        <f t="shared" si="9"/>
        <v>Normal</v>
      </c>
      <c r="P187" t="str">
        <f t="shared" si="10"/>
        <v>Duplicate ID</v>
      </c>
      <c r="Q187" t="str">
        <f t="shared" si="11"/>
        <v>5,000-9,999</v>
      </c>
      <c r="R187" s="6">
        <f>IF(COUNTIF($A$2:A187,A187)=1,1,0)</f>
        <v>1</v>
      </c>
    </row>
    <row r="188" spans="1:18" x14ac:dyDescent="0.25">
      <c r="A188" s="6">
        <v>1193</v>
      </c>
      <c r="B188" s="7">
        <v>45240</v>
      </c>
      <c r="C188" t="s">
        <v>51</v>
      </c>
      <c r="D188" s="6">
        <v>2014</v>
      </c>
      <c r="E188" s="8">
        <v>12759</v>
      </c>
      <c r="F188" s="8">
        <v>18000</v>
      </c>
      <c r="G188" s="8">
        <f t="shared" si="8"/>
        <v>5241</v>
      </c>
      <c r="H188" s="6">
        <v>25000</v>
      </c>
      <c r="I188" t="s">
        <v>58</v>
      </c>
      <c r="J188" t="s">
        <v>72</v>
      </c>
      <c r="K188" t="s">
        <v>96</v>
      </c>
      <c r="L188" t="s">
        <v>73</v>
      </c>
      <c r="M188" t="s">
        <v>90</v>
      </c>
      <c r="N188" s="6">
        <v>3</v>
      </c>
      <c r="O188" t="str">
        <f t="shared" si="9"/>
        <v>Normal</v>
      </c>
      <c r="P188" t="str">
        <f t="shared" si="10"/>
        <v>Duplicate ID</v>
      </c>
      <c r="Q188" t="str">
        <f t="shared" si="11"/>
        <v>10,000-14,999</v>
      </c>
      <c r="R188" s="6">
        <f>IF(COUNTIF($A$2:A188,A188)=1,1,0)</f>
        <v>1</v>
      </c>
    </row>
    <row r="189" spans="1:18" x14ac:dyDescent="0.25">
      <c r="A189" s="6">
        <v>1396</v>
      </c>
      <c r="B189" s="7">
        <v>44467</v>
      </c>
      <c r="C189" t="s">
        <v>40</v>
      </c>
      <c r="D189" s="6">
        <v>2022</v>
      </c>
      <c r="E189" s="8">
        <v>3408</v>
      </c>
      <c r="F189" s="8">
        <v>7000</v>
      </c>
      <c r="G189" s="8">
        <f t="shared" si="8"/>
        <v>3592</v>
      </c>
      <c r="H189" s="6">
        <v>40000</v>
      </c>
      <c r="I189" t="s">
        <v>58</v>
      </c>
      <c r="J189" t="s">
        <v>72</v>
      </c>
      <c r="K189" t="s">
        <v>36</v>
      </c>
      <c r="L189" t="s">
        <v>73</v>
      </c>
      <c r="M189" t="s">
        <v>126</v>
      </c>
      <c r="N189" s="6">
        <v>0</v>
      </c>
      <c r="O189" t="str">
        <f t="shared" si="9"/>
        <v>Normal</v>
      </c>
      <c r="P189" t="str">
        <f t="shared" si="10"/>
        <v>Duplicate ID</v>
      </c>
      <c r="Q189" t="str">
        <f t="shared" si="11"/>
        <v>0-4,999</v>
      </c>
      <c r="R189" s="6">
        <f>IF(COUNTIF($A$2:A189,A189)=1,1,0)</f>
        <v>1</v>
      </c>
    </row>
    <row r="190" spans="1:18" x14ac:dyDescent="0.25">
      <c r="A190" s="6">
        <v>1293</v>
      </c>
      <c r="B190" s="7">
        <v>45234</v>
      </c>
      <c r="C190" t="s">
        <v>119</v>
      </c>
      <c r="D190" s="6">
        <v>2017</v>
      </c>
      <c r="E190" s="8">
        <v>2740</v>
      </c>
      <c r="F190" s="8">
        <v>7000</v>
      </c>
      <c r="G190" s="8">
        <f t="shared" si="8"/>
        <v>4260</v>
      </c>
      <c r="H190" s="6">
        <v>15000</v>
      </c>
      <c r="I190" t="s">
        <v>34</v>
      </c>
      <c r="J190" t="s">
        <v>35</v>
      </c>
      <c r="K190" t="s">
        <v>1647</v>
      </c>
      <c r="L190" t="s">
        <v>1647</v>
      </c>
      <c r="M190" t="s">
        <v>90</v>
      </c>
      <c r="N190" s="6">
        <v>2</v>
      </c>
      <c r="O190" t="str">
        <f t="shared" si="9"/>
        <v>Normal</v>
      </c>
      <c r="P190" t="str">
        <f t="shared" si="10"/>
        <v>Duplicate ID</v>
      </c>
      <c r="Q190" t="str">
        <f t="shared" si="11"/>
        <v>0-4,999</v>
      </c>
      <c r="R190" s="6">
        <f>IF(COUNTIF($A$2:A190,A190)=1,1,0)</f>
        <v>1</v>
      </c>
    </row>
    <row r="191" spans="1:18" x14ac:dyDescent="0.25">
      <c r="A191" s="6">
        <v>1549</v>
      </c>
      <c r="B191" s="7">
        <v>44515</v>
      </c>
      <c r="C191" t="s">
        <v>40</v>
      </c>
      <c r="D191" s="6">
        <v>2018</v>
      </c>
      <c r="E191" s="8">
        <v>6336</v>
      </c>
      <c r="F191" s="8">
        <v>9000</v>
      </c>
      <c r="G191" s="8">
        <f t="shared" si="8"/>
        <v>2664</v>
      </c>
      <c r="H191" s="6">
        <v>80000</v>
      </c>
      <c r="I191" t="s">
        <v>41</v>
      </c>
      <c r="J191" t="s">
        <v>72</v>
      </c>
      <c r="K191" t="s">
        <v>96</v>
      </c>
      <c r="L191" t="s">
        <v>100</v>
      </c>
      <c r="M191" t="s">
        <v>126</v>
      </c>
      <c r="N191" s="6">
        <v>1</v>
      </c>
      <c r="O191" t="str">
        <f t="shared" si="9"/>
        <v>Normal</v>
      </c>
      <c r="P191" t="str">
        <f t="shared" si="10"/>
        <v>Duplicate ID</v>
      </c>
      <c r="Q191" t="str">
        <f t="shared" si="11"/>
        <v>5,000-9,999</v>
      </c>
      <c r="R191" s="6">
        <f>IF(COUNTIF($A$2:A191,A191)=1,1,0)</f>
        <v>1</v>
      </c>
    </row>
    <row r="192" spans="1:18" x14ac:dyDescent="0.25">
      <c r="A192" s="6">
        <v>1316</v>
      </c>
      <c r="B192" s="7">
        <v>44309</v>
      </c>
      <c r="C192" t="s">
        <v>40</v>
      </c>
      <c r="D192" s="6">
        <v>2020</v>
      </c>
      <c r="E192" s="8">
        <v>2985</v>
      </c>
      <c r="F192" s="8">
        <v>9000</v>
      </c>
      <c r="G192" s="8">
        <f t="shared" si="8"/>
        <v>6015</v>
      </c>
      <c r="H192" s="6">
        <v>60000</v>
      </c>
      <c r="I192" t="s">
        <v>41</v>
      </c>
      <c r="J192" t="s">
        <v>35</v>
      </c>
      <c r="K192" t="s">
        <v>36</v>
      </c>
      <c r="L192" t="s">
        <v>100</v>
      </c>
      <c r="M192" t="s">
        <v>98</v>
      </c>
      <c r="N192" s="6">
        <v>2</v>
      </c>
      <c r="O192" t="str">
        <f t="shared" si="9"/>
        <v>Normal</v>
      </c>
      <c r="P192" t="str">
        <f t="shared" si="10"/>
        <v>Duplicate ID</v>
      </c>
      <c r="Q192" t="str">
        <f t="shared" si="11"/>
        <v>0-4,999</v>
      </c>
      <c r="R192" s="6">
        <f>IF(COUNTIF($A$2:A192,A192)=1,1,0)</f>
        <v>0</v>
      </c>
    </row>
    <row r="193" spans="1:18" x14ac:dyDescent="0.25">
      <c r="A193" s="6">
        <v>1030</v>
      </c>
      <c r="B193" s="7">
        <v>44438</v>
      </c>
      <c r="C193" t="s">
        <v>119</v>
      </c>
      <c r="D193" s="6">
        <v>2016</v>
      </c>
      <c r="E193" s="8">
        <v>18799</v>
      </c>
      <c r="F193" s="8">
        <v>22000</v>
      </c>
      <c r="G193" s="8">
        <f t="shared" si="8"/>
        <v>3201</v>
      </c>
      <c r="H193" s="6">
        <v>25000</v>
      </c>
      <c r="I193" t="s">
        <v>69</v>
      </c>
      <c r="J193" t="s">
        <v>1647</v>
      </c>
      <c r="K193" t="s">
        <v>36</v>
      </c>
      <c r="L193" t="s">
        <v>48</v>
      </c>
      <c r="M193" t="s">
        <v>98</v>
      </c>
      <c r="N193" s="6" t="s">
        <v>1647</v>
      </c>
      <c r="O193" t="str">
        <f t="shared" si="9"/>
        <v>Normal</v>
      </c>
      <c r="P193" t="str">
        <f t="shared" si="10"/>
        <v>Duplicate ID</v>
      </c>
      <c r="Q193" t="str">
        <f t="shared" si="11"/>
        <v>15,000-19,999</v>
      </c>
      <c r="R193" s="6">
        <f>IF(COUNTIF($A$2:A193,A193)=1,1,0)</f>
        <v>1</v>
      </c>
    </row>
    <row r="194" spans="1:18" x14ac:dyDescent="0.25">
      <c r="A194" s="6">
        <v>1161</v>
      </c>
      <c r="B194" s="7">
        <v>44950</v>
      </c>
      <c r="C194" t="s">
        <v>79</v>
      </c>
      <c r="D194" s="6">
        <v>2014</v>
      </c>
      <c r="E194" s="8">
        <v>28633</v>
      </c>
      <c r="F194" s="8">
        <v>31000</v>
      </c>
      <c r="G194" s="8">
        <f t="shared" ref="G194:G257" si="12">IF(OR(F194="",E194=""),"",F194-E194)</f>
        <v>2367</v>
      </c>
      <c r="H194" s="6">
        <v>80000</v>
      </c>
      <c r="I194" t="s">
        <v>41</v>
      </c>
      <c r="J194" t="s">
        <v>35</v>
      </c>
      <c r="K194" t="s">
        <v>1647</v>
      </c>
      <c r="L194" t="s">
        <v>73</v>
      </c>
      <c r="M194" t="s">
        <v>126</v>
      </c>
      <c r="N194" s="6">
        <v>0</v>
      </c>
      <c r="O194" t="str">
        <f t="shared" ref="O194:O257" si="13">IF(E194&lt;1000,"Outlier","Normal")</f>
        <v>Normal</v>
      </c>
      <c r="P194" t="str">
        <f t="shared" ref="P194:P257" si="14">IF(COUNTIF($A$2:$A$2501,A194)&gt;1,"Duplicate ID","Unique ID")</f>
        <v>Duplicate ID</v>
      </c>
      <c r="Q194" t="str">
        <f t="shared" ref="Q194:Q257" si="15">IF(E194&lt;5000,"0-4,999",IF(E194&lt;10000,"5,000-9,999",IF(E194&lt;15000,"10,000-14,999",IF(E194&lt;20000,"15,000-19,999",IF(E194&lt;25000,"20,000-24,999","25,000-30,000")))))</f>
        <v>25,000-30,000</v>
      </c>
      <c r="R194" s="6">
        <f>IF(COUNTIF($A$2:A194,A194)=1,1,0)</f>
        <v>1</v>
      </c>
    </row>
    <row r="195" spans="1:18" x14ac:dyDescent="0.25">
      <c r="A195" s="6">
        <v>1183</v>
      </c>
      <c r="B195" s="7">
        <v>44504</v>
      </c>
      <c r="C195" t="s">
        <v>119</v>
      </c>
      <c r="D195" s="6">
        <v>2014</v>
      </c>
      <c r="E195" s="8">
        <v>26863</v>
      </c>
      <c r="F195" s="8">
        <v>31000</v>
      </c>
      <c r="G195" s="8">
        <f t="shared" si="12"/>
        <v>4137</v>
      </c>
      <c r="H195" s="6">
        <v>40000</v>
      </c>
      <c r="I195" t="s">
        <v>34</v>
      </c>
      <c r="J195" t="s">
        <v>35</v>
      </c>
      <c r="K195" t="s">
        <v>96</v>
      </c>
      <c r="L195" t="s">
        <v>100</v>
      </c>
      <c r="M195" t="s">
        <v>98</v>
      </c>
      <c r="N195" s="6">
        <v>2</v>
      </c>
      <c r="O195" t="str">
        <f t="shared" si="13"/>
        <v>Normal</v>
      </c>
      <c r="P195" t="str">
        <f t="shared" si="14"/>
        <v>Duplicate ID</v>
      </c>
      <c r="Q195" t="str">
        <f t="shared" si="15"/>
        <v>25,000-30,000</v>
      </c>
      <c r="R195" s="6">
        <f>IF(COUNTIF($A$2:A195,A195)=1,1,0)</f>
        <v>0</v>
      </c>
    </row>
    <row r="196" spans="1:18" x14ac:dyDescent="0.25">
      <c r="A196" s="6">
        <v>1183</v>
      </c>
      <c r="B196" s="7">
        <v>44304</v>
      </c>
      <c r="C196" t="s">
        <v>119</v>
      </c>
      <c r="D196" s="6">
        <v>2015</v>
      </c>
      <c r="E196" s="8">
        <v>16888</v>
      </c>
      <c r="F196" s="8">
        <v>22000</v>
      </c>
      <c r="G196" s="8">
        <f t="shared" si="12"/>
        <v>5112</v>
      </c>
      <c r="H196" s="6">
        <v>15000</v>
      </c>
      <c r="I196" t="s">
        <v>34</v>
      </c>
      <c r="J196" t="s">
        <v>35</v>
      </c>
      <c r="K196" t="s">
        <v>96</v>
      </c>
      <c r="L196" t="s">
        <v>54</v>
      </c>
      <c r="M196" t="s">
        <v>45</v>
      </c>
      <c r="N196" s="6">
        <v>2</v>
      </c>
      <c r="O196" t="str">
        <f t="shared" si="13"/>
        <v>Normal</v>
      </c>
      <c r="P196" t="str">
        <f t="shared" si="14"/>
        <v>Duplicate ID</v>
      </c>
      <c r="Q196" t="str">
        <f t="shared" si="15"/>
        <v>15,000-19,999</v>
      </c>
      <c r="R196" s="6">
        <f>IF(COUNTIF($A$2:A196,A196)=1,1,0)</f>
        <v>0</v>
      </c>
    </row>
    <row r="197" spans="1:18" x14ac:dyDescent="0.25">
      <c r="A197" s="6">
        <v>1298</v>
      </c>
      <c r="B197" s="7">
        <v>44607</v>
      </c>
      <c r="C197" t="s">
        <v>40</v>
      </c>
      <c r="D197" s="6">
        <v>2022</v>
      </c>
      <c r="E197" s="8">
        <v>26978</v>
      </c>
      <c r="F197" s="8">
        <v>31000</v>
      </c>
      <c r="G197" s="8">
        <f t="shared" si="12"/>
        <v>4022</v>
      </c>
      <c r="H197" s="6">
        <v>15000</v>
      </c>
      <c r="I197" t="s">
        <v>1647</v>
      </c>
      <c r="J197" t="s">
        <v>72</v>
      </c>
      <c r="K197" t="s">
        <v>1647</v>
      </c>
      <c r="L197" t="s">
        <v>48</v>
      </c>
      <c r="M197" t="s">
        <v>90</v>
      </c>
      <c r="N197" s="6" t="s">
        <v>1647</v>
      </c>
      <c r="O197" t="str">
        <f t="shared" si="13"/>
        <v>Normal</v>
      </c>
      <c r="P197" t="str">
        <f t="shared" si="14"/>
        <v>Duplicate ID</v>
      </c>
      <c r="Q197" t="str">
        <f t="shared" si="15"/>
        <v>25,000-30,000</v>
      </c>
      <c r="R197" s="6">
        <f>IF(COUNTIF($A$2:A197,A197)=1,1,0)</f>
        <v>1</v>
      </c>
    </row>
    <row r="198" spans="1:18" x14ac:dyDescent="0.25">
      <c r="A198" s="6">
        <v>1554</v>
      </c>
      <c r="B198" s="7">
        <v>44674</v>
      </c>
      <c r="C198" t="s">
        <v>119</v>
      </c>
      <c r="D198" s="6">
        <v>2016</v>
      </c>
      <c r="E198" s="8">
        <v>5805</v>
      </c>
      <c r="F198" s="8">
        <v>7000</v>
      </c>
      <c r="G198" s="8">
        <f t="shared" si="12"/>
        <v>1195</v>
      </c>
      <c r="H198" s="6">
        <v>60000</v>
      </c>
      <c r="I198" t="s">
        <v>69</v>
      </c>
      <c r="J198" t="s">
        <v>35</v>
      </c>
      <c r="K198" t="s">
        <v>96</v>
      </c>
      <c r="L198" t="s">
        <v>54</v>
      </c>
      <c r="M198" t="s">
        <v>126</v>
      </c>
      <c r="N198" s="6">
        <v>1</v>
      </c>
      <c r="O198" t="str">
        <f t="shared" si="13"/>
        <v>Normal</v>
      </c>
      <c r="P198" t="str">
        <f t="shared" si="14"/>
        <v>Duplicate ID</v>
      </c>
      <c r="Q198" t="str">
        <f t="shared" si="15"/>
        <v>5,000-9,999</v>
      </c>
      <c r="R198" s="6">
        <f>IF(COUNTIF($A$2:A198,A198)=1,1,0)</f>
        <v>0</v>
      </c>
    </row>
    <row r="199" spans="1:18" x14ac:dyDescent="0.25">
      <c r="A199" s="6">
        <v>1095</v>
      </c>
      <c r="B199" s="7">
        <v>44770</v>
      </c>
      <c r="C199" t="s">
        <v>119</v>
      </c>
      <c r="D199" s="6">
        <v>2020</v>
      </c>
      <c r="E199" s="8">
        <v>28834</v>
      </c>
      <c r="F199" s="8">
        <v>31000</v>
      </c>
      <c r="G199" s="8">
        <f t="shared" si="12"/>
        <v>2166</v>
      </c>
      <c r="H199" s="6">
        <v>15000</v>
      </c>
      <c r="I199" t="s">
        <v>34</v>
      </c>
      <c r="J199" t="s">
        <v>72</v>
      </c>
      <c r="K199" t="s">
        <v>96</v>
      </c>
      <c r="L199" t="s">
        <v>73</v>
      </c>
      <c r="M199" t="s">
        <v>126</v>
      </c>
      <c r="N199" s="6" t="s">
        <v>1647</v>
      </c>
      <c r="O199" t="str">
        <f t="shared" si="13"/>
        <v>Normal</v>
      </c>
      <c r="P199" t="str">
        <f t="shared" si="14"/>
        <v>Duplicate ID</v>
      </c>
      <c r="Q199" t="str">
        <f t="shared" si="15"/>
        <v>25,000-30,000</v>
      </c>
      <c r="R199" s="6">
        <f>IF(COUNTIF($A$2:A199,A199)=1,1,0)</f>
        <v>0</v>
      </c>
    </row>
    <row r="200" spans="1:18" x14ac:dyDescent="0.25">
      <c r="A200" s="6">
        <v>1063</v>
      </c>
      <c r="B200" s="7">
        <v>45359</v>
      </c>
      <c r="C200" t="s">
        <v>32</v>
      </c>
      <c r="D200" s="6">
        <v>2018</v>
      </c>
      <c r="E200" s="8">
        <v>20152</v>
      </c>
      <c r="F200" s="8">
        <v>26000</v>
      </c>
      <c r="G200" s="8">
        <f t="shared" si="12"/>
        <v>5848</v>
      </c>
      <c r="H200" s="6">
        <v>15000</v>
      </c>
      <c r="I200" t="s">
        <v>69</v>
      </c>
      <c r="J200" t="s">
        <v>72</v>
      </c>
      <c r="K200" t="s">
        <v>96</v>
      </c>
      <c r="L200" t="s">
        <v>54</v>
      </c>
      <c r="M200" t="s">
        <v>45</v>
      </c>
      <c r="N200" s="6">
        <v>3</v>
      </c>
      <c r="O200" t="str">
        <f t="shared" si="13"/>
        <v>Normal</v>
      </c>
      <c r="P200" t="str">
        <f t="shared" si="14"/>
        <v>Duplicate ID</v>
      </c>
      <c r="Q200" t="str">
        <f t="shared" si="15"/>
        <v>20,000-24,999</v>
      </c>
      <c r="R200" s="6">
        <f>IF(COUNTIF($A$2:A200,A200)=1,1,0)</f>
        <v>1</v>
      </c>
    </row>
    <row r="201" spans="1:18" x14ac:dyDescent="0.25">
      <c r="A201" s="6">
        <v>1111</v>
      </c>
      <c r="B201" s="7">
        <v>45394</v>
      </c>
      <c r="C201" t="s">
        <v>119</v>
      </c>
      <c r="D201" s="6">
        <v>2017</v>
      </c>
      <c r="E201" s="8">
        <v>6885</v>
      </c>
      <c r="F201" s="8">
        <v>9000</v>
      </c>
      <c r="G201" s="8">
        <f t="shared" si="12"/>
        <v>2115</v>
      </c>
      <c r="H201" s="6">
        <v>25000</v>
      </c>
      <c r="I201" t="s">
        <v>34</v>
      </c>
      <c r="J201" t="s">
        <v>35</v>
      </c>
      <c r="K201" t="s">
        <v>1647</v>
      </c>
      <c r="L201" t="s">
        <v>54</v>
      </c>
      <c r="M201" t="s">
        <v>90</v>
      </c>
      <c r="N201" s="6">
        <v>3</v>
      </c>
      <c r="O201" t="str">
        <f t="shared" si="13"/>
        <v>Normal</v>
      </c>
      <c r="P201" t="str">
        <f t="shared" si="14"/>
        <v>Duplicate ID</v>
      </c>
      <c r="Q201" t="str">
        <f t="shared" si="15"/>
        <v>5,000-9,999</v>
      </c>
      <c r="R201" s="6">
        <f>IF(COUNTIF($A$2:A201,A201)=1,1,0)</f>
        <v>1</v>
      </c>
    </row>
    <row r="202" spans="1:18" x14ac:dyDescent="0.25">
      <c r="A202" s="6">
        <v>1311</v>
      </c>
      <c r="B202" s="7">
        <v>44519</v>
      </c>
      <c r="C202" t="s">
        <v>51</v>
      </c>
      <c r="D202" s="6">
        <v>2021</v>
      </c>
      <c r="E202" s="8">
        <v>16260</v>
      </c>
      <c r="F202" s="8">
        <v>18000</v>
      </c>
      <c r="G202" s="8">
        <f t="shared" si="12"/>
        <v>1740</v>
      </c>
      <c r="H202" s="6">
        <v>15000</v>
      </c>
      <c r="I202" t="s">
        <v>69</v>
      </c>
      <c r="J202" t="s">
        <v>35</v>
      </c>
      <c r="K202" t="s">
        <v>36</v>
      </c>
      <c r="L202" t="s">
        <v>100</v>
      </c>
      <c r="M202" t="s">
        <v>45</v>
      </c>
      <c r="N202" s="6">
        <v>3</v>
      </c>
      <c r="O202" t="str">
        <f t="shared" si="13"/>
        <v>Normal</v>
      </c>
      <c r="P202" t="str">
        <f t="shared" si="14"/>
        <v>Duplicate ID</v>
      </c>
      <c r="Q202" t="str">
        <f t="shared" si="15"/>
        <v>15,000-19,999</v>
      </c>
      <c r="R202" s="6">
        <f>IF(COUNTIF($A$2:A202,A202)=1,1,0)</f>
        <v>1</v>
      </c>
    </row>
    <row r="203" spans="1:18" x14ac:dyDescent="0.25">
      <c r="A203" s="6">
        <v>1414</v>
      </c>
      <c r="B203" s="7">
        <v>44260</v>
      </c>
      <c r="C203" t="s">
        <v>40</v>
      </c>
      <c r="D203" s="6">
        <v>2018</v>
      </c>
      <c r="E203" s="8">
        <v>15576</v>
      </c>
      <c r="F203" s="8">
        <v>18000</v>
      </c>
      <c r="G203" s="8">
        <f t="shared" si="12"/>
        <v>2424</v>
      </c>
      <c r="H203" s="6">
        <v>40000</v>
      </c>
      <c r="I203" t="s">
        <v>41</v>
      </c>
      <c r="J203" t="s">
        <v>72</v>
      </c>
      <c r="K203" t="s">
        <v>36</v>
      </c>
      <c r="L203" t="s">
        <v>100</v>
      </c>
      <c r="M203" t="s">
        <v>126</v>
      </c>
      <c r="N203" s="6">
        <v>0</v>
      </c>
      <c r="O203" t="str">
        <f t="shared" si="13"/>
        <v>Normal</v>
      </c>
      <c r="P203" t="str">
        <f t="shared" si="14"/>
        <v>Duplicate ID</v>
      </c>
      <c r="Q203" t="str">
        <f t="shared" si="15"/>
        <v>15,000-19,999</v>
      </c>
      <c r="R203" s="6">
        <f>IF(COUNTIF($A$2:A203,A203)=1,1,0)</f>
        <v>1</v>
      </c>
    </row>
    <row r="204" spans="1:18" x14ac:dyDescent="0.25">
      <c r="A204" s="6">
        <v>1086</v>
      </c>
      <c r="B204" s="7">
        <v>44959</v>
      </c>
      <c r="C204" t="s">
        <v>40</v>
      </c>
      <c r="D204" s="6">
        <v>2017</v>
      </c>
      <c r="E204" s="8">
        <v>7719</v>
      </c>
      <c r="F204" s="8">
        <v>12000</v>
      </c>
      <c r="G204" s="8">
        <f t="shared" si="12"/>
        <v>4281</v>
      </c>
      <c r="H204" s="6">
        <v>25000</v>
      </c>
      <c r="I204" t="s">
        <v>41</v>
      </c>
      <c r="J204" t="s">
        <v>35</v>
      </c>
      <c r="K204" t="s">
        <v>36</v>
      </c>
      <c r="L204" t="s">
        <v>48</v>
      </c>
      <c r="M204" t="s">
        <v>90</v>
      </c>
      <c r="N204" s="6">
        <v>0</v>
      </c>
      <c r="O204" t="str">
        <f t="shared" si="13"/>
        <v>Normal</v>
      </c>
      <c r="P204" t="str">
        <f t="shared" si="14"/>
        <v>Duplicate ID</v>
      </c>
      <c r="Q204" t="str">
        <f t="shared" si="15"/>
        <v>5,000-9,999</v>
      </c>
      <c r="R204" s="6">
        <f>IF(COUNTIF($A$2:A204,A204)=1,1,0)</f>
        <v>1</v>
      </c>
    </row>
    <row r="205" spans="1:18" x14ac:dyDescent="0.25">
      <c r="A205" s="6">
        <v>1587</v>
      </c>
      <c r="B205" s="7">
        <v>44541</v>
      </c>
      <c r="C205" t="s">
        <v>51</v>
      </c>
      <c r="D205" s="6">
        <v>2015</v>
      </c>
      <c r="E205" s="8">
        <v>5586</v>
      </c>
      <c r="F205" s="8">
        <v>7000</v>
      </c>
      <c r="G205" s="8">
        <f t="shared" si="12"/>
        <v>1414</v>
      </c>
      <c r="H205" s="6">
        <v>60000</v>
      </c>
      <c r="I205" t="s">
        <v>34</v>
      </c>
      <c r="J205" t="s">
        <v>72</v>
      </c>
      <c r="K205" t="s">
        <v>36</v>
      </c>
      <c r="L205" t="s">
        <v>54</v>
      </c>
      <c r="M205" t="s">
        <v>90</v>
      </c>
      <c r="N205" s="6">
        <v>1</v>
      </c>
      <c r="O205" t="str">
        <f t="shared" si="13"/>
        <v>Normal</v>
      </c>
      <c r="P205" t="str">
        <f t="shared" si="14"/>
        <v>Duplicate ID</v>
      </c>
      <c r="Q205" t="str">
        <f t="shared" si="15"/>
        <v>5,000-9,999</v>
      </c>
      <c r="R205" s="6">
        <f>IF(COUNTIF($A$2:A205,A205)=1,1,0)</f>
        <v>1</v>
      </c>
    </row>
    <row r="206" spans="1:18" x14ac:dyDescent="0.25">
      <c r="A206" s="6">
        <v>1302</v>
      </c>
      <c r="B206" s="7">
        <v>44700</v>
      </c>
      <c r="C206" t="s">
        <v>119</v>
      </c>
      <c r="D206" s="6">
        <v>2018</v>
      </c>
      <c r="E206" s="8">
        <v>29717</v>
      </c>
      <c r="F206" s="8">
        <v>31000</v>
      </c>
      <c r="G206" s="8">
        <f t="shared" si="12"/>
        <v>1283</v>
      </c>
      <c r="H206" s="6">
        <v>25000</v>
      </c>
      <c r="I206" t="s">
        <v>41</v>
      </c>
      <c r="J206" t="s">
        <v>72</v>
      </c>
      <c r="K206" t="s">
        <v>96</v>
      </c>
      <c r="L206" t="s">
        <v>100</v>
      </c>
      <c r="M206" t="s">
        <v>98</v>
      </c>
      <c r="N206" s="6">
        <v>1</v>
      </c>
      <c r="O206" t="str">
        <f t="shared" si="13"/>
        <v>Normal</v>
      </c>
      <c r="P206" t="str">
        <f t="shared" si="14"/>
        <v>Duplicate ID</v>
      </c>
      <c r="Q206" t="str">
        <f t="shared" si="15"/>
        <v>25,000-30,000</v>
      </c>
      <c r="R206" s="6">
        <f>IF(COUNTIF($A$2:A206,A206)=1,1,0)</f>
        <v>1</v>
      </c>
    </row>
    <row r="207" spans="1:18" x14ac:dyDescent="0.25">
      <c r="A207" s="6">
        <v>1491</v>
      </c>
      <c r="B207" s="7">
        <v>44932</v>
      </c>
      <c r="C207" t="s">
        <v>119</v>
      </c>
      <c r="D207" s="6">
        <v>2018</v>
      </c>
      <c r="E207" s="8">
        <v>157</v>
      </c>
      <c r="F207" s="8">
        <v>7000</v>
      </c>
      <c r="G207" s="8">
        <f t="shared" si="12"/>
        <v>6843</v>
      </c>
      <c r="H207" s="6">
        <v>60000</v>
      </c>
      <c r="I207" t="s">
        <v>69</v>
      </c>
      <c r="J207" t="s">
        <v>72</v>
      </c>
      <c r="K207" t="s">
        <v>96</v>
      </c>
      <c r="L207" t="s">
        <v>100</v>
      </c>
      <c r="M207" t="s">
        <v>126</v>
      </c>
      <c r="N207" s="6">
        <v>2</v>
      </c>
      <c r="O207" t="str">
        <f t="shared" si="13"/>
        <v>Outlier</v>
      </c>
      <c r="P207" t="str">
        <f t="shared" si="14"/>
        <v>Duplicate ID</v>
      </c>
      <c r="Q207" t="str">
        <f t="shared" si="15"/>
        <v>0-4,999</v>
      </c>
      <c r="R207" s="6">
        <f>IF(COUNTIF($A$2:A207,A207)=1,1,0)</f>
        <v>0</v>
      </c>
    </row>
    <row r="208" spans="1:18" x14ac:dyDescent="0.25">
      <c r="A208" s="6">
        <v>1366</v>
      </c>
      <c r="B208" s="7">
        <v>45281</v>
      </c>
      <c r="C208" t="s">
        <v>119</v>
      </c>
      <c r="D208" s="6">
        <v>2014</v>
      </c>
      <c r="E208" s="8">
        <v>13136</v>
      </c>
      <c r="F208" s="8">
        <v>18000</v>
      </c>
      <c r="G208" s="8">
        <f t="shared" si="12"/>
        <v>4864</v>
      </c>
      <c r="H208" s="6">
        <v>15000</v>
      </c>
      <c r="I208" t="s">
        <v>41</v>
      </c>
      <c r="J208" t="s">
        <v>35</v>
      </c>
      <c r="K208" t="s">
        <v>36</v>
      </c>
      <c r="L208" t="s">
        <v>54</v>
      </c>
      <c r="M208" t="s">
        <v>1647</v>
      </c>
      <c r="N208" s="6">
        <v>0</v>
      </c>
      <c r="O208" t="str">
        <f t="shared" si="13"/>
        <v>Normal</v>
      </c>
      <c r="P208" t="str">
        <f t="shared" si="14"/>
        <v>Duplicate ID</v>
      </c>
      <c r="Q208" t="str">
        <f t="shared" si="15"/>
        <v>10,000-14,999</v>
      </c>
      <c r="R208" s="6">
        <f>IF(COUNTIF($A$2:A208,A208)=1,1,0)</f>
        <v>1</v>
      </c>
    </row>
    <row r="209" spans="1:18" x14ac:dyDescent="0.25">
      <c r="A209" s="6">
        <v>1242</v>
      </c>
      <c r="B209" s="7">
        <v>44557</v>
      </c>
      <c r="C209" t="s">
        <v>119</v>
      </c>
      <c r="D209" s="6"/>
      <c r="E209" s="8">
        <v>23577</v>
      </c>
      <c r="F209" s="8">
        <v>26000</v>
      </c>
      <c r="G209" s="8">
        <f t="shared" si="12"/>
        <v>2423</v>
      </c>
      <c r="H209" s="6">
        <v>40000</v>
      </c>
      <c r="I209" t="s">
        <v>41</v>
      </c>
      <c r="J209" t="s">
        <v>72</v>
      </c>
      <c r="K209" t="s">
        <v>1647</v>
      </c>
      <c r="L209" t="s">
        <v>100</v>
      </c>
      <c r="M209" t="s">
        <v>90</v>
      </c>
      <c r="N209" s="6">
        <v>3</v>
      </c>
      <c r="O209" t="str">
        <f t="shared" si="13"/>
        <v>Normal</v>
      </c>
      <c r="P209" t="str">
        <f t="shared" si="14"/>
        <v>Duplicate ID</v>
      </c>
      <c r="Q209" t="str">
        <f t="shared" si="15"/>
        <v>20,000-24,999</v>
      </c>
      <c r="R209" s="6">
        <f>IF(COUNTIF($A$2:A209,A209)=1,1,0)</f>
        <v>1</v>
      </c>
    </row>
    <row r="210" spans="1:18" x14ac:dyDescent="0.25">
      <c r="A210" s="6">
        <v>1238</v>
      </c>
      <c r="B210" s="7">
        <v>44312</v>
      </c>
      <c r="C210" t="s">
        <v>51</v>
      </c>
      <c r="D210" s="6">
        <v>2016</v>
      </c>
      <c r="E210" s="8">
        <v>29261</v>
      </c>
      <c r="F210" s="8">
        <v>31000</v>
      </c>
      <c r="G210" s="8">
        <f t="shared" si="12"/>
        <v>1739</v>
      </c>
      <c r="H210" s="6">
        <v>15000</v>
      </c>
      <c r="I210" t="s">
        <v>69</v>
      </c>
      <c r="J210" t="s">
        <v>1647</v>
      </c>
      <c r="K210" t="s">
        <v>36</v>
      </c>
      <c r="L210" t="s">
        <v>100</v>
      </c>
      <c r="M210" t="s">
        <v>45</v>
      </c>
      <c r="N210" s="6">
        <v>1</v>
      </c>
      <c r="O210" t="str">
        <f t="shared" si="13"/>
        <v>Normal</v>
      </c>
      <c r="P210" t="str">
        <f t="shared" si="14"/>
        <v>Duplicate ID</v>
      </c>
      <c r="Q210" t="str">
        <f t="shared" si="15"/>
        <v>25,000-30,000</v>
      </c>
      <c r="R210" s="6">
        <f>IF(COUNTIF($A$2:A210,A210)=1,1,0)</f>
        <v>1</v>
      </c>
    </row>
    <row r="211" spans="1:18" x14ac:dyDescent="0.25">
      <c r="A211" s="6">
        <v>1113</v>
      </c>
      <c r="B211" s="7">
        <v>44487</v>
      </c>
      <c r="C211" t="s">
        <v>51</v>
      </c>
      <c r="D211" s="6">
        <v>2014</v>
      </c>
      <c r="E211" s="8">
        <v>1195</v>
      </c>
      <c r="F211" s="8">
        <v>7000</v>
      </c>
      <c r="G211" s="8">
        <f t="shared" si="12"/>
        <v>5805</v>
      </c>
      <c r="H211" s="6">
        <v>25000</v>
      </c>
      <c r="I211" t="s">
        <v>69</v>
      </c>
      <c r="J211" t="s">
        <v>72</v>
      </c>
      <c r="K211" t="s">
        <v>1647</v>
      </c>
      <c r="L211" t="s">
        <v>73</v>
      </c>
      <c r="M211" t="s">
        <v>45</v>
      </c>
      <c r="N211" s="6">
        <v>2</v>
      </c>
      <c r="O211" t="str">
        <f t="shared" si="13"/>
        <v>Normal</v>
      </c>
      <c r="P211" t="str">
        <f t="shared" si="14"/>
        <v>Duplicate ID</v>
      </c>
      <c r="Q211" t="str">
        <f t="shared" si="15"/>
        <v>0-4,999</v>
      </c>
      <c r="R211" s="6">
        <f>IF(COUNTIF($A$2:A211,A211)=1,1,0)</f>
        <v>1</v>
      </c>
    </row>
    <row r="212" spans="1:18" x14ac:dyDescent="0.25">
      <c r="A212" s="6">
        <v>1324</v>
      </c>
      <c r="B212" s="7">
        <v>45194</v>
      </c>
      <c r="C212" t="s">
        <v>51</v>
      </c>
      <c r="D212" s="6">
        <v>2016</v>
      </c>
      <c r="E212" s="8">
        <v>7422</v>
      </c>
      <c r="F212" s="8">
        <v>12000</v>
      </c>
      <c r="G212" s="8">
        <f t="shared" si="12"/>
        <v>4578</v>
      </c>
      <c r="H212" s="6">
        <v>120000</v>
      </c>
      <c r="I212" t="s">
        <v>69</v>
      </c>
      <c r="J212" t="s">
        <v>35</v>
      </c>
      <c r="K212" t="s">
        <v>1647</v>
      </c>
      <c r="L212" t="s">
        <v>100</v>
      </c>
      <c r="M212" t="s">
        <v>98</v>
      </c>
      <c r="N212" s="6">
        <v>2</v>
      </c>
      <c r="O212" t="str">
        <f t="shared" si="13"/>
        <v>Normal</v>
      </c>
      <c r="P212" t="str">
        <f t="shared" si="14"/>
        <v>Duplicate ID</v>
      </c>
      <c r="Q212" t="str">
        <f t="shared" si="15"/>
        <v>5,000-9,999</v>
      </c>
      <c r="R212" s="6">
        <f>IF(COUNTIF($A$2:A212,A212)=1,1,0)</f>
        <v>1</v>
      </c>
    </row>
    <row r="213" spans="1:18" x14ac:dyDescent="0.25">
      <c r="A213" s="6">
        <v>1400</v>
      </c>
      <c r="B213" s="7">
        <v>45370</v>
      </c>
      <c r="C213" t="s">
        <v>51</v>
      </c>
      <c r="D213" s="6">
        <v>2016</v>
      </c>
      <c r="E213" s="8">
        <v>10986</v>
      </c>
      <c r="F213" s="8">
        <v>12000</v>
      </c>
      <c r="G213" s="8">
        <f t="shared" si="12"/>
        <v>1014</v>
      </c>
      <c r="H213" s="6">
        <v>120000</v>
      </c>
      <c r="I213" t="s">
        <v>58</v>
      </c>
      <c r="J213" t="s">
        <v>1647</v>
      </c>
      <c r="K213" t="s">
        <v>96</v>
      </c>
      <c r="L213" t="s">
        <v>100</v>
      </c>
      <c r="M213" t="s">
        <v>126</v>
      </c>
      <c r="N213" s="6">
        <v>3</v>
      </c>
      <c r="O213" t="str">
        <f t="shared" si="13"/>
        <v>Normal</v>
      </c>
      <c r="P213" t="str">
        <f t="shared" si="14"/>
        <v>Duplicate ID</v>
      </c>
      <c r="Q213" t="str">
        <f t="shared" si="15"/>
        <v>10,000-14,999</v>
      </c>
      <c r="R213" s="6">
        <f>IF(COUNTIF($A$2:A213,A213)=1,1,0)</f>
        <v>1</v>
      </c>
    </row>
    <row r="214" spans="1:18" x14ac:dyDescent="0.25">
      <c r="A214" s="6">
        <v>1171</v>
      </c>
      <c r="B214" s="7">
        <v>44851</v>
      </c>
      <c r="C214" t="s">
        <v>32</v>
      </c>
      <c r="D214" s="6">
        <v>2019</v>
      </c>
      <c r="E214" s="8">
        <v>5159</v>
      </c>
      <c r="F214" s="8">
        <v>9000</v>
      </c>
      <c r="G214" s="8">
        <f t="shared" si="12"/>
        <v>3841</v>
      </c>
      <c r="H214" s="6">
        <v>25000</v>
      </c>
      <c r="I214" t="s">
        <v>69</v>
      </c>
      <c r="J214" t="s">
        <v>72</v>
      </c>
      <c r="K214" t="s">
        <v>36</v>
      </c>
      <c r="L214" t="s">
        <v>54</v>
      </c>
      <c r="M214" t="s">
        <v>90</v>
      </c>
      <c r="N214" s="6">
        <v>1</v>
      </c>
      <c r="O214" t="str">
        <f t="shared" si="13"/>
        <v>Normal</v>
      </c>
      <c r="P214" t="str">
        <f t="shared" si="14"/>
        <v>Duplicate ID</v>
      </c>
      <c r="Q214" t="str">
        <f t="shared" si="15"/>
        <v>5,000-9,999</v>
      </c>
      <c r="R214" s="6">
        <f>IF(COUNTIF($A$2:A214,A214)=1,1,0)</f>
        <v>1</v>
      </c>
    </row>
    <row r="215" spans="1:18" x14ac:dyDescent="0.25">
      <c r="A215" s="6">
        <v>1049</v>
      </c>
      <c r="B215" s="7">
        <v>44199</v>
      </c>
      <c r="C215" t="s">
        <v>40</v>
      </c>
      <c r="D215" s="6">
        <v>2019</v>
      </c>
      <c r="E215" s="8">
        <v>11099</v>
      </c>
      <c r="F215" s="8">
        <v>18000</v>
      </c>
      <c r="G215" s="8">
        <f t="shared" si="12"/>
        <v>6901</v>
      </c>
      <c r="H215" s="6">
        <v>15000</v>
      </c>
      <c r="I215" t="s">
        <v>34</v>
      </c>
      <c r="J215" t="s">
        <v>72</v>
      </c>
      <c r="K215" t="s">
        <v>96</v>
      </c>
      <c r="L215" t="s">
        <v>54</v>
      </c>
      <c r="M215" t="s">
        <v>1647</v>
      </c>
      <c r="N215" s="6">
        <v>3</v>
      </c>
      <c r="O215" t="str">
        <f t="shared" si="13"/>
        <v>Normal</v>
      </c>
      <c r="P215" t="str">
        <f t="shared" si="14"/>
        <v>Duplicate ID</v>
      </c>
      <c r="Q215" t="str">
        <f t="shared" si="15"/>
        <v>10,000-14,999</v>
      </c>
      <c r="R215" s="6">
        <f>IF(COUNTIF($A$2:A215,A215)=1,1,0)</f>
        <v>1</v>
      </c>
    </row>
    <row r="216" spans="1:18" x14ac:dyDescent="0.25">
      <c r="A216" s="6">
        <v>1034</v>
      </c>
      <c r="B216" s="7">
        <v>44347</v>
      </c>
      <c r="C216" t="s">
        <v>32</v>
      </c>
      <c r="D216" s="6">
        <v>2021</v>
      </c>
      <c r="E216" s="8">
        <v>10304</v>
      </c>
      <c r="F216" s="8">
        <v>15000</v>
      </c>
      <c r="G216" s="8">
        <f t="shared" si="12"/>
        <v>4696</v>
      </c>
      <c r="H216" s="6">
        <v>25000</v>
      </c>
      <c r="I216" t="s">
        <v>41</v>
      </c>
      <c r="J216" t="s">
        <v>72</v>
      </c>
      <c r="K216" t="s">
        <v>36</v>
      </c>
      <c r="L216" t="s">
        <v>48</v>
      </c>
      <c r="M216" t="s">
        <v>90</v>
      </c>
      <c r="N216" s="6">
        <v>0</v>
      </c>
      <c r="O216" t="str">
        <f t="shared" si="13"/>
        <v>Normal</v>
      </c>
      <c r="P216" t="str">
        <f t="shared" si="14"/>
        <v>Duplicate ID</v>
      </c>
      <c r="Q216" t="str">
        <f t="shared" si="15"/>
        <v>10,000-14,999</v>
      </c>
      <c r="R216" s="6">
        <f>IF(COUNTIF($A$2:A216,A216)=1,1,0)</f>
        <v>1</v>
      </c>
    </row>
    <row r="217" spans="1:18" x14ac:dyDescent="0.25">
      <c r="A217" s="6">
        <v>1168</v>
      </c>
      <c r="B217" s="7">
        <v>45080</v>
      </c>
      <c r="C217" t="s">
        <v>40</v>
      </c>
      <c r="D217" s="6">
        <v>2019</v>
      </c>
      <c r="E217" s="8">
        <v>29747</v>
      </c>
      <c r="F217" s="8">
        <v>31000</v>
      </c>
      <c r="G217" s="8">
        <f t="shared" si="12"/>
        <v>1253</v>
      </c>
      <c r="H217" s="6">
        <v>120000</v>
      </c>
      <c r="I217" t="s">
        <v>69</v>
      </c>
      <c r="J217" t="s">
        <v>35</v>
      </c>
      <c r="K217" t="s">
        <v>36</v>
      </c>
      <c r="L217" t="s">
        <v>48</v>
      </c>
      <c r="M217" t="s">
        <v>1647</v>
      </c>
      <c r="N217" s="6" t="s">
        <v>1647</v>
      </c>
      <c r="O217" t="str">
        <f t="shared" si="13"/>
        <v>Normal</v>
      </c>
      <c r="P217" t="str">
        <f t="shared" si="14"/>
        <v>Duplicate ID</v>
      </c>
      <c r="Q217" t="str">
        <f t="shared" si="15"/>
        <v>25,000-30,000</v>
      </c>
      <c r="R217" s="6">
        <f>IF(COUNTIF($A$2:A217,A217)=1,1,0)</f>
        <v>0</v>
      </c>
    </row>
    <row r="218" spans="1:18" x14ac:dyDescent="0.25">
      <c r="A218" s="6">
        <v>1050</v>
      </c>
      <c r="B218" s="7">
        <v>44393</v>
      </c>
      <c r="C218" t="s">
        <v>119</v>
      </c>
      <c r="D218" s="6">
        <v>2018</v>
      </c>
      <c r="E218" s="8">
        <v>15055</v>
      </c>
      <c r="F218" s="8">
        <v>18000</v>
      </c>
      <c r="G218" s="8">
        <f t="shared" si="12"/>
        <v>2945</v>
      </c>
      <c r="H218" s="6">
        <v>40000</v>
      </c>
      <c r="I218" t="s">
        <v>41</v>
      </c>
      <c r="J218" t="s">
        <v>72</v>
      </c>
      <c r="K218" t="s">
        <v>36</v>
      </c>
      <c r="L218" t="s">
        <v>48</v>
      </c>
      <c r="M218" t="s">
        <v>126</v>
      </c>
      <c r="N218" s="6">
        <v>2</v>
      </c>
      <c r="O218" t="str">
        <f t="shared" si="13"/>
        <v>Normal</v>
      </c>
      <c r="P218" t="str">
        <f t="shared" si="14"/>
        <v>Duplicate ID</v>
      </c>
      <c r="Q218" t="str">
        <f t="shared" si="15"/>
        <v>15,000-19,999</v>
      </c>
      <c r="R218" s="6">
        <f>IF(COUNTIF($A$2:A218,A218)=1,1,0)</f>
        <v>1</v>
      </c>
    </row>
    <row r="219" spans="1:18" x14ac:dyDescent="0.25">
      <c r="A219" s="6">
        <v>1298</v>
      </c>
      <c r="B219" s="7">
        <v>44546</v>
      </c>
      <c r="C219" t="s">
        <v>1648</v>
      </c>
      <c r="D219" s="6">
        <v>2017</v>
      </c>
      <c r="E219" s="8">
        <v>6305</v>
      </c>
      <c r="F219" s="8">
        <v>9000</v>
      </c>
      <c r="G219" s="8">
        <f t="shared" si="12"/>
        <v>2695</v>
      </c>
      <c r="H219" s="6">
        <v>15000</v>
      </c>
      <c r="I219" t="s">
        <v>34</v>
      </c>
      <c r="J219" t="s">
        <v>72</v>
      </c>
      <c r="K219" t="s">
        <v>96</v>
      </c>
      <c r="L219" t="s">
        <v>54</v>
      </c>
      <c r="M219" t="s">
        <v>126</v>
      </c>
      <c r="N219" s="6" t="s">
        <v>1647</v>
      </c>
      <c r="O219" t="str">
        <f t="shared" si="13"/>
        <v>Normal</v>
      </c>
      <c r="P219" t="str">
        <f t="shared" si="14"/>
        <v>Duplicate ID</v>
      </c>
      <c r="Q219" t="str">
        <f t="shared" si="15"/>
        <v>5,000-9,999</v>
      </c>
      <c r="R219" s="6">
        <f>IF(COUNTIF($A$2:A219,A219)=1,1,0)</f>
        <v>0</v>
      </c>
    </row>
    <row r="220" spans="1:18" x14ac:dyDescent="0.25">
      <c r="A220" s="6">
        <v>1456</v>
      </c>
      <c r="B220" s="7">
        <v>44579</v>
      </c>
      <c r="C220" t="s">
        <v>79</v>
      </c>
      <c r="D220" s="6">
        <v>2016</v>
      </c>
      <c r="E220" s="8">
        <v>17974</v>
      </c>
      <c r="F220" s="8">
        <v>22000</v>
      </c>
      <c r="G220" s="8">
        <f t="shared" si="12"/>
        <v>4026</v>
      </c>
      <c r="H220" s="6">
        <v>60000</v>
      </c>
      <c r="I220" t="s">
        <v>69</v>
      </c>
      <c r="J220" t="s">
        <v>1647</v>
      </c>
      <c r="K220" t="s">
        <v>36</v>
      </c>
      <c r="L220" t="s">
        <v>100</v>
      </c>
      <c r="M220" t="s">
        <v>126</v>
      </c>
      <c r="N220" s="6">
        <v>0</v>
      </c>
      <c r="O220" t="str">
        <f t="shared" si="13"/>
        <v>Normal</v>
      </c>
      <c r="P220" t="str">
        <f t="shared" si="14"/>
        <v>Duplicate ID</v>
      </c>
      <c r="Q220" t="str">
        <f t="shared" si="15"/>
        <v>15,000-19,999</v>
      </c>
      <c r="R220" s="6">
        <f>IF(COUNTIF($A$2:A220,A220)=1,1,0)</f>
        <v>1</v>
      </c>
    </row>
    <row r="221" spans="1:18" x14ac:dyDescent="0.25">
      <c r="A221" s="6">
        <v>1062</v>
      </c>
      <c r="B221" s="7">
        <v>45330</v>
      </c>
      <c r="C221" t="s">
        <v>79</v>
      </c>
      <c r="D221" s="6">
        <v>2022</v>
      </c>
      <c r="E221" s="8">
        <v>23137</v>
      </c>
      <c r="F221" s="8">
        <v>26000</v>
      </c>
      <c r="G221" s="8">
        <f t="shared" si="12"/>
        <v>2863</v>
      </c>
      <c r="H221" s="6">
        <v>80000</v>
      </c>
      <c r="I221" t="s">
        <v>1647</v>
      </c>
      <c r="J221" t="s">
        <v>1647</v>
      </c>
      <c r="K221" t="s">
        <v>36</v>
      </c>
      <c r="L221" t="s">
        <v>48</v>
      </c>
      <c r="M221" t="s">
        <v>45</v>
      </c>
      <c r="N221" s="6">
        <v>0</v>
      </c>
      <c r="O221" t="str">
        <f t="shared" si="13"/>
        <v>Normal</v>
      </c>
      <c r="P221" t="str">
        <f t="shared" si="14"/>
        <v>Duplicate ID</v>
      </c>
      <c r="Q221" t="str">
        <f t="shared" si="15"/>
        <v>20,000-24,999</v>
      </c>
      <c r="R221" s="6">
        <f>IF(COUNTIF($A$2:A221,A221)=1,1,0)</f>
        <v>0</v>
      </c>
    </row>
    <row r="222" spans="1:18" x14ac:dyDescent="0.25">
      <c r="A222" s="6">
        <v>1171</v>
      </c>
      <c r="B222" s="7">
        <v>44551</v>
      </c>
      <c r="C222" t="s">
        <v>79</v>
      </c>
      <c r="D222" s="6">
        <v>2014</v>
      </c>
      <c r="E222" s="8">
        <v>7322</v>
      </c>
      <c r="F222" s="8">
        <v>12000</v>
      </c>
      <c r="G222" s="8">
        <f t="shared" si="12"/>
        <v>4678</v>
      </c>
      <c r="H222" s="6">
        <v>15000</v>
      </c>
      <c r="I222" t="s">
        <v>34</v>
      </c>
      <c r="J222" t="s">
        <v>35</v>
      </c>
      <c r="K222" t="s">
        <v>96</v>
      </c>
      <c r="L222" t="s">
        <v>100</v>
      </c>
      <c r="M222" t="s">
        <v>90</v>
      </c>
      <c r="N222" s="6" t="s">
        <v>1647</v>
      </c>
      <c r="O222" t="str">
        <f t="shared" si="13"/>
        <v>Normal</v>
      </c>
      <c r="P222" t="str">
        <f t="shared" si="14"/>
        <v>Duplicate ID</v>
      </c>
      <c r="Q222" t="str">
        <f t="shared" si="15"/>
        <v>5,000-9,999</v>
      </c>
      <c r="R222" s="6">
        <f>IF(COUNTIF($A$2:A222,A222)=1,1,0)</f>
        <v>0</v>
      </c>
    </row>
    <row r="223" spans="1:18" x14ac:dyDescent="0.25">
      <c r="A223" s="6">
        <v>1406</v>
      </c>
      <c r="B223" s="7">
        <v>45336</v>
      </c>
      <c r="C223" t="s">
        <v>119</v>
      </c>
      <c r="D223" s="6">
        <v>2019</v>
      </c>
      <c r="E223" s="8">
        <v>4821</v>
      </c>
      <c r="F223" s="8">
        <v>9000</v>
      </c>
      <c r="G223" s="8">
        <f t="shared" si="12"/>
        <v>4179</v>
      </c>
      <c r="H223" s="6">
        <v>15000</v>
      </c>
      <c r="I223" t="s">
        <v>41</v>
      </c>
      <c r="J223" t="s">
        <v>1647</v>
      </c>
      <c r="K223" t="s">
        <v>1647</v>
      </c>
      <c r="L223" t="s">
        <v>1647</v>
      </c>
      <c r="M223" t="s">
        <v>98</v>
      </c>
      <c r="N223" s="6">
        <v>0</v>
      </c>
      <c r="O223" t="str">
        <f t="shared" si="13"/>
        <v>Normal</v>
      </c>
      <c r="P223" t="str">
        <f t="shared" si="14"/>
        <v>Duplicate ID</v>
      </c>
      <c r="Q223" t="str">
        <f t="shared" si="15"/>
        <v>0-4,999</v>
      </c>
      <c r="R223" s="6">
        <f>IF(COUNTIF($A$2:A223,A223)=1,1,0)</f>
        <v>1</v>
      </c>
    </row>
    <row r="224" spans="1:18" x14ac:dyDescent="0.25">
      <c r="A224" s="6">
        <v>1102</v>
      </c>
      <c r="B224" s="7">
        <v>45390</v>
      </c>
      <c r="C224" t="s">
        <v>1648</v>
      </c>
      <c r="D224" s="6">
        <v>2016</v>
      </c>
      <c r="E224" s="8">
        <v>6184</v>
      </c>
      <c r="F224" s="8">
        <v>12000</v>
      </c>
      <c r="G224" s="8">
        <f t="shared" si="12"/>
        <v>5816</v>
      </c>
      <c r="H224" s="6">
        <v>80000</v>
      </c>
      <c r="I224" t="s">
        <v>69</v>
      </c>
      <c r="J224" t="s">
        <v>1647</v>
      </c>
      <c r="K224" t="s">
        <v>96</v>
      </c>
      <c r="L224" t="s">
        <v>48</v>
      </c>
      <c r="M224" t="s">
        <v>45</v>
      </c>
      <c r="N224" s="6">
        <v>3</v>
      </c>
      <c r="O224" t="str">
        <f t="shared" si="13"/>
        <v>Normal</v>
      </c>
      <c r="P224" t="str">
        <f t="shared" si="14"/>
        <v>Duplicate ID</v>
      </c>
      <c r="Q224" t="str">
        <f t="shared" si="15"/>
        <v>5,000-9,999</v>
      </c>
      <c r="R224" s="6">
        <f>IF(COUNTIF($A$2:A224,A224)=1,1,0)</f>
        <v>1</v>
      </c>
    </row>
    <row r="225" spans="1:18" x14ac:dyDescent="0.25">
      <c r="A225" s="6">
        <v>1412</v>
      </c>
      <c r="B225" s="7">
        <v>44761</v>
      </c>
      <c r="C225" t="s">
        <v>1648</v>
      </c>
      <c r="D225" s="6"/>
      <c r="E225" s="8">
        <v>28590</v>
      </c>
      <c r="F225" s="8">
        <v>31000</v>
      </c>
      <c r="G225" s="8">
        <f t="shared" si="12"/>
        <v>2410</v>
      </c>
      <c r="H225" s="6">
        <v>15000</v>
      </c>
      <c r="I225" t="s">
        <v>41</v>
      </c>
      <c r="J225" t="s">
        <v>72</v>
      </c>
      <c r="K225" t="s">
        <v>96</v>
      </c>
      <c r="L225" t="s">
        <v>100</v>
      </c>
      <c r="M225" t="s">
        <v>126</v>
      </c>
      <c r="N225" s="6">
        <v>3</v>
      </c>
      <c r="O225" t="str">
        <f t="shared" si="13"/>
        <v>Normal</v>
      </c>
      <c r="P225" t="str">
        <f t="shared" si="14"/>
        <v>Duplicate ID</v>
      </c>
      <c r="Q225" t="str">
        <f t="shared" si="15"/>
        <v>25,000-30,000</v>
      </c>
      <c r="R225" s="6">
        <f>IF(COUNTIF($A$2:A225,A225)=1,1,0)</f>
        <v>1</v>
      </c>
    </row>
    <row r="226" spans="1:18" x14ac:dyDescent="0.25">
      <c r="A226" s="6">
        <v>1287</v>
      </c>
      <c r="B226" s="7">
        <v>44833</v>
      </c>
      <c r="C226" t="s">
        <v>119</v>
      </c>
      <c r="D226" s="6">
        <v>2019</v>
      </c>
      <c r="E226" s="8">
        <v>3518</v>
      </c>
      <c r="F226" s="8">
        <v>7000</v>
      </c>
      <c r="G226" s="8">
        <f t="shared" si="12"/>
        <v>3482</v>
      </c>
      <c r="H226" s="6">
        <v>40000</v>
      </c>
      <c r="I226" t="s">
        <v>58</v>
      </c>
      <c r="J226" t="s">
        <v>35</v>
      </c>
      <c r="K226" t="s">
        <v>96</v>
      </c>
      <c r="L226" t="s">
        <v>48</v>
      </c>
      <c r="M226" t="s">
        <v>45</v>
      </c>
      <c r="N226" s="6">
        <v>2</v>
      </c>
      <c r="O226" t="str">
        <f t="shared" si="13"/>
        <v>Normal</v>
      </c>
      <c r="P226" t="str">
        <f t="shared" si="14"/>
        <v>Duplicate ID</v>
      </c>
      <c r="Q226" t="str">
        <f t="shared" si="15"/>
        <v>0-4,999</v>
      </c>
      <c r="R226" s="6">
        <f>IF(COUNTIF($A$2:A226,A226)=1,1,0)</f>
        <v>0</v>
      </c>
    </row>
    <row r="227" spans="1:18" x14ac:dyDescent="0.25">
      <c r="A227" s="6">
        <v>1416</v>
      </c>
      <c r="B227" s="7">
        <v>44629</v>
      </c>
      <c r="C227" t="s">
        <v>1648</v>
      </c>
      <c r="D227" s="6"/>
      <c r="E227" s="8">
        <v>4382</v>
      </c>
      <c r="F227" s="8">
        <v>9000</v>
      </c>
      <c r="G227" s="8">
        <f t="shared" si="12"/>
        <v>4618</v>
      </c>
      <c r="H227" s="6">
        <v>25000</v>
      </c>
      <c r="I227" t="s">
        <v>41</v>
      </c>
      <c r="J227" t="s">
        <v>1647</v>
      </c>
      <c r="K227" t="s">
        <v>36</v>
      </c>
      <c r="L227" t="s">
        <v>73</v>
      </c>
      <c r="M227" t="s">
        <v>45</v>
      </c>
      <c r="N227" s="6" t="s">
        <v>1647</v>
      </c>
      <c r="O227" t="str">
        <f t="shared" si="13"/>
        <v>Normal</v>
      </c>
      <c r="P227" t="str">
        <f t="shared" si="14"/>
        <v>Duplicate ID</v>
      </c>
      <c r="Q227" t="str">
        <f t="shared" si="15"/>
        <v>0-4,999</v>
      </c>
      <c r="R227" s="6">
        <f>IF(COUNTIF($A$2:A227,A227)=1,1,0)</f>
        <v>1</v>
      </c>
    </row>
    <row r="228" spans="1:18" x14ac:dyDescent="0.25">
      <c r="A228" s="6">
        <v>1059</v>
      </c>
      <c r="B228" s="7">
        <v>44608</v>
      </c>
      <c r="C228" t="s">
        <v>79</v>
      </c>
      <c r="D228" s="6">
        <v>2016</v>
      </c>
      <c r="E228" s="8">
        <v>4421</v>
      </c>
      <c r="F228" s="8">
        <v>7000</v>
      </c>
      <c r="G228" s="8">
        <f t="shared" si="12"/>
        <v>2579</v>
      </c>
      <c r="H228" s="6">
        <v>25000</v>
      </c>
      <c r="I228" t="s">
        <v>58</v>
      </c>
      <c r="J228" t="s">
        <v>72</v>
      </c>
      <c r="K228" t="s">
        <v>96</v>
      </c>
      <c r="L228" t="s">
        <v>48</v>
      </c>
      <c r="M228" t="s">
        <v>1647</v>
      </c>
      <c r="N228" s="6">
        <v>3</v>
      </c>
      <c r="O228" t="str">
        <f t="shared" si="13"/>
        <v>Normal</v>
      </c>
      <c r="P228" t="str">
        <f t="shared" si="14"/>
        <v>Duplicate ID</v>
      </c>
      <c r="Q228" t="str">
        <f t="shared" si="15"/>
        <v>0-4,999</v>
      </c>
      <c r="R228" s="6">
        <f>IF(COUNTIF($A$2:A228,A228)=1,1,0)</f>
        <v>1</v>
      </c>
    </row>
    <row r="229" spans="1:18" x14ac:dyDescent="0.25">
      <c r="A229" s="6">
        <v>1456</v>
      </c>
      <c r="B229" s="7">
        <v>45198</v>
      </c>
      <c r="C229" t="s">
        <v>32</v>
      </c>
      <c r="D229" s="6">
        <v>2018</v>
      </c>
      <c r="E229" s="8">
        <v>2949</v>
      </c>
      <c r="F229" s="8">
        <v>7000</v>
      </c>
      <c r="G229" s="8">
        <f t="shared" si="12"/>
        <v>4051</v>
      </c>
      <c r="H229" s="6">
        <v>25000</v>
      </c>
      <c r="I229" t="s">
        <v>69</v>
      </c>
      <c r="J229" t="s">
        <v>72</v>
      </c>
      <c r="K229" t="s">
        <v>36</v>
      </c>
      <c r="L229" t="s">
        <v>54</v>
      </c>
      <c r="M229" t="s">
        <v>126</v>
      </c>
      <c r="N229" s="6">
        <v>2</v>
      </c>
      <c r="O229" t="str">
        <f t="shared" si="13"/>
        <v>Normal</v>
      </c>
      <c r="P229" t="str">
        <f t="shared" si="14"/>
        <v>Duplicate ID</v>
      </c>
      <c r="Q229" t="str">
        <f t="shared" si="15"/>
        <v>0-4,999</v>
      </c>
      <c r="R229" s="6">
        <f>IF(COUNTIF($A$2:A229,A229)=1,1,0)</f>
        <v>0</v>
      </c>
    </row>
    <row r="230" spans="1:18" x14ac:dyDescent="0.25">
      <c r="A230" s="6">
        <v>1226</v>
      </c>
      <c r="B230" s="7">
        <v>44635</v>
      </c>
      <c r="C230" t="s">
        <v>40</v>
      </c>
      <c r="D230" s="6">
        <v>2020</v>
      </c>
      <c r="E230" s="8">
        <v>1313</v>
      </c>
      <c r="F230" s="8">
        <v>7000</v>
      </c>
      <c r="G230" s="8">
        <f t="shared" si="12"/>
        <v>5687</v>
      </c>
      <c r="H230" s="6">
        <v>25000</v>
      </c>
      <c r="I230" t="s">
        <v>34</v>
      </c>
      <c r="J230" t="s">
        <v>1647</v>
      </c>
      <c r="K230" t="s">
        <v>36</v>
      </c>
      <c r="L230" t="s">
        <v>73</v>
      </c>
      <c r="M230" t="s">
        <v>98</v>
      </c>
      <c r="N230" s="6">
        <v>1</v>
      </c>
      <c r="O230" t="str">
        <f t="shared" si="13"/>
        <v>Normal</v>
      </c>
      <c r="P230" t="str">
        <f t="shared" si="14"/>
        <v>Duplicate ID</v>
      </c>
      <c r="Q230" t="str">
        <f t="shared" si="15"/>
        <v>0-4,999</v>
      </c>
      <c r="R230" s="6">
        <f>IF(COUNTIF($A$2:A230,A230)=1,1,0)</f>
        <v>1</v>
      </c>
    </row>
    <row r="231" spans="1:18" x14ac:dyDescent="0.25">
      <c r="A231" s="6">
        <v>1281</v>
      </c>
      <c r="B231" s="7">
        <v>44822</v>
      </c>
      <c r="C231" t="s">
        <v>57</v>
      </c>
      <c r="D231" s="6"/>
      <c r="E231" s="8">
        <v>3933</v>
      </c>
      <c r="F231" s="8">
        <v>7000</v>
      </c>
      <c r="G231" s="8">
        <f t="shared" si="12"/>
        <v>3067</v>
      </c>
      <c r="H231" s="6">
        <v>25000</v>
      </c>
      <c r="I231" t="s">
        <v>69</v>
      </c>
      <c r="J231" t="s">
        <v>35</v>
      </c>
      <c r="K231" t="s">
        <v>96</v>
      </c>
      <c r="L231" t="s">
        <v>54</v>
      </c>
      <c r="M231" t="s">
        <v>1647</v>
      </c>
      <c r="N231" s="6" t="s">
        <v>1647</v>
      </c>
      <c r="O231" t="str">
        <f t="shared" si="13"/>
        <v>Normal</v>
      </c>
      <c r="P231" t="str">
        <f t="shared" si="14"/>
        <v>Duplicate ID</v>
      </c>
      <c r="Q231" t="str">
        <f t="shared" si="15"/>
        <v>0-4,999</v>
      </c>
      <c r="R231" s="6">
        <f>IF(COUNTIF($A$2:A231,A231)=1,1,0)</f>
        <v>0</v>
      </c>
    </row>
    <row r="232" spans="1:18" x14ac:dyDescent="0.25">
      <c r="A232" s="6">
        <v>1574</v>
      </c>
      <c r="B232" s="7">
        <v>44963</v>
      </c>
      <c r="C232" t="s">
        <v>79</v>
      </c>
      <c r="D232" s="6"/>
      <c r="E232" s="8">
        <v>3810</v>
      </c>
      <c r="F232" s="8">
        <v>9000</v>
      </c>
      <c r="G232" s="8">
        <f t="shared" si="12"/>
        <v>5190</v>
      </c>
      <c r="H232" s="6">
        <v>15000</v>
      </c>
      <c r="I232" t="s">
        <v>41</v>
      </c>
      <c r="J232" t="s">
        <v>72</v>
      </c>
      <c r="K232" t="s">
        <v>36</v>
      </c>
      <c r="L232" t="s">
        <v>54</v>
      </c>
      <c r="M232" t="s">
        <v>45</v>
      </c>
      <c r="N232" s="6">
        <v>2</v>
      </c>
      <c r="O232" t="str">
        <f t="shared" si="13"/>
        <v>Normal</v>
      </c>
      <c r="P232" t="str">
        <f t="shared" si="14"/>
        <v>Duplicate ID</v>
      </c>
      <c r="Q232" t="str">
        <f t="shared" si="15"/>
        <v>0-4,999</v>
      </c>
      <c r="R232" s="6">
        <f>IF(COUNTIF($A$2:A232,A232)=1,1,0)</f>
        <v>0</v>
      </c>
    </row>
    <row r="233" spans="1:18" x14ac:dyDescent="0.25">
      <c r="A233" s="6">
        <v>1246</v>
      </c>
      <c r="B233" s="7">
        <v>45256</v>
      </c>
      <c r="C233" t="s">
        <v>119</v>
      </c>
      <c r="D233" s="6">
        <v>2018</v>
      </c>
      <c r="E233" s="8">
        <v>15772</v>
      </c>
      <c r="F233" s="8">
        <v>18000</v>
      </c>
      <c r="G233" s="8">
        <f t="shared" si="12"/>
        <v>2228</v>
      </c>
      <c r="H233" s="6">
        <v>25000</v>
      </c>
      <c r="I233" t="s">
        <v>34</v>
      </c>
      <c r="J233" t="s">
        <v>72</v>
      </c>
      <c r="K233" t="s">
        <v>36</v>
      </c>
      <c r="L233" t="s">
        <v>73</v>
      </c>
      <c r="M233" t="s">
        <v>98</v>
      </c>
      <c r="N233" s="6">
        <v>2</v>
      </c>
      <c r="O233" t="str">
        <f t="shared" si="13"/>
        <v>Normal</v>
      </c>
      <c r="P233" t="str">
        <f t="shared" si="14"/>
        <v>Duplicate ID</v>
      </c>
      <c r="Q233" t="str">
        <f t="shared" si="15"/>
        <v>15,000-19,999</v>
      </c>
      <c r="R233" s="6">
        <f>IF(COUNTIF($A$2:A233,A233)=1,1,0)</f>
        <v>0</v>
      </c>
    </row>
    <row r="234" spans="1:18" x14ac:dyDescent="0.25">
      <c r="A234" s="6">
        <v>1585</v>
      </c>
      <c r="B234" s="7">
        <v>45391</v>
      </c>
      <c r="C234" t="s">
        <v>119</v>
      </c>
      <c r="D234" s="6">
        <v>2020</v>
      </c>
      <c r="E234" s="8">
        <v>24711</v>
      </c>
      <c r="F234" s="8">
        <v>26000</v>
      </c>
      <c r="G234" s="8">
        <f t="shared" si="12"/>
        <v>1289</v>
      </c>
      <c r="H234" s="6">
        <v>60000</v>
      </c>
      <c r="I234" t="s">
        <v>1647</v>
      </c>
      <c r="J234" t="s">
        <v>72</v>
      </c>
      <c r="K234" t="s">
        <v>1647</v>
      </c>
      <c r="L234" t="s">
        <v>54</v>
      </c>
      <c r="M234" t="s">
        <v>90</v>
      </c>
      <c r="N234" s="6" t="s">
        <v>1647</v>
      </c>
      <c r="O234" t="str">
        <f t="shared" si="13"/>
        <v>Normal</v>
      </c>
      <c r="P234" t="str">
        <f t="shared" si="14"/>
        <v>Duplicate ID</v>
      </c>
      <c r="Q234" t="str">
        <f t="shared" si="15"/>
        <v>20,000-24,999</v>
      </c>
      <c r="R234" s="6">
        <f>IF(COUNTIF($A$2:A234,A234)=1,1,0)</f>
        <v>1</v>
      </c>
    </row>
    <row r="235" spans="1:18" x14ac:dyDescent="0.25">
      <c r="A235" s="6">
        <v>1572</v>
      </c>
      <c r="B235" s="7">
        <v>44726</v>
      </c>
      <c r="C235" t="s">
        <v>57</v>
      </c>
      <c r="D235" s="6">
        <v>2018</v>
      </c>
      <c r="E235" s="8">
        <v>6952</v>
      </c>
      <c r="F235" s="8">
        <v>9000</v>
      </c>
      <c r="G235" s="8">
        <f t="shared" si="12"/>
        <v>2048</v>
      </c>
      <c r="H235" s="6">
        <v>60000</v>
      </c>
      <c r="I235" t="s">
        <v>69</v>
      </c>
      <c r="J235" t="s">
        <v>35</v>
      </c>
      <c r="K235" t="s">
        <v>36</v>
      </c>
      <c r="L235" t="s">
        <v>54</v>
      </c>
      <c r="M235" t="s">
        <v>90</v>
      </c>
      <c r="N235" s="6">
        <v>2</v>
      </c>
      <c r="O235" t="str">
        <f t="shared" si="13"/>
        <v>Normal</v>
      </c>
      <c r="P235" t="str">
        <f t="shared" si="14"/>
        <v>Duplicate ID</v>
      </c>
      <c r="Q235" t="str">
        <f t="shared" si="15"/>
        <v>5,000-9,999</v>
      </c>
      <c r="R235" s="6">
        <f>IF(COUNTIF($A$2:A235,A235)=1,1,0)</f>
        <v>0</v>
      </c>
    </row>
    <row r="236" spans="1:18" x14ac:dyDescent="0.25">
      <c r="A236" s="6">
        <v>1474</v>
      </c>
      <c r="B236" s="7">
        <v>44799</v>
      </c>
      <c r="C236" t="s">
        <v>1648</v>
      </c>
      <c r="D236" s="6">
        <v>2019</v>
      </c>
      <c r="E236" s="8">
        <v>16204</v>
      </c>
      <c r="F236" s="8">
        <v>22000</v>
      </c>
      <c r="G236" s="8">
        <f t="shared" si="12"/>
        <v>5796</v>
      </c>
      <c r="H236" s="6">
        <v>40000</v>
      </c>
      <c r="I236" t="s">
        <v>41</v>
      </c>
      <c r="J236" t="s">
        <v>72</v>
      </c>
      <c r="K236" t="s">
        <v>36</v>
      </c>
      <c r="L236" t="s">
        <v>1647</v>
      </c>
      <c r="M236" t="s">
        <v>126</v>
      </c>
      <c r="N236" s="6">
        <v>3</v>
      </c>
      <c r="O236" t="str">
        <f t="shared" si="13"/>
        <v>Normal</v>
      </c>
      <c r="P236" t="str">
        <f t="shared" si="14"/>
        <v>Duplicate ID</v>
      </c>
      <c r="Q236" t="str">
        <f t="shared" si="15"/>
        <v>15,000-19,999</v>
      </c>
      <c r="R236" s="6">
        <f>IF(COUNTIF($A$2:A236,A236)=1,1,0)</f>
        <v>0</v>
      </c>
    </row>
    <row r="237" spans="1:18" x14ac:dyDescent="0.25">
      <c r="A237" s="6">
        <v>1350</v>
      </c>
      <c r="B237" s="7">
        <v>44607</v>
      </c>
      <c r="C237" t="s">
        <v>51</v>
      </c>
      <c r="D237" s="6">
        <v>2020</v>
      </c>
      <c r="E237" s="8">
        <v>4875</v>
      </c>
      <c r="F237" s="8">
        <v>7000</v>
      </c>
      <c r="G237" s="8">
        <f t="shared" si="12"/>
        <v>2125</v>
      </c>
      <c r="H237" s="6">
        <v>25000</v>
      </c>
      <c r="I237" t="s">
        <v>1647</v>
      </c>
      <c r="J237" t="s">
        <v>35</v>
      </c>
      <c r="K237" t="s">
        <v>96</v>
      </c>
      <c r="L237" t="s">
        <v>100</v>
      </c>
      <c r="M237" t="s">
        <v>126</v>
      </c>
      <c r="N237" s="6">
        <v>3</v>
      </c>
      <c r="O237" t="str">
        <f t="shared" si="13"/>
        <v>Normal</v>
      </c>
      <c r="P237" t="str">
        <f t="shared" si="14"/>
        <v>Duplicate ID</v>
      </c>
      <c r="Q237" t="str">
        <f t="shared" si="15"/>
        <v>0-4,999</v>
      </c>
      <c r="R237" s="6">
        <f>IF(COUNTIF($A$2:A237,A237)=1,1,0)</f>
        <v>1</v>
      </c>
    </row>
    <row r="238" spans="1:18" x14ac:dyDescent="0.25">
      <c r="A238" s="6">
        <v>1004</v>
      </c>
      <c r="B238" s="7">
        <v>44315</v>
      </c>
      <c r="C238" t="s">
        <v>51</v>
      </c>
      <c r="D238" s="6">
        <v>2018</v>
      </c>
      <c r="E238" s="8">
        <v>5803</v>
      </c>
      <c r="F238" s="8">
        <v>12000</v>
      </c>
      <c r="G238" s="8">
        <f t="shared" si="12"/>
        <v>6197</v>
      </c>
      <c r="H238" s="6">
        <v>40000</v>
      </c>
      <c r="I238" t="s">
        <v>58</v>
      </c>
      <c r="J238" t="s">
        <v>72</v>
      </c>
      <c r="K238" t="s">
        <v>36</v>
      </c>
      <c r="L238" t="s">
        <v>100</v>
      </c>
      <c r="M238" t="s">
        <v>98</v>
      </c>
      <c r="N238" s="6">
        <v>3</v>
      </c>
      <c r="O238" t="str">
        <f t="shared" si="13"/>
        <v>Normal</v>
      </c>
      <c r="P238" t="str">
        <f t="shared" si="14"/>
        <v>Duplicate ID</v>
      </c>
      <c r="Q238" t="str">
        <f t="shared" si="15"/>
        <v>5,000-9,999</v>
      </c>
      <c r="R238" s="6">
        <f>IF(COUNTIF($A$2:A238,A238)=1,1,0)</f>
        <v>1</v>
      </c>
    </row>
    <row r="239" spans="1:18" x14ac:dyDescent="0.25">
      <c r="A239" s="6">
        <v>1546</v>
      </c>
      <c r="B239" s="7">
        <v>44274</v>
      </c>
      <c r="C239" t="s">
        <v>79</v>
      </c>
      <c r="D239" s="6">
        <v>2020</v>
      </c>
      <c r="E239" s="8">
        <v>29962</v>
      </c>
      <c r="F239" s="8">
        <v>31000</v>
      </c>
      <c r="G239" s="8">
        <f t="shared" si="12"/>
        <v>1038</v>
      </c>
      <c r="H239" s="6">
        <v>60000</v>
      </c>
      <c r="I239" t="s">
        <v>69</v>
      </c>
      <c r="J239" t="s">
        <v>1647</v>
      </c>
      <c r="K239" t="s">
        <v>36</v>
      </c>
      <c r="L239" t="s">
        <v>73</v>
      </c>
      <c r="M239" t="s">
        <v>126</v>
      </c>
      <c r="N239" s="6">
        <v>1</v>
      </c>
      <c r="O239" t="str">
        <f t="shared" si="13"/>
        <v>Normal</v>
      </c>
      <c r="P239" t="str">
        <f t="shared" si="14"/>
        <v>Duplicate ID</v>
      </c>
      <c r="Q239" t="str">
        <f t="shared" si="15"/>
        <v>25,000-30,000</v>
      </c>
      <c r="R239" s="6">
        <f>IF(COUNTIF($A$2:A239,A239)=1,1,0)</f>
        <v>1</v>
      </c>
    </row>
    <row r="240" spans="1:18" x14ac:dyDescent="0.25">
      <c r="A240" s="6">
        <v>1515</v>
      </c>
      <c r="B240" s="7">
        <v>44982</v>
      </c>
      <c r="C240" t="s">
        <v>119</v>
      </c>
      <c r="D240" s="6">
        <v>2019</v>
      </c>
      <c r="E240" s="8">
        <v>16159</v>
      </c>
      <c r="F240" s="8">
        <v>18000</v>
      </c>
      <c r="G240" s="8">
        <f t="shared" si="12"/>
        <v>1841</v>
      </c>
      <c r="H240" s="6">
        <v>25000</v>
      </c>
      <c r="I240" t="s">
        <v>69</v>
      </c>
      <c r="J240" t="s">
        <v>72</v>
      </c>
      <c r="K240" t="s">
        <v>96</v>
      </c>
      <c r="L240" t="s">
        <v>1647</v>
      </c>
      <c r="M240" t="s">
        <v>1647</v>
      </c>
      <c r="N240" s="6">
        <v>2</v>
      </c>
      <c r="O240" t="str">
        <f t="shared" si="13"/>
        <v>Normal</v>
      </c>
      <c r="P240" t="str">
        <f t="shared" si="14"/>
        <v>Duplicate ID</v>
      </c>
      <c r="Q240" t="str">
        <f t="shared" si="15"/>
        <v>15,000-19,999</v>
      </c>
      <c r="R240" s="6">
        <f>IF(COUNTIF($A$2:A240,A240)=1,1,0)</f>
        <v>1</v>
      </c>
    </row>
    <row r="241" spans="1:18" x14ac:dyDescent="0.25">
      <c r="A241" s="6">
        <v>1192</v>
      </c>
      <c r="B241" s="7">
        <v>44932</v>
      </c>
      <c r="C241" t="s">
        <v>1648</v>
      </c>
      <c r="D241" s="6">
        <v>2018</v>
      </c>
      <c r="E241" s="8">
        <v>6985</v>
      </c>
      <c r="F241" s="8">
        <v>12000</v>
      </c>
      <c r="G241" s="8">
        <f t="shared" si="12"/>
        <v>5015</v>
      </c>
      <c r="H241" s="6">
        <v>40000</v>
      </c>
      <c r="I241" t="s">
        <v>41</v>
      </c>
      <c r="J241" t="s">
        <v>35</v>
      </c>
      <c r="K241" t="s">
        <v>36</v>
      </c>
      <c r="L241" t="s">
        <v>100</v>
      </c>
      <c r="M241" t="s">
        <v>90</v>
      </c>
      <c r="N241" s="6">
        <v>0</v>
      </c>
      <c r="O241" t="str">
        <f t="shared" si="13"/>
        <v>Normal</v>
      </c>
      <c r="P241" t="str">
        <f t="shared" si="14"/>
        <v>Duplicate ID</v>
      </c>
      <c r="Q241" t="str">
        <f t="shared" si="15"/>
        <v>5,000-9,999</v>
      </c>
      <c r="R241" s="6">
        <f>IF(COUNTIF($A$2:A241,A241)=1,1,0)</f>
        <v>1</v>
      </c>
    </row>
    <row r="242" spans="1:18" x14ac:dyDescent="0.25">
      <c r="A242" s="6">
        <v>1384</v>
      </c>
      <c r="B242" s="7">
        <v>44273</v>
      </c>
      <c r="C242" t="s">
        <v>57</v>
      </c>
      <c r="D242" s="6">
        <v>2015</v>
      </c>
      <c r="E242" s="8">
        <v>15671</v>
      </c>
      <c r="F242" s="8">
        <v>22000</v>
      </c>
      <c r="G242" s="8">
        <f t="shared" si="12"/>
        <v>6329</v>
      </c>
      <c r="H242" s="6">
        <v>120000</v>
      </c>
      <c r="I242" t="s">
        <v>41</v>
      </c>
      <c r="J242" t="s">
        <v>1647</v>
      </c>
      <c r="K242" t="s">
        <v>36</v>
      </c>
      <c r="L242" t="s">
        <v>73</v>
      </c>
      <c r="M242" t="s">
        <v>126</v>
      </c>
      <c r="N242" s="6">
        <v>0</v>
      </c>
      <c r="O242" t="str">
        <f t="shared" si="13"/>
        <v>Normal</v>
      </c>
      <c r="P242" t="str">
        <f t="shared" si="14"/>
        <v>Duplicate ID</v>
      </c>
      <c r="Q242" t="str">
        <f t="shared" si="15"/>
        <v>15,000-19,999</v>
      </c>
      <c r="R242" s="6">
        <f>IF(COUNTIF($A$2:A242,A242)=1,1,0)</f>
        <v>1</v>
      </c>
    </row>
    <row r="243" spans="1:18" x14ac:dyDescent="0.25">
      <c r="A243" s="6">
        <v>1258</v>
      </c>
      <c r="B243" s="7">
        <v>45317</v>
      </c>
      <c r="C243" t="s">
        <v>32</v>
      </c>
      <c r="D243" s="6">
        <v>2020</v>
      </c>
      <c r="E243" s="8">
        <v>28988</v>
      </c>
      <c r="F243" s="8">
        <v>31000</v>
      </c>
      <c r="G243" s="8">
        <f t="shared" si="12"/>
        <v>2012</v>
      </c>
      <c r="H243" s="6">
        <v>60000</v>
      </c>
      <c r="I243" t="s">
        <v>41</v>
      </c>
      <c r="J243" t="s">
        <v>72</v>
      </c>
      <c r="K243" t="s">
        <v>96</v>
      </c>
      <c r="L243" t="s">
        <v>73</v>
      </c>
      <c r="M243" t="s">
        <v>1647</v>
      </c>
      <c r="N243" s="6">
        <v>2</v>
      </c>
      <c r="O243" t="str">
        <f t="shared" si="13"/>
        <v>Normal</v>
      </c>
      <c r="P243" t="str">
        <f t="shared" si="14"/>
        <v>Duplicate ID</v>
      </c>
      <c r="Q243" t="str">
        <f t="shared" si="15"/>
        <v>25,000-30,000</v>
      </c>
      <c r="R243" s="6">
        <f>IF(COUNTIF($A$2:A243,A243)=1,1,0)</f>
        <v>0</v>
      </c>
    </row>
    <row r="244" spans="1:18" x14ac:dyDescent="0.25">
      <c r="A244" s="6">
        <v>1289</v>
      </c>
      <c r="B244" s="7">
        <v>44438</v>
      </c>
      <c r="C244" t="s">
        <v>32</v>
      </c>
      <c r="D244" s="6">
        <v>2020</v>
      </c>
      <c r="E244" s="8">
        <v>2112</v>
      </c>
      <c r="F244" s="8">
        <v>9000</v>
      </c>
      <c r="G244" s="8">
        <f t="shared" si="12"/>
        <v>6888</v>
      </c>
      <c r="H244" s="6">
        <v>80000</v>
      </c>
      <c r="I244" t="s">
        <v>58</v>
      </c>
      <c r="J244" t="s">
        <v>72</v>
      </c>
      <c r="K244" t="s">
        <v>1647</v>
      </c>
      <c r="L244" t="s">
        <v>100</v>
      </c>
      <c r="M244" t="s">
        <v>45</v>
      </c>
      <c r="N244" s="6">
        <v>3</v>
      </c>
      <c r="O244" t="str">
        <f t="shared" si="13"/>
        <v>Normal</v>
      </c>
      <c r="P244" t="str">
        <f t="shared" si="14"/>
        <v>Duplicate ID</v>
      </c>
      <c r="Q244" t="str">
        <f t="shared" si="15"/>
        <v>0-4,999</v>
      </c>
      <c r="R244" s="6">
        <f>IF(COUNTIF($A$2:A244,A244)=1,1,0)</f>
        <v>1</v>
      </c>
    </row>
    <row r="245" spans="1:18" x14ac:dyDescent="0.25">
      <c r="A245" s="6">
        <v>1492</v>
      </c>
      <c r="B245" s="7">
        <v>44622</v>
      </c>
      <c r="C245" t="s">
        <v>51</v>
      </c>
      <c r="D245" s="6">
        <v>2016</v>
      </c>
      <c r="E245" s="8">
        <v>1934</v>
      </c>
      <c r="F245" s="8">
        <v>7000</v>
      </c>
      <c r="G245" s="8">
        <f t="shared" si="12"/>
        <v>5066</v>
      </c>
      <c r="H245" s="6">
        <v>80000</v>
      </c>
      <c r="I245" t="s">
        <v>41</v>
      </c>
      <c r="J245" t="s">
        <v>1647</v>
      </c>
      <c r="K245" t="s">
        <v>96</v>
      </c>
      <c r="L245" t="s">
        <v>100</v>
      </c>
      <c r="M245" t="s">
        <v>126</v>
      </c>
      <c r="N245" s="6" t="s">
        <v>1647</v>
      </c>
      <c r="O245" t="str">
        <f t="shared" si="13"/>
        <v>Normal</v>
      </c>
      <c r="P245" t="str">
        <f t="shared" si="14"/>
        <v>Duplicate ID</v>
      </c>
      <c r="Q245" t="str">
        <f t="shared" si="15"/>
        <v>0-4,999</v>
      </c>
      <c r="R245" s="6">
        <f>IF(COUNTIF($A$2:A245,A245)=1,1,0)</f>
        <v>1</v>
      </c>
    </row>
    <row r="246" spans="1:18" x14ac:dyDescent="0.25">
      <c r="A246" s="6">
        <v>1303</v>
      </c>
      <c r="B246" s="7">
        <v>45132</v>
      </c>
      <c r="C246" t="s">
        <v>40</v>
      </c>
      <c r="D246" s="6">
        <v>2015</v>
      </c>
      <c r="E246" s="8">
        <v>15107</v>
      </c>
      <c r="F246" s="8">
        <v>18000</v>
      </c>
      <c r="G246" s="8">
        <f t="shared" si="12"/>
        <v>2893</v>
      </c>
      <c r="H246" s="6">
        <v>120000</v>
      </c>
      <c r="I246" t="s">
        <v>41</v>
      </c>
      <c r="J246" t="s">
        <v>72</v>
      </c>
      <c r="K246" t="s">
        <v>96</v>
      </c>
      <c r="L246" t="s">
        <v>54</v>
      </c>
      <c r="M246" t="s">
        <v>98</v>
      </c>
      <c r="N246" s="6">
        <v>0</v>
      </c>
      <c r="O246" t="str">
        <f t="shared" si="13"/>
        <v>Normal</v>
      </c>
      <c r="P246" t="str">
        <f t="shared" si="14"/>
        <v>Unique ID</v>
      </c>
      <c r="Q246" t="str">
        <f t="shared" si="15"/>
        <v>15,000-19,999</v>
      </c>
      <c r="R246" s="6">
        <f>IF(COUNTIF($A$2:A246,A246)=1,1,0)</f>
        <v>1</v>
      </c>
    </row>
    <row r="247" spans="1:18" x14ac:dyDescent="0.25">
      <c r="A247" s="6">
        <v>1336</v>
      </c>
      <c r="B247" s="7">
        <v>44546</v>
      </c>
      <c r="C247" t="s">
        <v>32</v>
      </c>
      <c r="D247" s="6">
        <v>2014</v>
      </c>
      <c r="E247" s="8">
        <v>566</v>
      </c>
      <c r="F247" s="8">
        <v>7000</v>
      </c>
      <c r="G247" s="8">
        <f t="shared" si="12"/>
        <v>6434</v>
      </c>
      <c r="H247" s="6">
        <v>25000</v>
      </c>
      <c r="I247" t="s">
        <v>41</v>
      </c>
      <c r="J247" t="s">
        <v>72</v>
      </c>
      <c r="K247" t="s">
        <v>96</v>
      </c>
      <c r="L247" t="s">
        <v>100</v>
      </c>
      <c r="M247" t="s">
        <v>126</v>
      </c>
      <c r="N247" s="6">
        <v>3</v>
      </c>
      <c r="O247" t="str">
        <f t="shared" si="13"/>
        <v>Outlier</v>
      </c>
      <c r="P247" t="str">
        <f t="shared" si="14"/>
        <v>Duplicate ID</v>
      </c>
      <c r="Q247" t="str">
        <f t="shared" si="15"/>
        <v>0-4,999</v>
      </c>
      <c r="R247" s="6">
        <f>IF(COUNTIF($A$2:A247,A247)=1,1,0)</f>
        <v>1</v>
      </c>
    </row>
    <row r="248" spans="1:18" x14ac:dyDescent="0.25">
      <c r="A248" s="6">
        <v>1431</v>
      </c>
      <c r="B248" s="7">
        <v>45176</v>
      </c>
      <c r="C248" t="s">
        <v>79</v>
      </c>
      <c r="D248" s="6">
        <v>2021</v>
      </c>
      <c r="E248" s="8">
        <v>11349</v>
      </c>
      <c r="F248" s="8">
        <v>18000</v>
      </c>
      <c r="G248" s="8">
        <f t="shared" si="12"/>
        <v>6651</v>
      </c>
      <c r="H248" s="6">
        <v>60000</v>
      </c>
      <c r="I248" t="s">
        <v>41</v>
      </c>
      <c r="J248" t="s">
        <v>35</v>
      </c>
      <c r="K248" t="s">
        <v>36</v>
      </c>
      <c r="L248" t="s">
        <v>48</v>
      </c>
      <c r="M248" t="s">
        <v>98</v>
      </c>
      <c r="N248" s="6" t="s">
        <v>1647</v>
      </c>
      <c r="O248" t="str">
        <f t="shared" si="13"/>
        <v>Normal</v>
      </c>
      <c r="P248" t="str">
        <f t="shared" si="14"/>
        <v>Duplicate ID</v>
      </c>
      <c r="Q248" t="str">
        <f t="shared" si="15"/>
        <v>10,000-14,999</v>
      </c>
      <c r="R248" s="6">
        <f>IF(COUNTIF($A$2:A248,A248)=1,1,0)</f>
        <v>0</v>
      </c>
    </row>
    <row r="249" spans="1:18" x14ac:dyDescent="0.25">
      <c r="A249" s="6">
        <v>1133</v>
      </c>
      <c r="B249" s="7">
        <v>44256</v>
      </c>
      <c r="C249" t="s">
        <v>1648</v>
      </c>
      <c r="D249" s="6">
        <v>2016</v>
      </c>
      <c r="E249" s="8">
        <v>19992</v>
      </c>
      <c r="F249" s="8">
        <v>26000</v>
      </c>
      <c r="G249" s="8">
        <f t="shared" si="12"/>
        <v>6008</v>
      </c>
      <c r="H249" s="6">
        <v>40000</v>
      </c>
      <c r="I249" t="s">
        <v>1647</v>
      </c>
      <c r="J249" t="s">
        <v>35</v>
      </c>
      <c r="K249" t="s">
        <v>36</v>
      </c>
      <c r="L249" t="s">
        <v>54</v>
      </c>
      <c r="M249" t="s">
        <v>45</v>
      </c>
      <c r="N249" s="6">
        <v>0</v>
      </c>
      <c r="O249" t="str">
        <f t="shared" si="13"/>
        <v>Normal</v>
      </c>
      <c r="P249" t="str">
        <f t="shared" si="14"/>
        <v>Duplicate ID</v>
      </c>
      <c r="Q249" t="str">
        <f t="shared" si="15"/>
        <v>15,000-19,999</v>
      </c>
      <c r="R249" s="6">
        <f>IF(COUNTIF($A$2:A249,A249)=1,1,0)</f>
        <v>1</v>
      </c>
    </row>
    <row r="250" spans="1:18" x14ac:dyDescent="0.25">
      <c r="A250" s="6">
        <v>1443</v>
      </c>
      <c r="B250" s="7">
        <v>44392</v>
      </c>
      <c r="C250" t="s">
        <v>119</v>
      </c>
      <c r="D250" s="6">
        <v>2018</v>
      </c>
      <c r="E250" s="8">
        <v>16715</v>
      </c>
      <c r="F250" s="8">
        <v>22000</v>
      </c>
      <c r="G250" s="8">
        <f t="shared" si="12"/>
        <v>5285</v>
      </c>
      <c r="H250" s="6">
        <v>80000</v>
      </c>
      <c r="I250" t="s">
        <v>34</v>
      </c>
      <c r="J250" t="s">
        <v>35</v>
      </c>
      <c r="K250" t="s">
        <v>1647</v>
      </c>
      <c r="L250" t="s">
        <v>73</v>
      </c>
      <c r="M250" t="s">
        <v>126</v>
      </c>
      <c r="N250" s="6">
        <v>1</v>
      </c>
      <c r="O250" t="str">
        <f t="shared" si="13"/>
        <v>Normal</v>
      </c>
      <c r="P250" t="str">
        <f t="shared" si="14"/>
        <v>Duplicate ID</v>
      </c>
      <c r="Q250" t="str">
        <f t="shared" si="15"/>
        <v>15,000-19,999</v>
      </c>
      <c r="R250" s="6">
        <f>IF(COUNTIF($A$2:A250,A250)=1,1,0)</f>
        <v>1</v>
      </c>
    </row>
    <row r="251" spans="1:18" x14ac:dyDescent="0.25">
      <c r="A251" s="6">
        <v>1246</v>
      </c>
      <c r="B251" s="7">
        <v>44853</v>
      </c>
      <c r="C251" t="s">
        <v>1648</v>
      </c>
      <c r="D251" s="6">
        <v>2021</v>
      </c>
      <c r="E251" s="8">
        <v>6973</v>
      </c>
      <c r="F251" s="8">
        <v>12000</v>
      </c>
      <c r="G251" s="8">
        <f t="shared" si="12"/>
        <v>5027</v>
      </c>
      <c r="H251" s="6">
        <v>15000</v>
      </c>
      <c r="I251" t="s">
        <v>34</v>
      </c>
      <c r="J251" t="s">
        <v>72</v>
      </c>
      <c r="K251" t="s">
        <v>36</v>
      </c>
      <c r="L251" t="s">
        <v>73</v>
      </c>
      <c r="M251" t="s">
        <v>98</v>
      </c>
      <c r="N251" s="6">
        <v>3</v>
      </c>
      <c r="O251" t="str">
        <f t="shared" si="13"/>
        <v>Normal</v>
      </c>
      <c r="P251" t="str">
        <f t="shared" si="14"/>
        <v>Duplicate ID</v>
      </c>
      <c r="Q251" t="str">
        <f t="shared" si="15"/>
        <v>5,000-9,999</v>
      </c>
      <c r="R251" s="6">
        <f>IF(COUNTIF($A$2:A251,A251)=1,1,0)</f>
        <v>0</v>
      </c>
    </row>
    <row r="252" spans="1:18" x14ac:dyDescent="0.25">
      <c r="A252" s="6">
        <v>1509</v>
      </c>
      <c r="B252" s="7">
        <v>44440</v>
      </c>
      <c r="C252" t="s">
        <v>1648</v>
      </c>
      <c r="D252" s="6">
        <v>2015</v>
      </c>
      <c r="E252" s="8">
        <v>27411</v>
      </c>
      <c r="F252" s="8">
        <v>31000</v>
      </c>
      <c r="G252" s="8">
        <f t="shared" si="12"/>
        <v>3589</v>
      </c>
      <c r="H252" s="6">
        <v>60000</v>
      </c>
      <c r="I252" t="s">
        <v>41</v>
      </c>
      <c r="J252" t="s">
        <v>1647</v>
      </c>
      <c r="K252" t="s">
        <v>1647</v>
      </c>
      <c r="L252" t="s">
        <v>73</v>
      </c>
      <c r="M252" t="s">
        <v>126</v>
      </c>
      <c r="N252" s="6" t="s">
        <v>1647</v>
      </c>
      <c r="O252" t="str">
        <f t="shared" si="13"/>
        <v>Normal</v>
      </c>
      <c r="P252" t="str">
        <f t="shared" si="14"/>
        <v>Duplicate ID</v>
      </c>
      <c r="Q252" t="str">
        <f t="shared" si="15"/>
        <v>25,000-30,000</v>
      </c>
      <c r="R252" s="6">
        <f>IF(COUNTIF($A$2:A252,A252)=1,1,0)</f>
        <v>1</v>
      </c>
    </row>
    <row r="253" spans="1:18" x14ac:dyDescent="0.25">
      <c r="A253" s="6">
        <v>1349</v>
      </c>
      <c r="B253" s="7">
        <v>45131</v>
      </c>
      <c r="C253" t="s">
        <v>51</v>
      </c>
      <c r="D253" s="6">
        <v>2022</v>
      </c>
      <c r="E253" s="8">
        <v>8500</v>
      </c>
      <c r="F253" s="8">
        <v>15000</v>
      </c>
      <c r="G253" s="8">
        <f t="shared" si="12"/>
        <v>6500</v>
      </c>
      <c r="H253" s="6">
        <v>120000</v>
      </c>
      <c r="I253" t="s">
        <v>1647</v>
      </c>
      <c r="J253" t="s">
        <v>72</v>
      </c>
      <c r="K253" t="s">
        <v>1647</v>
      </c>
      <c r="L253" t="s">
        <v>48</v>
      </c>
      <c r="M253" t="s">
        <v>45</v>
      </c>
      <c r="N253" s="6">
        <v>3</v>
      </c>
      <c r="O253" t="str">
        <f t="shared" si="13"/>
        <v>Normal</v>
      </c>
      <c r="P253" t="str">
        <f t="shared" si="14"/>
        <v>Duplicate ID</v>
      </c>
      <c r="Q253" t="str">
        <f t="shared" si="15"/>
        <v>5,000-9,999</v>
      </c>
      <c r="R253" s="6">
        <f>IF(COUNTIF($A$2:A253,A253)=1,1,0)</f>
        <v>1</v>
      </c>
    </row>
    <row r="254" spans="1:18" x14ac:dyDescent="0.25">
      <c r="A254" s="6">
        <v>1298</v>
      </c>
      <c r="B254" s="7">
        <v>44924</v>
      </c>
      <c r="C254" t="s">
        <v>32</v>
      </c>
      <c r="D254" s="6">
        <v>2015</v>
      </c>
      <c r="E254" s="8">
        <v>11204</v>
      </c>
      <c r="F254" s="8">
        <v>15000</v>
      </c>
      <c r="G254" s="8">
        <f t="shared" si="12"/>
        <v>3796</v>
      </c>
      <c r="H254" s="6">
        <v>15000</v>
      </c>
      <c r="I254" t="s">
        <v>58</v>
      </c>
      <c r="J254" t="s">
        <v>72</v>
      </c>
      <c r="K254" t="s">
        <v>36</v>
      </c>
      <c r="L254" t="s">
        <v>48</v>
      </c>
      <c r="M254" t="s">
        <v>126</v>
      </c>
      <c r="N254" s="6">
        <v>2</v>
      </c>
      <c r="O254" t="str">
        <f t="shared" si="13"/>
        <v>Normal</v>
      </c>
      <c r="P254" t="str">
        <f t="shared" si="14"/>
        <v>Duplicate ID</v>
      </c>
      <c r="Q254" t="str">
        <f t="shared" si="15"/>
        <v>10,000-14,999</v>
      </c>
      <c r="R254" s="6">
        <f>IF(COUNTIF($A$2:A254,A254)=1,1,0)</f>
        <v>0</v>
      </c>
    </row>
    <row r="255" spans="1:18" x14ac:dyDescent="0.25">
      <c r="A255" s="6">
        <v>1195</v>
      </c>
      <c r="B255" s="7">
        <v>45133</v>
      </c>
      <c r="C255" t="s">
        <v>57</v>
      </c>
      <c r="D255" s="6">
        <v>2017</v>
      </c>
      <c r="E255" s="8">
        <v>6234</v>
      </c>
      <c r="F255" s="8">
        <v>9000</v>
      </c>
      <c r="G255" s="8">
        <f t="shared" si="12"/>
        <v>2766</v>
      </c>
      <c r="H255" s="6">
        <v>60000</v>
      </c>
      <c r="I255" t="s">
        <v>41</v>
      </c>
      <c r="J255" t="s">
        <v>72</v>
      </c>
      <c r="K255" t="s">
        <v>96</v>
      </c>
      <c r="L255" t="s">
        <v>1647</v>
      </c>
      <c r="M255" t="s">
        <v>90</v>
      </c>
      <c r="N255" s="6">
        <v>3</v>
      </c>
      <c r="O255" t="str">
        <f t="shared" si="13"/>
        <v>Normal</v>
      </c>
      <c r="P255" t="str">
        <f t="shared" si="14"/>
        <v>Duplicate ID</v>
      </c>
      <c r="Q255" t="str">
        <f t="shared" si="15"/>
        <v>5,000-9,999</v>
      </c>
      <c r="R255" s="6">
        <f>IF(COUNTIF($A$2:A255,A255)=1,1,0)</f>
        <v>1</v>
      </c>
    </row>
    <row r="256" spans="1:18" x14ac:dyDescent="0.25">
      <c r="A256" s="6">
        <v>1494</v>
      </c>
      <c r="B256" s="7">
        <v>45395</v>
      </c>
      <c r="C256" t="s">
        <v>40</v>
      </c>
      <c r="D256" s="6">
        <v>2022</v>
      </c>
      <c r="E256" s="8">
        <v>2455</v>
      </c>
      <c r="F256" s="8">
        <v>7000</v>
      </c>
      <c r="G256" s="8">
        <f t="shared" si="12"/>
        <v>4545</v>
      </c>
      <c r="H256" s="6">
        <v>80000</v>
      </c>
      <c r="I256" t="s">
        <v>58</v>
      </c>
      <c r="J256" t="s">
        <v>35</v>
      </c>
      <c r="K256" t="s">
        <v>36</v>
      </c>
      <c r="L256" t="s">
        <v>48</v>
      </c>
      <c r="M256" t="s">
        <v>45</v>
      </c>
      <c r="N256" s="6" t="s">
        <v>1647</v>
      </c>
      <c r="O256" t="str">
        <f t="shared" si="13"/>
        <v>Normal</v>
      </c>
      <c r="P256" t="str">
        <f t="shared" si="14"/>
        <v>Duplicate ID</v>
      </c>
      <c r="Q256" t="str">
        <f t="shared" si="15"/>
        <v>0-4,999</v>
      </c>
      <c r="R256" s="6">
        <f>IF(COUNTIF($A$2:A256,A256)=1,1,0)</f>
        <v>1</v>
      </c>
    </row>
    <row r="257" spans="1:18" x14ac:dyDescent="0.25">
      <c r="A257" s="6">
        <v>1301</v>
      </c>
      <c r="B257" s="7">
        <v>44899</v>
      </c>
      <c r="C257" t="s">
        <v>79</v>
      </c>
      <c r="D257" s="6">
        <v>2020</v>
      </c>
      <c r="E257" s="8">
        <v>10741</v>
      </c>
      <c r="F257" s="8">
        <v>15000</v>
      </c>
      <c r="G257" s="8">
        <f t="shared" si="12"/>
        <v>4259</v>
      </c>
      <c r="H257" s="6">
        <v>40000</v>
      </c>
      <c r="I257" t="s">
        <v>69</v>
      </c>
      <c r="J257" t="s">
        <v>1647</v>
      </c>
      <c r="K257" t="s">
        <v>96</v>
      </c>
      <c r="L257" t="s">
        <v>1647</v>
      </c>
      <c r="M257" t="s">
        <v>90</v>
      </c>
      <c r="N257" s="6">
        <v>1</v>
      </c>
      <c r="O257" t="str">
        <f t="shared" si="13"/>
        <v>Normal</v>
      </c>
      <c r="P257" t="str">
        <f t="shared" si="14"/>
        <v>Duplicate ID</v>
      </c>
      <c r="Q257" t="str">
        <f t="shared" si="15"/>
        <v>10,000-14,999</v>
      </c>
      <c r="R257" s="6">
        <f>IF(COUNTIF($A$2:A257,A257)=1,1,0)</f>
        <v>1</v>
      </c>
    </row>
    <row r="258" spans="1:18" x14ac:dyDescent="0.25">
      <c r="A258" s="6">
        <v>1182</v>
      </c>
      <c r="B258" s="7">
        <v>44468</v>
      </c>
      <c r="C258" t="s">
        <v>57</v>
      </c>
      <c r="D258" s="6"/>
      <c r="E258" s="8">
        <v>14172</v>
      </c>
      <c r="F258" s="8">
        <v>18000</v>
      </c>
      <c r="G258" s="8">
        <f t="shared" ref="G258:G321" si="16">IF(OR(F258="",E258=""),"",F258-E258)</f>
        <v>3828</v>
      </c>
      <c r="H258" s="6">
        <v>120000</v>
      </c>
      <c r="I258" t="s">
        <v>41</v>
      </c>
      <c r="J258" t="s">
        <v>72</v>
      </c>
      <c r="K258" t="s">
        <v>1647</v>
      </c>
      <c r="L258" t="s">
        <v>48</v>
      </c>
      <c r="M258" t="s">
        <v>98</v>
      </c>
      <c r="N258" s="6" t="s">
        <v>1647</v>
      </c>
      <c r="O258" t="str">
        <f t="shared" ref="O258:O321" si="17">IF(E258&lt;1000,"Outlier","Normal")</f>
        <v>Normal</v>
      </c>
      <c r="P258" t="str">
        <f t="shared" ref="P258:P321" si="18">IF(COUNTIF($A$2:$A$2501,A258)&gt;1,"Duplicate ID","Unique ID")</f>
        <v>Duplicate ID</v>
      </c>
      <c r="Q258" t="str">
        <f t="shared" ref="Q258:Q321" si="19">IF(E258&lt;5000,"0-4,999",IF(E258&lt;10000,"5,000-9,999",IF(E258&lt;15000,"10,000-14,999",IF(E258&lt;20000,"15,000-19,999",IF(E258&lt;25000,"20,000-24,999","25,000-30,000")))))</f>
        <v>10,000-14,999</v>
      </c>
      <c r="R258" s="6">
        <f>IF(COUNTIF($A$2:A258,A258)=1,1,0)</f>
        <v>1</v>
      </c>
    </row>
    <row r="259" spans="1:18" x14ac:dyDescent="0.25">
      <c r="A259" s="6">
        <v>1390</v>
      </c>
      <c r="B259" s="7">
        <v>44248</v>
      </c>
      <c r="C259" t="s">
        <v>51</v>
      </c>
      <c r="D259" s="6">
        <v>2020</v>
      </c>
      <c r="E259" s="8">
        <v>5128</v>
      </c>
      <c r="F259" s="8">
        <v>7000</v>
      </c>
      <c r="G259" s="8">
        <f t="shared" si="16"/>
        <v>1872</v>
      </c>
      <c r="H259" s="6">
        <v>80000</v>
      </c>
      <c r="I259" t="s">
        <v>58</v>
      </c>
      <c r="J259" t="s">
        <v>72</v>
      </c>
      <c r="K259" t="s">
        <v>96</v>
      </c>
      <c r="L259" t="s">
        <v>100</v>
      </c>
      <c r="M259" t="s">
        <v>126</v>
      </c>
      <c r="N259" s="6">
        <v>2</v>
      </c>
      <c r="O259" t="str">
        <f t="shared" si="17"/>
        <v>Normal</v>
      </c>
      <c r="P259" t="str">
        <f t="shared" si="18"/>
        <v>Duplicate ID</v>
      </c>
      <c r="Q259" t="str">
        <f t="shared" si="19"/>
        <v>5,000-9,999</v>
      </c>
      <c r="R259" s="6">
        <f>IF(COUNTIF($A$2:A259,A259)=1,1,0)</f>
        <v>0</v>
      </c>
    </row>
    <row r="260" spans="1:18" x14ac:dyDescent="0.25">
      <c r="A260" s="6">
        <v>1575</v>
      </c>
      <c r="B260" s="7">
        <v>44406</v>
      </c>
      <c r="C260" t="s">
        <v>57</v>
      </c>
      <c r="D260" s="6">
        <v>2022</v>
      </c>
      <c r="E260" s="8">
        <v>2293</v>
      </c>
      <c r="F260" s="8">
        <v>7000</v>
      </c>
      <c r="G260" s="8">
        <f t="shared" si="16"/>
        <v>4707</v>
      </c>
      <c r="H260" s="6">
        <v>40000</v>
      </c>
      <c r="I260" t="s">
        <v>58</v>
      </c>
      <c r="J260" t="s">
        <v>1647</v>
      </c>
      <c r="K260" t="s">
        <v>96</v>
      </c>
      <c r="L260" t="s">
        <v>73</v>
      </c>
      <c r="M260" t="s">
        <v>98</v>
      </c>
      <c r="N260" s="6">
        <v>3</v>
      </c>
      <c r="O260" t="str">
        <f t="shared" si="17"/>
        <v>Normal</v>
      </c>
      <c r="P260" t="str">
        <f t="shared" si="18"/>
        <v>Duplicate ID</v>
      </c>
      <c r="Q260" t="str">
        <f t="shared" si="19"/>
        <v>0-4,999</v>
      </c>
      <c r="R260" s="6">
        <f>IF(COUNTIF($A$2:A260,A260)=1,1,0)</f>
        <v>1</v>
      </c>
    </row>
    <row r="261" spans="1:18" x14ac:dyDescent="0.25">
      <c r="A261" s="6">
        <v>1257</v>
      </c>
      <c r="B261" s="7">
        <v>44223</v>
      </c>
      <c r="C261" t="s">
        <v>1648</v>
      </c>
      <c r="D261" s="6">
        <v>2018</v>
      </c>
      <c r="E261" s="8">
        <v>20560</v>
      </c>
      <c r="F261" s="8">
        <v>22000</v>
      </c>
      <c r="G261" s="8">
        <f t="shared" si="16"/>
        <v>1440</v>
      </c>
      <c r="H261" s="6">
        <v>80000</v>
      </c>
      <c r="I261" t="s">
        <v>1647</v>
      </c>
      <c r="J261" t="s">
        <v>35</v>
      </c>
      <c r="K261" t="s">
        <v>96</v>
      </c>
      <c r="L261" t="s">
        <v>1647</v>
      </c>
      <c r="M261" t="s">
        <v>90</v>
      </c>
      <c r="N261" s="6">
        <v>1</v>
      </c>
      <c r="O261" t="str">
        <f t="shared" si="17"/>
        <v>Normal</v>
      </c>
      <c r="P261" t="str">
        <f t="shared" si="18"/>
        <v>Duplicate ID</v>
      </c>
      <c r="Q261" t="str">
        <f t="shared" si="19"/>
        <v>20,000-24,999</v>
      </c>
      <c r="R261" s="6">
        <f>IF(COUNTIF($A$2:A261,A261)=1,1,0)</f>
        <v>1</v>
      </c>
    </row>
    <row r="262" spans="1:18" x14ac:dyDescent="0.25">
      <c r="A262" s="6">
        <v>1177</v>
      </c>
      <c r="B262" s="7">
        <v>44579</v>
      </c>
      <c r="C262" t="s">
        <v>51</v>
      </c>
      <c r="D262" s="6">
        <v>2021</v>
      </c>
      <c r="E262" s="8">
        <v>10390</v>
      </c>
      <c r="F262" s="8">
        <v>12000</v>
      </c>
      <c r="G262" s="8">
        <f t="shared" si="16"/>
        <v>1610</v>
      </c>
      <c r="H262" s="6">
        <v>120000</v>
      </c>
      <c r="I262" t="s">
        <v>69</v>
      </c>
      <c r="J262" t="s">
        <v>1647</v>
      </c>
      <c r="K262" t="s">
        <v>96</v>
      </c>
      <c r="L262" t="s">
        <v>100</v>
      </c>
      <c r="M262" t="s">
        <v>90</v>
      </c>
      <c r="N262" s="6" t="s">
        <v>1647</v>
      </c>
      <c r="O262" t="str">
        <f t="shared" si="17"/>
        <v>Normal</v>
      </c>
      <c r="P262" t="str">
        <f t="shared" si="18"/>
        <v>Duplicate ID</v>
      </c>
      <c r="Q262" t="str">
        <f t="shared" si="19"/>
        <v>10,000-14,999</v>
      </c>
      <c r="R262" s="6">
        <f>IF(COUNTIF($A$2:A262,A262)=1,1,0)</f>
        <v>1</v>
      </c>
    </row>
    <row r="263" spans="1:18" x14ac:dyDescent="0.25">
      <c r="A263" s="6">
        <v>1040</v>
      </c>
      <c r="B263" s="7">
        <v>44514</v>
      </c>
      <c r="C263" t="s">
        <v>119</v>
      </c>
      <c r="D263" s="6">
        <v>2014</v>
      </c>
      <c r="E263" s="8">
        <v>15187</v>
      </c>
      <c r="F263" s="8">
        <v>22000</v>
      </c>
      <c r="G263" s="8">
        <f t="shared" si="16"/>
        <v>6813</v>
      </c>
      <c r="H263" s="6">
        <v>60000</v>
      </c>
      <c r="I263" t="s">
        <v>69</v>
      </c>
      <c r="J263" t="s">
        <v>72</v>
      </c>
      <c r="K263" t="s">
        <v>1647</v>
      </c>
      <c r="L263" t="s">
        <v>1647</v>
      </c>
      <c r="M263" t="s">
        <v>45</v>
      </c>
      <c r="N263" s="6">
        <v>0</v>
      </c>
      <c r="O263" t="str">
        <f t="shared" si="17"/>
        <v>Normal</v>
      </c>
      <c r="P263" t="str">
        <f t="shared" si="18"/>
        <v>Duplicate ID</v>
      </c>
      <c r="Q263" t="str">
        <f t="shared" si="19"/>
        <v>15,000-19,999</v>
      </c>
      <c r="R263" s="6">
        <f>IF(COUNTIF($A$2:A263,A263)=1,1,0)</f>
        <v>1</v>
      </c>
    </row>
    <row r="264" spans="1:18" x14ac:dyDescent="0.25">
      <c r="A264" s="6">
        <v>1517</v>
      </c>
      <c r="B264" s="7">
        <v>44336</v>
      </c>
      <c r="C264" t="s">
        <v>51</v>
      </c>
      <c r="D264" s="6">
        <v>2022</v>
      </c>
      <c r="E264" s="8">
        <v>9736</v>
      </c>
      <c r="F264" s="8">
        <v>15000</v>
      </c>
      <c r="G264" s="8">
        <f t="shared" si="16"/>
        <v>5264</v>
      </c>
      <c r="H264" s="6">
        <v>25000</v>
      </c>
      <c r="I264" t="s">
        <v>69</v>
      </c>
      <c r="J264" t="s">
        <v>35</v>
      </c>
      <c r="K264" t="s">
        <v>36</v>
      </c>
      <c r="L264" t="s">
        <v>54</v>
      </c>
      <c r="M264" t="s">
        <v>45</v>
      </c>
      <c r="N264" s="6">
        <v>2</v>
      </c>
      <c r="O264" t="str">
        <f t="shared" si="17"/>
        <v>Normal</v>
      </c>
      <c r="P264" t="str">
        <f t="shared" si="18"/>
        <v>Duplicate ID</v>
      </c>
      <c r="Q264" t="str">
        <f t="shared" si="19"/>
        <v>5,000-9,999</v>
      </c>
      <c r="R264" s="6">
        <f>IF(COUNTIF($A$2:A264,A264)=1,1,0)</f>
        <v>1</v>
      </c>
    </row>
    <row r="265" spans="1:18" x14ac:dyDescent="0.25">
      <c r="A265" s="6">
        <v>1117</v>
      </c>
      <c r="B265" s="7">
        <v>44215</v>
      </c>
      <c r="C265" t="s">
        <v>51</v>
      </c>
      <c r="D265" s="6">
        <v>2017</v>
      </c>
      <c r="E265" s="8">
        <v>24681</v>
      </c>
      <c r="F265" s="8">
        <v>31000</v>
      </c>
      <c r="G265" s="8">
        <f t="shared" si="16"/>
        <v>6319</v>
      </c>
      <c r="H265" s="6">
        <v>80000</v>
      </c>
      <c r="I265" t="s">
        <v>58</v>
      </c>
      <c r="J265" t="s">
        <v>35</v>
      </c>
      <c r="K265" t="s">
        <v>96</v>
      </c>
      <c r="L265" t="s">
        <v>48</v>
      </c>
      <c r="M265" t="s">
        <v>126</v>
      </c>
      <c r="N265" s="6">
        <v>3</v>
      </c>
      <c r="O265" t="str">
        <f t="shared" si="17"/>
        <v>Normal</v>
      </c>
      <c r="P265" t="str">
        <f t="shared" si="18"/>
        <v>Duplicate ID</v>
      </c>
      <c r="Q265" t="str">
        <f t="shared" si="19"/>
        <v>20,000-24,999</v>
      </c>
      <c r="R265" s="6">
        <f>IF(COUNTIF($A$2:A265,A265)=1,1,0)</f>
        <v>1</v>
      </c>
    </row>
    <row r="266" spans="1:18" x14ac:dyDescent="0.25">
      <c r="A266" s="6">
        <v>1526</v>
      </c>
      <c r="B266" s="7">
        <v>44964</v>
      </c>
      <c r="C266" t="s">
        <v>119</v>
      </c>
      <c r="D266" s="6">
        <v>2022</v>
      </c>
      <c r="E266" s="8">
        <v>12766</v>
      </c>
      <c r="F266" s="8">
        <v>18000</v>
      </c>
      <c r="G266" s="8">
        <f t="shared" si="16"/>
        <v>5234</v>
      </c>
      <c r="H266" s="6">
        <v>15000</v>
      </c>
      <c r="I266" t="s">
        <v>58</v>
      </c>
      <c r="J266" t="s">
        <v>72</v>
      </c>
      <c r="K266" t="s">
        <v>1647</v>
      </c>
      <c r="L266" t="s">
        <v>73</v>
      </c>
      <c r="M266" t="s">
        <v>126</v>
      </c>
      <c r="N266" s="6">
        <v>1</v>
      </c>
      <c r="O266" t="str">
        <f t="shared" si="17"/>
        <v>Normal</v>
      </c>
      <c r="P266" t="str">
        <f t="shared" si="18"/>
        <v>Duplicate ID</v>
      </c>
      <c r="Q266" t="str">
        <f t="shared" si="19"/>
        <v>10,000-14,999</v>
      </c>
      <c r="R266" s="6">
        <f>IF(COUNTIF($A$2:A266,A266)=1,1,0)</f>
        <v>0</v>
      </c>
    </row>
    <row r="267" spans="1:18" x14ac:dyDescent="0.25">
      <c r="A267" s="6">
        <v>1434</v>
      </c>
      <c r="B267" s="7">
        <v>44633</v>
      </c>
      <c r="C267" t="s">
        <v>40</v>
      </c>
      <c r="D267" s="6">
        <v>2018</v>
      </c>
      <c r="E267" s="8">
        <v>2509</v>
      </c>
      <c r="F267" s="8">
        <v>9000</v>
      </c>
      <c r="G267" s="8">
        <f t="shared" si="16"/>
        <v>6491</v>
      </c>
      <c r="H267" s="6">
        <v>25000</v>
      </c>
      <c r="I267" t="s">
        <v>34</v>
      </c>
      <c r="J267" t="s">
        <v>35</v>
      </c>
      <c r="K267" t="s">
        <v>36</v>
      </c>
      <c r="L267" t="s">
        <v>73</v>
      </c>
      <c r="M267" t="s">
        <v>98</v>
      </c>
      <c r="N267" s="6">
        <v>2</v>
      </c>
      <c r="O267" t="str">
        <f t="shared" si="17"/>
        <v>Normal</v>
      </c>
      <c r="P267" t="str">
        <f t="shared" si="18"/>
        <v>Duplicate ID</v>
      </c>
      <c r="Q267" t="str">
        <f t="shared" si="19"/>
        <v>0-4,999</v>
      </c>
      <c r="R267" s="6">
        <f>IF(COUNTIF($A$2:A267,A267)=1,1,0)</f>
        <v>1</v>
      </c>
    </row>
    <row r="268" spans="1:18" x14ac:dyDescent="0.25">
      <c r="A268" s="6">
        <v>1571</v>
      </c>
      <c r="B268" s="7">
        <v>44712</v>
      </c>
      <c r="C268" t="s">
        <v>40</v>
      </c>
      <c r="D268" s="6">
        <v>2015</v>
      </c>
      <c r="E268" s="8">
        <v>6542</v>
      </c>
      <c r="F268" s="8">
        <v>9000</v>
      </c>
      <c r="G268" s="8">
        <f t="shared" si="16"/>
        <v>2458</v>
      </c>
      <c r="H268" s="6">
        <v>15000</v>
      </c>
      <c r="I268" t="s">
        <v>34</v>
      </c>
      <c r="J268" t="s">
        <v>72</v>
      </c>
      <c r="K268" t="s">
        <v>96</v>
      </c>
      <c r="L268" t="s">
        <v>48</v>
      </c>
      <c r="M268" t="s">
        <v>98</v>
      </c>
      <c r="N268" s="6">
        <v>2</v>
      </c>
      <c r="O268" t="str">
        <f t="shared" si="17"/>
        <v>Normal</v>
      </c>
      <c r="P268" t="str">
        <f t="shared" si="18"/>
        <v>Duplicate ID</v>
      </c>
      <c r="Q268" t="str">
        <f t="shared" si="19"/>
        <v>5,000-9,999</v>
      </c>
      <c r="R268" s="6">
        <f>IF(COUNTIF($A$2:A268,A268)=1,1,0)</f>
        <v>1</v>
      </c>
    </row>
    <row r="269" spans="1:18" x14ac:dyDescent="0.25">
      <c r="A269" s="6">
        <v>1599</v>
      </c>
      <c r="B269" s="7">
        <v>44326</v>
      </c>
      <c r="C269" t="s">
        <v>40</v>
      </c>
      <c r="D269" s="6">
        <v>2020</v>
      </c>
      <c r="E269" s="8">
        <v>7952</v>
      </c>
      <c r="F269" s="8">
        <v>9000</v>
      </c>
      <c r="G269" s="8">
        <f t="shared" si="16"/>
        <v>1048</v>
      </c>
      <c r="H269" s="6">
        <v>80000</v>
      </c>
      <c r="I269" t="s">
        <v>41</v>
      </c>
      <c r="J269" t="s">
        <v>72</v>
      </c>
      <c r="K269" t="s">
        <v>96</v>
      </c>
      <c r="L269" t="s">
        <v>73</v>
      </c>
      <c r="M269" t="s">
        <v>45</v>
      </c>
      <c r="N269" s="6">
        <v>3</v>
      </c>
      <c r="O269" t="str">
        <f t="shared" si="17"/>
        <v>Normal</v>
      </c>
      <c r="P269" t="str">
        <f t="shared" si="18"/>
        <v>Duplicate ID</v>
      </c>
      <c r="Q269" t="str">
        <f t="shared" si="19"/>
        <v>5,000-9,999</v>
      </c>
      <c r="R269" s="6">
        <f>IF(COUNTIF($A$2:A269,A269)=1,1,0)</f>
        <v>1</v>
      </c>
    </row>
    <row r="270" spans="1:18" x14ac:dyDescent="0.25">
      <c r="A270" s="6">
        <v>1225</v>
      </c>
      <c r="B270" s="7">
        <v>45289</v>
      </c>
      <c r="C270" t="s">
        <v>79</v>
      </c>
      <c r="D270" s="6">
        <v>2020</v>
      </c>
      <c r="E270" s="8">
        <v>4720</v>
      </c>
      <c r="F270" s="8">
        <v>7000</v>
      </c>
      <c r="G270" s="8">
        <f t="shared" si="16"/>
        <v>2280</v>
      </c>
      <c r="H270" s="6">
        <v>60000</v>
      </c>
      <c r="I270" t="s">
        <v>69</v>
      </c>
      <c r="J270" t="s">
        <v>35</v>
      </c>
      <c r="K270" t="s">
        <v>96</v>
      </c>
      <c r="L270" t="s">
        <v>54</v>
      </c>
      <c r="M270" t="s">
        <v>126</v>
      </c>
      <c r="N270" s="6" t="s">
        <v>1647</v>
      </c>
      <c r="O270" t="str">
        <f t="shared" si="17"/>
        <v>Normal</v>
      </c>
      <c r="P270" t="str">
        <f t="shared" si="18"/>
        <v>Duplicate ID</v>
      </c>
      <c r="Q270" t="str">
        <f t="shared" si="19"/>
        <v>0-4,999</v>
      </c>
      <c r="R270" s="6">
        <f>IF(COUNTIF($A$2:A270,A270)=1,1,0)</f>
        <v>1</v>
      </c>
    </row>
    <row r="271" spans="1:18" x14ac:dyDescent="0.25">
      <c r="A271" s="6">
        <v>1550</v>
      </c>
      <c r="B271" s="7">
        <v>45004</v>
      </c>
      <c r="C271" t="s">
        <v>32</v>
      </c>
      <c r="D271" s="6">
        <v>2015</v>
      </c>
      <c r="E271" s="8">
        <v>1309</v>
      </c>
      <c r="F271" s="8">
        <v>7000</v>
      </c>
      <c r="G271" s="8">
        <f t="shared" si="16"/>
        <v>5691</v>
      </c>
      <c r="H271" s="6">
        <v>15000</v>
      </c>
      <c r="I271" t="s">
        <v>69</v>
      </c>
      <c r="J271" t="s">
        <v>35</v>
      </c>
      <c r="K271" t="s">
        <v>96</v>
      </c>
      <c r="L271" t="s">
        <v>1647</v>
      </c>
      <c r="M271" t="s">
        <v>90</v>
      </c>
      <c r="N271" s="6">
        <v>1</v>
      </c>
      <c r="O271" t="str">
        <f t="shared" si="17"/>
        <v>Normal</v>
      </c>
      <c r="P271" t="str">
        <f t="shared" si="18"/>
        <v>Duplicate ID</v>
      </c>
      <c r="Q271" t="str">
        <f t="shared" si="19"/>
        <v>0-4,999</v>
      </c>
      <c r="R271" s="6">
        <f>IF(COUNTIF($A$2:A271,A271)=1,1,0)</f>
        <v>1</v>
      </c>
    </row>
    <row r="272" spans="1:18" x14ac:dyDescent="0.25">
      <c r="A272" s="6">
        <v>1580</v>
      </c>
      <c r="B272" s="7">
        <v>44568</v>
      </c>
      <c r="C272" t="s">
        <v>57</v>
      </c>
      <c r="D272" s="6">
        <v>2017</v>
      </c>
      <c r="E272" s="8">
        <v>16062</v>
      </c>
      <c r="F272" s="8">
        <v>18000</v>
      </c>
      <c r="G272" s="8">
        <f t="shared" si="16"/>
        <v>1938</v>
      </c>
      <c r="H272" s="6">
        <v>25000</v>
      </c>
      <c r="I272" t="s">
        <v>1647</v>
      </c>
      <c r="J272" t="s">
        <v>1647</v>
      </c>
      <c r="K272" t="s">
        <v>36</v>
      </c>
      <c r="L272" t="s">
        <v>54</v>
      </c>
      <c r="M272" t="s">
        <v>126</v>
      </c>
      <c r="N272" s="6">
        <v>2</v>
      </c>
      <c r="O272" t="str">
        <f t="shared" si="17"/>
        <v>Normal</v>
      </c>
      <c r="P272" t="str">
        <f t="shared" si="18"/>
        <v>Duplicate ID</v>
      </c>
      <c r="Q272" t="str">
        <f t="shared" si="19"/>
        <v>15,000-19,999</v>
      </c>
      <c r="R272" s="6">
        <f>IF(COUNTIF($A$2:A272,A272)=1,1,0)</f>
        <v>1</v>
      </c>
    </row>
    <row r="273" spans="1:18" x14ac:dyDescent="0.25">
      <c r="A273" s="6">
        <v>1240</v>
      </c>
      <c r="B273" s="7">
        <v>44459</v>
      </c>
      <c r="C273" t="s">
        <v>32</v>
      </c>
      <c r="D273" s="6">
        <v>2017</v>
      </c>
      <c r="E273" s="8">
        <v>27075</v>
      </c>
      <c r="F273" s="8">
        <v>31000</v>
      </c>
      <c r="G273" s="8">
        <f t="shared" si="16"/>
        <v>3925</v>
      </c>
      <c r="H273" s="6">
        <v>40000</v>
      </c>
      <c r="I273" t="s">
        <v>69</v>
      </c>
      <c r="J273" t="s">
        <v>72</v>
      </c>
      <c r="K273" t="s">
        <v>96</v>
      </c>
      <c r="L273" t="s">
        <v>54</v>
      </c>
      <c r="M273" t="s">
        <v>45</v>
      </c>
      <c r="N273" s="6" t="s">
        <v>1647</v>
      </c>
      <c r="O273" t="str">
        <f t="shared" si="17"/>
        <v>Normal</v>
      </c>
      <c r="P273" t="str">
        <f t="shared" si="18"/>
        <v>Duplicate ID</v>
      </c>
      <c r="Q273" t="str">
        <f t="shared" si="19"/>
        <v>25,000-30,000</v>
      </c>
      <c r="R273" s="6">
        <f>IF(COUNTIF($A$2:A273,A273)=1,1,0)</f>
        <v>1</v>
      </c>
    </row>
    <row r="274" spans="1:18" x14ac:dyDescent="0.25">
      <c r="A274" s="6">
        <v>1004</v>
      </c>
      <c r="B274" s="7">
        <v>44542</v>
      </c>
      <c r="C274" t="s">
        <v>32</v>
      </c>
      <c r="D274" s="6"/>
      <c r="E274" s="8">
        <v>17492</v>
      </c>
      <c r="F274" s="8">
        <v>22000</v>
      </c>
      <c r="G274" s="8">
        <f t="shared" si="16"/>
        <v>4508</v>
      </c>
      <c r="H274" s="6">
        <v>40000</v>
      </c>
      <c r="I274" t="s">
        <v>34</v>
      </c>
      <c r="J274" t="s">
        <v>72</v>
      </c>
      <c r="K274" t="s">
        <v>96</v>
      </c>
      <c r="L274" t="s">
        <v>100</v>
      </c>
      <c r="M274" t="s">
        <v>45</v>
      </c>
      <c r="N274" s="6">
        <v>3</v>
      </c>
      <c r="O274" t="str">
        <f t="shared" si="17"/>
        <v>Normal</v>
      </c>
      <c r="P274" t="str">
        <f t="shared" si="18"/>
        <v>Duplicate ID</v>
      </c>
      <c r="Q274" t="str">
        <f t="shared" si="19"/>
        <v>15,000-19,999</v>
      </c>
      <c r="R274" s="6">
        <f>IF(COUNTIF($A$2:A274,A274)=1,1,0)</f>
        <v>0</v>
      </c>
    </row>
    <row r="275" spans="1:18" x14ac:dyDescent="0.25">
      <c r="A275" s="6">
        <v>1111</v>
      </c>
      <c r="B275" s="7">
        <v>45326</v>
      </c>
      <c r="C275" t="s">
        <v>1648</v>
      </c>
      <c r="D275" s="6">
        <v>2021</v>
      </c>
      <c r="E275" s="8">
        <v>17011</v>
      </c>
      <c r="F275" s="8">
        <v>22000</v>
      </c>
      <c r="G275" s="8">
        <f t="shared" si="16"/>
        <v>4989</v>
      </c>
      <c r="H275" s="6">
        <v>40000</v>
      </c>
      <c r="I275" t="s">
        <v>58</v>
      </c>
      <c r="J275" t="s">
        <v>1647</v>
      </c>
      <c r="K275" t="s">
        <v>36</v>
      </c>
      <c r="L275" t="s">
        <v>54</v>
      </c>
      <c r="M275" t="s">
        <v>126</v>
      </c>
      <c r="N275" s="6">
        <v>0</v>
      </c>
      <c r="O275" t="str">
        <f t="shared" si="17"/>
        <v>Normal</v>
      </c>
      <c r="P275" t="str">
        <f t="shared" si="18"/>
        <v>Duplicate ID</v>
      </c>
      <c r="Q275" t="str">
        <f t="shared" si="19"/>
        <v>15,000-19,999</v>
      </c>
      <c r="R275" s="6">
        <f>IF(COUNTIF($A$2:A275,A275)=1,1,0)</f>
        <v>0</v>
      </c>
    </row>
    <row r="276" spans="1:18" x14ac:dyDescent="0.25">
      <c r="A276" s="6">
        <v>1217</v>
      </c>
      <c r="B276" s="7">
        <v>45026</v>
      </c>
      <c r="C276" t="s">
        <v>40</v>
      </c>
      <c r="D276" s="6">
        <v>2022</v>
      </c>
      <c r="E276" s="8">
        <v>1258</v>
      </c>
      <c r="F276" s="8">
        <v>7000</v>
      </c>
      <c r="G276" s="8">
        <f t="shared" si="16"/>
        <v>5742</v>
      </c>
      <c r="H276" s="6">
        <v>80000</v>
      </c>
      <c r="I276" t="s">
        <v>1647</v>
      </c>
      <c r="J276" t="s">
        <v>35</v>
      </c>
      <c r="K276" t="s">
        <v>96</v>
      </c>
      <c r="L276" t="s">
        <v>48</v>
      </c>
      <c r="M276" t="s">
        <v>90</v>
      </c>
      <c r="N276" s="6" t="s">
        <v>1647</v>
      </c>
      <c r="O276" t="str">
        <f t="shared" si="17"/>
        <v>Normal</v>
      </c>
      <c r="P276" t="str">
        <f t="shared" si="18"/>
        <v>Duplicate ID</v>
      </c>
      <c r="Q276" t="str">
        <f t="shared" si="19"/>
        <v>0-4,999</v>
      </c>
      <c r="R276" s="6">
        <f>IF(COUNTIF($A$2:A276,A276)=1,1,0)</f>
        <v>1</v>
      </c>
    </row>
    <row r="277" spans="1:18" x14ac:dyDescent="0.25">
      <c r="A277" s="6">
        <v>1406</v>
      </c>
      <c r="B277" s="7">
        <v>44382</v>
      </c>
      <c r="C277" t="s">
        <v>51</v>
      </c>
      <c r="D277" s="6">
        <v>2016</v>
      </c>
      <c r="E277" s="8">
        <v>25819</v>
      </c>
      <c r="F277" s="8">
        <v>31000</v>
      </c>
      <c r="G277" s="8">
        <f t="shared" si="16"/>
        <v>5181</v>
      </c>
      <c r="H277" s="6">
        <v>80000</v>
      </c>
      <c r="I277" t="s">
        <v>58</v>
      </c>
      <c r="J277" t="s">
        <v>1647</v>
      </c>
      <c r="K277" t="s">
        <v>36</v>
      </c>
      <c r="L277" t="s">
        <v>48</v>
      </c>
      <c r="M277" t="s">
        <v>90</v>
      </c>
      <c r="N277" s="6">
        <v>1</v>
      </c>
      <c r="O277" t="str">
        <f t="shared" si="17"/>
        <v>Normal</v>
      </c>
      <c r="P277" t="str">
        <f t="shared" si="18"/>
        <v>Duplicate ID</v>
      </c>
      <c r="Q277" t="str">
        <f t="shared" si="19"/>
        <v>25,000-30,000</v>
      </c>
      <c r="R277" s="6">
        <f>IF(COUNTIF($A$2:A277,A277)=1,1,0)</f>
        <v>0</v>
      </c>
    </row>
    <row r="278" spans="1:18" x14ac:dyDescent="0.25">
      <c r="A278" s="6">
        <v>1237</v>
      </c>
      <c r="B278" s="7">
        <v>45195</v>
      </c>
      <c r="C278" t="s">
        <v>32</v>
      </c>
      <c r="D278" s="6">
        <v>2021</v>
      </c>
      <c r="E278" s="8">
        <v>19208</v>
      </c>
      <c r="F278" s="8">
        <v>22000</v>
      </c>
      <c r="G278" s="8">
        <f t="shared" si="16"/>
        <v>2792</v>
      </c>
      <c r="H278" s="6">
        <v>15000</v>
      </c>
      <c r="I278" t="s">
        <v>58</v>
      </c>
      <c r="J278" t="s">
        <v>1647</v>
      </c>
      <c r="K278" t="s">
        <v>96</v>
      </c>
      <c r="L278" t="s">
        <v>48</v>
      </c>
      <c r="M278" t="s">
        <v>98</v>
      </c>
      <c r="N278" s="6">
        <v>3</v>
      </c>
      <c r="O278" t="str">
        <f t="shared" si="17"/>
        <v>Normal</v>
      </c>
      <c r="P278" t="str">
        <f t="shared" si="18"/>
        <v>Duplicate ID</v>
      </c>
      <c r="Q278" t="str">
        <f t="shared" si="19"/>
        <v>15,000-19,999</v>
      </c>
      <c r="R278" s="6">
        <f>IF(COUNTIF($A$2:A278,A278)=1,1,0)</f>
        <v>1</v>
      </c>
    </row>
    <row r="279" spans="1:18" x14ac:dyDescent="0.25">
      <c r="A279" s="6">
        <v>1280</v>
      </c>
      <c r="B279" s="7">
        <v>45264</v>
      </c>
      <c r="C279" t="s">
        <v>40</v>
      </c>
      <c r="D279" s="6">
        <v>2014</v>
      </c>
      <c r="E279" s="8">
        <v>15235</v>
      </c>
      <c r="F279" s="8">
        <v>22000</v>
      </c>
      <c r="G279" s="8">
        <f t="shared" si="16"/>
        <v>6765</v>
      </c>
      <c r="H279" s="6">
        <v>15000</v>
      </c>
      <c r="I279" t="s">
        <v>58</v>
      </c>
      <c r="J279" t="s">
        <v>72</v>
      </c>
      <c r="K279" t="s">
        <v>96</v>
      </c>
      <c r="L279" t="s">
        <v>54</v>
      </c>
      <c r="M279" t="s">
        <v>126</v>
      </c>
      <c r="N279" s="6" t="s">
        <v>1647</v>
      </c>
      <c r="O279" t="str">
        <f t="shared" si="17"/>
        <v>Normal</v>
      </c>
      <c r="P279" t="str">
        <f t="shared" si="18"/>
        <v>Duplicate ID</v>
      </c>
      <c r="Q279" t="str">
        <f t="shared" si="19"/>
        <v>15,000-19,999</v>
      </c>
      <c r="R279" s="6">
        <f>IF(COUNTIF($A$2:A279,A279)=1,1,0)</f>
        <v>1</v>
      </c>
    </row>
    <row r="280" spans="1:18" x14ac:dyDescent="0.25">
      <c r="A280" s="6">
        <v>1353</v>
      </c>
      <c r="B280" s="7">
        <v>44919</v>
      </c>
      <c r="C280" t="s">
        <v>119</v>
      </c>
      <c r="D280" s="6">
        <v>2020</v>
      </c>
      <c r="E280" s="8">
        <v>10676</v>
      </c>
      <c r="F280" s="8">
        <v>15000</v>
      </c>
      <c r="G280" s="8">
        <f t="shared" si="16"/>
        <v>4324</v>
      </c>
      <c r="H280" s="6">
        <v>80000</v>
      </c>
      <c r="I280" t="s">
        <v>58</v>
      </c>
      <c r="J280" t="s">
        <v>72</v>
      </c>
      <c r="K280" t="s">
        <v>36</v>
      </c>
      <c r="L280" t="s">
        <v>100</v>
      </c>
      <c r="M280" t="s">
        <v>126</v>
      </c>
      <c r="N280" s="6" t="s">
        <v>1647</v>
      </c>
      <c r="O280" t="str">
        <f t="shared" si="17"/>
        <v>Normal</v>
      </c>
      <c r="P280" t="str">
        <f t="shared" si="18"/>
        <v>Duplicate ID</v>
      </c>
      <c r="Q280" t="str">
        <f t="shared" si="19"/>
        <v>10,000-14,999</v>
      </c>
      <c r="R280" s="6">
        <f>IF(COUNTIF($A$2:A280,A280)=1,1,0)</f>
        <v>0</v>
      </c>
    </row>
    <row r="281" spans="1:18" x14ac:dyDescent="0.25">
      <c r="A281" s="6">
        <v>1121</v>
      </c>
      <c r="B281" s="7">
        <v>44938</v>
      </c>
      <c r="C281" t="s">
        <v>119</v>
      </c>
      <c r="D281" s="6">
        <v>2017</v>
      </c>
      <c r="E281" s="8">
        <v>9711</v>
      </c>
      <c r="F281" s="8">
        <v>12000</v>
      </c>
      <c r="G281" s="8">
        <f t="shared" si="16"/>
        <v>2289</v>
      </c>
      <c r="H281" s="6">
        <v>25000</v>
      </c>
      <c r="I281" t="s">
        <v>41</v>
      </c>
      <c r="J281" t="s">
        <v>72</v>
      </c>
      <c r="K281" t="s">
        <v>96</v>
      </c>
      <c r="L281" t="s">
        <v>48</v>
      </c>
      <c r="M281" t="s">
        <v>90</v>
      </c>
      <c r="N281" s="6" t="s">
        <v>1647</v>
      </c>
      <c r="O281" t="str">
        <f t="shared" si="17"/>
        <v>Normal</v>
      </c>
      <c r="P281" t="str">
        <f t="shared" si="18"/>
        <v>Duplicate ID</v>
      </c>
      <c r="Q281" t="str">
        <f t="shared" si="19"/>
        <v>5,000-9,999</v>
      </c>
      <c r="R281" s="6">
        <f>IF(COUNTIF($A$2:A281,A281)=1,1,0)</f>
        <v>1</v>
      </c>
    </row>
    <row r="282" spans="1:18" x14ac:dyDescent="0.25">
      <c r="A282" s="6">
        <v>1130</v>
      </c>
      <c r="B282" s="7">
        <v>44285</v>
      </c>
      <c r="C282" t="s">
        <v>57</v>
      </c>
      <c r="D282" s="6">
        <v>2018</v>
      </c>
      <c r="E282" s="8">
        <v>23004</v>
      </c>
      <c r="F282" s="8">
        <v>26000</v>
      </c>
      <c r="G282" s="8">
        <f t="shared" si="16"/>
        <v>2996</v>
      </c>
      <c r="H282" s="6">
        <v>15000</v>
      </c>
      <c r="I282" t="s">
        <v>41</v>
      </c>
      <c r="J282" t="s">
        <v>1647</v>
      </c>
      <c r="K282" t="s">
        <v>36</v>
      </c>
      <c r="L282" t="s">
        <v>73</v>
      </c>
      <c r="M282" t="s">
        <v>90</v>
      </c>
      <c r="N282" s="6">
        <v>2</v>
      </c>
      <c r="O282" t="str">
        <f t="shared" si="17"/>
        <v>Normal</v>
      </c>
      <c r="P282" t="str">
        <f t="shared" si="18"/>
        <v>Duplicate ID</v>
      </c>
      <c r="Q282" t="str">
        <f t="shared" si="19"/>
        <v>20,000-24,999</v>
      </c>
      <c r="R282" s="6">
        <f>IF(COUNTIF($A$2:A282,A282)=1,1,0)</f>
        <v>1</v>
      </c>
    </row>
    <row r="283" spans="1:18" x14ac:dyDescent="0.25">
      <c r="A283" s="6">
        <v>1290</v>
      </c>
      <c r="B283" s="7">
        <v>44235</v>
      </c>
      <c r="C283" t="s">
        <v>57</v>
      </c>
      <c r="D283" s="6">
        <v>2022</v>
      </c>
      <c r="E283" s="8">
        <v>20383</v>
      </c>
      <c r="F283" s="8">
        <v>26000</v>
      </c>
      <c r="G283" s="8">
        <f t="shared" si="16"/>
        <v>5617</v>
      </c>
      <c r="H283" s="6">
        <v>80000</v>
      </c>
      <c r="I283" t="s">
        <v>1647</v>
      </c>
      <c r="J283" t="s">
        <v>72</v>
      </c>
      <c r="K283" t="s">
        <v>36</v>
      </c>
      <c r="L283" t="s">
        <v>100</v>
      </c>
      <c r="M283" t="s">
        <v>98</v>
      </c>
      <c r="N283" s="6" t="s">
        <v>1647</v>
      </c>
      <c r="O283" t="str">
        <f t="shared" si="17"/>
        <v>Normal</v>
      </c>
      <c r="P283" t="str">
        <f t="shared" si="18"/>
        <v>Duplicate ID</v>
      </c>
      <c r="Q283" t="str">
        <f t="shared" si="19"/>
        <v>20,000-24,999</v>
      </c>
      <c r="R283" s="6">
        <f>IF(COUNTIF($A$2:A283,A283)=1,1,0)</f>
        <v>1</v>
      </c>
    </row>
    <row r="284" spans="1:18" x14ac:dyDescent="0.25">
      <c r="A284" s="6">
        <v>1270</v>
      </c>
      <c r="B284" s="7">
        <v>45243</v>
      </c>
      <c r="C284" t="s">
        <v>32</v>
      </c>
      <c r="D284" s="6"/>
      <c r="E284" s="8">
        <v>5597</v>
      </c>
      <c r="F284" s="8">
        <v>12000</v>
      </c>
      <c r="G284" s="8">
        <f t="shared" si="16"/>
        <v>6403</v>
      </c>
      <c r="H284" s="6">
        <v>80000</v>
      </c>
      <c r="I284" t="s">
        <v>41</v>
      </c>
      <c r="J284" t="s">
        <v>35</v>
      </c>
      <c r="K284" t="s">
        <v>96</v>
      </c>
      <c r="L284" t="s">
        <v>48</v>
      </c>
      <c r="M284" t="s">
        <v>90</v>
      </c>
      <c r="N284" s="6">
        <v>0</v>
      </c>
      <c r="O284" t="str">
        <f t="shared" si="17"/>
        <v>Normal</v>
      </c>
      <c r="P284" t="str">
        <f t="shared" si="18"/>
        <v>Duplicate ID</v>
      </c>
      <c r="Q284" t="str">
        <f t="shared" si="19"/>
        <v>5,000-9,999</v>
      </c>
      <c r="R284" s="6">
        <f>IF(COUNTIF($A$2:A284,A284)=1,1,0)</f>
        <v>1</v>
      </c>
    </row>
    <row r="285" spans="1:18" x14ac:dyDescent="0.25">
      <c r="A285" s="6">
        <v>1181</v>
      </c>
      <c r="B285" s="7">
        <v>44394</v>
      </c>
      <c r="C285" t="s">
        <v>40</v>
      </c>
      <c r="D285" s="6">
        <v>2017</v>
      </c>
      <c r="E285" s="8">
        <v>20040</v>
      </c>
      <c r="F285" s="8">
        <v>26000</v>
      </c>
      <c r="G285" s="8">
        <f t="shared" si="16"/>
        <v>5960</v>
      </c>
      <c r="H285" s="6">
        <v>25000</v>
      </c>
      <c r="I285" t="s">
        <v>41</v>
      </c>
      <c r="J285" t="s">
        <v>35</v>
      </c>
      <c r="K285" t="s">
        <v>96</v>
      </c>
      <c r="L285" t="s">
        <v>100</v>
      </c>
      <c r="M285" t="s">
        <v>1647</v>
      </c>
      <c r="N285" s="6">
        <v>0</v>
      </c>
      <c r="O285" t="str">
        <f t="shared" si="17"/>
        <v>Normal</v>
      </c>
      <c r="P285" t="str">
        <f t="shared" si="18"/>
        <v>Duplicate ID</v>
      </c>
      <c r="Q285" t="str">
        <f t="shared" si="19"/>
        <v>20,000-24,999</v>
      </c>
      <c r="R285" s="6">
        <f>IF(COUNTIF($A$2:A285,A285)=1,1,0)</f>
        <v>1</v>
      </c>
    </row>
    <row r="286" spans="1:18" x14ac:dyDescent="0.25">
      <c r="A286" s="6">
        <v>1439</v>
      </c>
      <c r="B286" s="7">
        <v>45282</v>
      </c>
      <c r="C286" t="s">
        <v>1648</v>
      </c>
      <c r="D286" s="6">
        <v>2022</v>
      </c>
      <c r="E286" s="8">
        <v>24645</v>
      </c>
      <c r="F286" s="8">
        <v>26000</v>
      </c>
      <c r="G286" s="8">
        <f t="shared" si="16"/>
        <v>1355</v>
      </c>
      <c r="H286" s="6">
        <v>40000</v>
      </c>
      <c r="I286" t="s">
        <v>34</v>
      </c>
      <c r="J286" t="s">
        <v>72</v>
      </c>
      <c r="K286" t="s">
        <v>1647</v>
      </c>
      <c r="L286" t="s">
        <v>73</v>
      </c>
      <c r="M286" t="s">
        <v>98</v>
      </c>
      <c r="N286" s="6">
        <v>1</v>
      </c>
      <c r="O286" t="str">
        <f t="shared" si="17"/>
        <v>Normal</v>
      </c>
      <c r="P286" t="str">
        <f t="shared" si="18"/>
        <v>Duplicate ID</v>
      </c>
      <c r="Q286" t="str">
        <f t="shared" si="19"/>
        <v>20,000-24,999</v>
      </c>
      <c r="R286" s="6">
        <f>IF(COUNTIF($A$2:A286,A286)=1,1,0)</f>
        <v>1</v>
      </c>
    </row>
    <row r="287" spans="1:18" x14ac:dyDescent="0.25">
      <c r="A287" s="6">
        <v>1418</v>
      </c>
      <c r="B287" s="7">
        <v>45310</v>
      </c>
      <c r="C287" t="s">
        <v>119</v>
      </c>
      <c r="D287" s="6">
        <v>2021</v>
      </c>
      <c r="E287" s="8">
        <v>11680</v>
      </c>
      <c r="F287" s="8">
        <v>15000</v>
      </c>
      <c r="G287" s="8">
        <f t="shared" si="16"/>
        <v>3320</v>
      </c>
      <c r="H287" s="6">
        <v>15000</v>
      </c>
      <c r="I287" t="s">
        <v>41</v>
      </c>
      <c r="J287" t="s">
        <v>1647</v>
      </c>
      <c r="K287" t="s">
        <v>1647</v>
      </c>
      <c r="L287" t="s">
        <v>73</v>
      </c>
      <c r="M287" t="s">
        <v>1647</v>
      </c>
      <c r="N287" s="6">
        <v>0</v>
      </c>
      <c r="O287" t="str">
        <f t="shared" si="17"/>
        <v>Normal</v>
      </c>
      <c r="P287" t="str">
        <f t="shared" si="18"/>
        <v>Duplicate ID</v>
      </c>
      <c r="Q287" t="str">
        <f t="shared" si="19"/>
        <v>10,000-14,999</v>
      </c>
      <c r="R287" s="6">
        <f>IF(COUNTIF($A$2:A287,A287)=1,1,0)</f>
        <v>0</v>
      </c>
    </row>
    <row r="288" spans="1:18" x14ac:dyDescent="0.25">
      <c r="A288" s="6">
        <v>1370</v>
      </c>
      <c r="B288" s="7">
        <v>45034</v>
      </c>
      <c r="C288" t="s">
        <v>79</v>
      </c>
      <c r="D288" s="6">
        <v>2018</v>
      </c>
      <c r="E288" s="8">
        <v>11413</v>
      </c>
      <c r="F288" s="8">
        <v>15000</v>
      </c>
      <c r="G288" s="8">
        <f t="shared" si="16"/>
        <v>3587</v>
      </c>
      <c r="H288" s="6">
        <v>120000</v>
      </c>
      <c r="I288" t="s">
        <v>69</v>
      </c>
      <c r="J288" t="s">
        <v>1647</v>
      </c>
      <c r="K288" t="s">
        <v>96</v>
      </c>
      <c r="L288" t="s">
        <v>54</v>
      </c>
      <c r="M288" t="s">
        <v>45</v>
      </c>
      <c r="N288" s="6">
        <v>3</v>
      </c>
      <c r="O288" t="str">
        <f t="shared" si="17"/>
        <v>Normal</v>
      </c>
      <c r="P288" t="str">
        <f t="shared" si="18"/>
        <v>Duplicate ID</v>
      </c>
      <c r="Q288" t="str">
        <f t="shared" si="19"/>
        <v>10,000-14,999</v>
      </c>
      <c r="R288" s="6">
        <f>IF(COUNTIF($A$2:A288,A288)=1,1,0)</f>
        <v>0</v>
      </c>
    </row>
    <row r="289" spans="1:18" x14ac:dyDescent="0.25">
      <c r="A289" s="6">
        <v>1568</v>
      </c>
      <c r="B289" s="7">
        <v>45342</v>
      </c>
      <c r="C289" t="s">
        <v>57</v>
      </c>
      <c r="D289" s="6">
        <v>2020</v>
      </c>
      <c r="E289" s="8">
        <v>26968</v>
      </c>
      <c r="F289" s="8">
        <v>31000</v>
      </c>
      <c r="G289" s="8">
        <f t="shared" si="16"/>
        <v>4032</v>
      </c>
      <c r="H289" s="6">
        <v>25000</v>
      </c>
      <c r="I289" t="s">
        <v>34</v>
      </c>
      <c r="J289" t="s">
        <v>35</v>
      </c>
      <c r="K289" t="s">
        <v>36</v>
      </c>
      <c r="L289" t="s">
        <v>100</v>
      </c>
      <c r="M289" t="s">
        <v>98</v>
      </c>
      <c r="N289" s="6">
        <v>1</v>
      </c>
      <c r="O289" t="str">
        <f t="shared" si="17"/>
        <v>Normal</v>
      </c>
      <c r="P289" t="str">
        <f t="shared" si="18"/>
        <v>Duplicate ID</v>
      </c>
      <c r="Q289" t="str">
        <f t="shared" si="19"/>
        <v>25,000-30,000</v>
      </c>
      <c r="R289" s="6">
        <f>IF(COUNTIF($A$2:A289,A289)=1,1,0)</f>
        <v>1</v>
      </c>
    </row>
    <row r="290" spans="1:18" x14ac:dyDescent="0.25">
      <c r="A290" s="6">
        <v>1164</v>
      </c>
      <c r="B290" s="7">
        <v>44303</v>
      </c>
      <c r="C290" t="s">
        <v>32</v>
      </c>
      <c r="D290" s="6">
        <v>2017</v>
      </c>
      <c r="E290" s="8">
        <v>20490</v>
      </c>
      <c r="F290" s="8">
        <v>26000</v>
      </c>
      <c r="G290" s="8">
        <f t="shared" si="16"/>
        <v>5510</v>
      </c>
      <c r="H290" s="6">
        <v>40000</v>
      </c>
      <c r="I290" t="s">
        <v>58</v>
      </c>
      <c r="J290" t="s">
        <v>72</v>
      </c>
      <c r="K290" t="s">
        <v>1647</v>
      </c>
      <c r="L290" t="s">
        <v>48</v>
      </c>
      <c r="M290" t="s">
        <v>126</v>
      </c>
      <c r="N290" s="6">
        <v>0</v>
      </c>
      <c r="O290" t="str">
        <f t="shared" si="17"/>
        <v>Normal</v>
      </c>
      <c r="P290" t="str">
        <f t="shared" si="18"/>
        <v>Duplicate ID</v>
      </c>
      <c r="Q290" t="str">
        <f t="shared" si="19"/>
        <v>20,000-24,999</v>
      </c>
      <c r="R290" s="6">
        <f>IF(COUNTIF($A$2:A290,A290)=1,1,0)</f>
        <v>1</v>
      </c>
    </row>
    <row r="291" spans="1:18" x14ac:dyDescent="0.25">
      <c r="A291" s="6">
        <v>1393</v>
      </c>
      <c r="B291" s="7">
        <v>44274</v>
      </c>
      <c r="C291" t="s">
        <v>119</v>
      </c>
      <c r="D291" s="6">
        <v>2017</v>
      </c>
      <c r="E291" s="8">
        <v>16011</v>
      </c>
      <c r="F291" s="8">
        <v>22000</v>
      </c>
      <c r="G291" s="8">
        <f t="shared" si="16"/>
        <v>5989</v>
      </c>
      <c r="H291" s="6">
        <v>15000</v>
      </c>
      <c r="I291" t="s">
        <v>69</v>
      </c>
      <c r="J291" t="s">
        <v>1647</v>
      </c>
      <c r="K291" t="s">
        <v>36</v>
      </c>
      <c r="L291" t="s">
        <v>100</v>
      </c>
      <c r="M291" t="s">
        <v>98</v>
      </c>
      <c r="N291" s="6">
        <v>3</v>
      </c>
      <c r="O291" t="str">
        <f t="shared" si="17"/>
        <v>Normal</v>
      </c>
      <c r="P291" t="str">
        <f t="shared" si="18"/>
        <v>Duplicate ID</v>
      </c>
      <c r="Q291" t="str">
        <f t="shared" si="19"/>
        <v>15,000-19,999</v>
      </c>
      <c r="R291" s="6">
        <f>IF(COUNTIF($A$2:A291,A291)=1,1,0)</f>
        <v>0</v>
      </c>
    </row>
    <row r="292" spans="1:18" x14ac:dyDescent="0.25">
      <c r="A292" s="6">
        <v>1528</v>
      </c>
      <c r="B292" s="7">
        <v>45242</v>
      </c>
      <c r="C292" t="s">
        <v>40</v>
      </c>
      <c r="D292" s="6">
        <v>2017</v>
      </c>
      <c r="E292" s="8">
        <v>16725</v>
      </c>
      <c r="F292" s="8">
        <v>18000</v>
      </c>
      <c r="G292" s="8">
        <f t="shared" si="16"/>
        <v>1275</v>
      </c>
      <c r="H292" s="6">
        <v>25000</v>
      </c>
      <c r="I292" t="s">
        <v>69</v>
      </c>
      <c r="J292" t="s">
        <v>35</v>
      </c>
      <c r="K292" t="s">
        <v>36</v>
      </c>
      <c r="L292" t="s">
        <v>100</v>
      </c>
      <c r="M292" t="s">
        <v>126</v>
      </c>
      <c r="N292" s="6">
        <v>2</v>
      </c>
      <c r="O292" t="str">
        <f t="shared" si="17"/>
        <v>Normal</v>
      </c>
      <c r="P292" t="str">
        <f t="shared" si="18"/>
        <v>Duplicate ID</v>
      </c>
      <c r="Q292" t="str">
        <f t="shared" si="19"/>
        <v>15,000-19,999</v>
      </c>
      <c r="R292" s="6">
        <f>IF(COUNTIF($A$2:A292,A292)=1,1,0)</f>
        <v>1</v>
      </c>
    </row>
    <row r="293" spans="1:18" x14ac:dyDescent="0.25">
      <c r="A293" s="6">
        <v>1530</v>
      </c>
      <c r="B293" s="7">
        <v>44607</v>
      </c>
      <c r="C293" t="s">
        <v>79</v>
      </c>
      <c r="D293" s="6">
        <v>2019</v>
      </c>
      <c r="E293" s="8">
        <v>20199</v>
      </c>
      <c r="F293" s="8">
        <v>26000</v>
      </c>
      <c r="G293" s="8">
        <f t="shared" si="16"/>
        <v>5801</v>
      </c>
      <c r="H293" s="6">
        <v>60000</v>
      </c>
      <c r="I293" t="s">
        <v>69</v>
      </c>
      <c r="J293" t="s">
        <v>1647</v>
      </c>
      <c r="K293" t="s">
        <v>1647</v>
      </c>
      <c r="L293" t="s">
        <v>54</v>
      </c>
      <c r="M293" t="s">
        <v>45</v>
      </c>
      <c r="N293" s="6">
        <v>2</v>
      </c>
      <c r="O293" t="str">
        <f t="shared" si="17"/>
        <v>Normal</v>
      </c>
      <c r="P293" t="str">
        <f t="shared" si="18"/>
        <v>Unique ID</v>
      </c>
      <c r="Q293" t="str">
        <f t="shared" si="19"/>
        <v>20,000-24,999</v>
      </c>
      <c r="R293" s="6">
        <f>IF(COUNTIF($A$2:A293,A293)=1,1,0)</f>
        <v>1</v>
      </c>
    </row>
    <row r="294" spans="1:18" x14ac:dyDescent="0.25">
      <c r="A294" s="6">
        <v>1004</v>
      </c>
      <c r="B294" s="7">
        <v>45374</v>
      </c>
      <c r="C294" t="s">
        <v>119</v>
      </c>
      <c r="D294" s="6"/>
      <c r="E294" s="8">
        <v>10691</v>
      </c>
      <c r="F294" s="8">
        <v>15000</v>
      </c>
      <c r="G294" s="8">
        <f t="shared" si="16"/>
        <v>4309</v>
      </c>
      <c r="H294" s="6">
        <v>60000</v>
      </c>
      <c r="I294" t="s">
        <v>41</v>
      </c>
      <c r="J294" t="s">
        <v>1647</v>
      </c>
      <c r="K294" t="s">
        <v>96</v>
      </c>
      <c r="L294" t="s">
        <v>54</v>
      </c>
      <c r="M294" t="s">
        <v>126</v>
      </c>
      <c r="N294" s="6" t="s">
        <v>1647</v>
      </c>
      <c r="O294" t="str">
        <f t="shared" si="17"/>
        <v>Normal</v>
      </c>
      <c r="P294" t="str">
        <f t="shared" si="18"/>
        <v>Duplicate ID</v>
      </c>
      <c r="Q294" t="str">
        <f t="shared" si="19"/>
        <v>10,000-14,999</v>
      </c>
      <c r="R294" s="6">
        <f>IF(COUNTIF($A$2:A294,A294)=1,1,0)</f>
        <v>0</v>
      </c>
    </row>
    <row r="295" spans="1:18" x14ac:dyDescent="0.25">
      <c r="A295" s="6">
        <v>1576</v>
      </c>
      <c r="B295" s="7">
        <v>44969</v>
      </c>
      <c r="C295" t="s">
        <v>119</v>
      </c>
      <c r="D295" s="6">
        <v>2022</v>
      </c>
      <c r="E295" s="8">
        <v>13373</v>
      </c>
      <c r="F295" s="8">
        <v>18000</v>
      </c>
      <c r="G295" s="8">
        <f t="shared" si="16"/>
        <v>4627</v>
      </c>
      <c r="H295" s="6">
        <v>120000</v>
      </c>
      <c r="I295" t="s">
        <v>1647</v>
      </c>
      <c r="J295" t="s">
        <v>72</v>
      </c>
      <c r="K295" t="s">
        <v>1647</v>
      </c>
      <c r="L295" t="s">
        <v>73</v>
      </c>
      <c r="M295" t="s">
        <v>98</v>
      </c>
      <c r="N295" s="6">
        <v>0</v>
      </c>
      <c r="O295" t="str">
        <f t="shared" si="17"/>
        <v>Normal</v>
      </c>
      <c r="P295" t="str">
        <f t="shared" si="18"/>
        <v>Duplicate ID</v>
      </c>
      <c r="Q295" t="str">
        <f t="shared" si="19"/>
        <v>10,000-14,999</v>
      </c>
      <c r="R295" s="6">
        <f>IF(COUNTIF($A$2:A295,A295)=1,1,0)</f>
        <v>1</v>
      </c>
    </row>
    <row r="296" spans="1:18" x14ac:dyDescent="0.25">
      <c r="A296" s="6">
        <v>1323</v>
      </c>
      <c r="B296" s="7">
        <v>44667</v>
      </c>
      <c r="C296" t="s">
        <v>119</v>
      </c>
      <c r="D296" s="6">
        <v>2015</v>
      </c>
      <c r="E296" s="8">
        <v>23195</v>
      </c>
      <c r="F296" s="8">
        <v>26000</v>
      </c>
      <c r="G296" s="8">
        <f t="shared" si="16"/>
        <v>2805</v>
      </c>
      <c r="H296" s="6">
        <v>120000</v>
      </c>
      <c r="I296" t="s">
        <v>69</v>
      </c>
      <c r="J296" t="s">
        <v>35</v>
      </c>
      <c r="K296" t="s">
        <v>96</v>
      </c>
      <c r="L296" t="s">
        <v>73</v>
      </c>
      <c r="M296" t="s">
        <v>98</v>
      </c>
      <c r="N296" s="6">
        <v>2</v>
      </c>
      <c r="O296" t="str">
        <f t="shared" si="17"/>
        <v>Normal</v>
      </c>
      <c r="P296" t="str">
        <f t="shared" si="18"/>
        <v>Duplicate ID</v>
      </c>
      <c r="Q296" t="str">
        <f t="shared" si="19"/>
        <v>20,000-24,999</v>
      </c>
      <c r="R296" s="6">
        <f>IF(COUNTIF($A$2:A296,A296)=1,1,0)</f>
        <v>0</v>
      </c>
    </row>
    <row r="297" spans="1:18" x14ac:dyDescent="0.25">
      <c r="A297" s="6">
        <v>1223</v>
      </c>
      <c r="B297" s="7">
        <v>44921</v>
      </c>
      <c r="C297" t="s">
        <v>40</v>
      </c>
      <c r="D297" s="6">
        <v>2022</v>
      </c>
      <c r="E297" s="8">
        <v>8429</v>
      </c>
      <c r="F297" s="8">
        <v>12000</v>
      </c>
      <c r="G297" s="8">
        <f t="shared" si="16"/>
        <v>3571</v>
      </c>
      <c r="H297" s="6">
        <v>60000</v>
      </c>
      <c r="I297" t="s">
        <v>58</v>
      </c>
      <c r="J297" t="s">
        <v>72</v>
      </c>
      <c r="K297" t="s">
        <v>36</v>
      </c>
      <c r="L297" t="s">
        <v>100</v>
      </c>
      <c r="M297" t="s">
        <v>90</v>
      </c>
      <c r="N297" s="6">
        <v>2</v>
      </c>
      <c r="O297" t="str">
        <f t="shared" si="17"/>
        <v>Normal</v>
      </c>
      <c r="P297" t="str">
        <f t="shared" si="18"/>
        <v>Duplicate ID</v>
      </c>
      <c r="Q297" t="str">
        <f t="shared" si="19"/>
        <v>5,000-9,999</v>
      </c>
      <c r="R297" s="6">
        <f>IF(COUNTIF($A$2:A297,A297)=1,1,0)</f>
        <v>0</v>
      </c>
    </row>
    <row r="298" spans="1:18" x14ac:dyDescent="0.25">
      <c r="A298" s="6">
        <v>1159</v>
      </c>
      <c r="B298" s="7">
        <v>44926</v>
      </c>
      <c r="C298" t="s">
        <v>57</v>
      </c>
      <c r="D298" s="6">
        <v>2017</v>
      </c>
      <c r="E298" s="8">
        <v>8933</v>
      </c>
      <c r="F298" s="8">
        <v>15000</v>
      </c>
      <c r="G298" s="8">
        <f t="shared" si="16"/>
        <v>6067</v>
      </c>
      <c r="H298" s="6">
        <v>25000</v>
      </c>
      <c r="I298" t="s">
        <v>1647</v>
      </c>
      <c r="J298" t="s">
        <v>1647</v>
      </c>
      <c r="K298" t="s">
        <v>36</v>
      </c>
      <c r="L298" t="s">
        <v>1647</v>
      </c>
      <c r="M298" t="s">
        <v>126</v>
      </c>
      <c r="N298" s="6">
        <v>3</v>
      </c>
      <c r="O298" t="str">
        <f t="shared" si="17"/>
        <v>Normal</v>
      </c>
      <c r="P298" t="str">
        <f t="shared" si="18"/>
        <v>Duplicate ID</v>
      </c>
      <c r="Q298" t="str">
        <f t="shared" si="19"/>
        <v>5,000-9,999</v>
      </c>
      <c r="R298" s="6">
        <f>IF(COUNTIF($A$2:A298,A298)=1,1,0)</f>
        <v>1</v>
      </c>
    </row>
    <row r="299" spans="1:18" x14ac:dyDescent="0.25">
      <c r="A299" s="6">
        <v>1502</v>
      </c>
      <c r="B299" s="7">
        <v>44759</v>
      </c>
      <c r="C299" t="s">
        <v>79</v>
      </c>
      <c r="D299" s="6"/>
      <c r="E299" s="8">
        <v>16294</v>
      </c>
      <c r="F299" s="8">
        <v>22000</v>
      </c>
      <c r="G299" s="8">
        <f t="shared" si="16"/>
        <v>5706</v>
      </c>
      <c r="H299" s="6">
        <v>60000</v>
      </c>
      <c r="I299" t="s">
        <v>34</v>
      </c>
      <c r="J299" t="s">
        <v>35</v>
      </c>
      <c r="K299" t="s">
        <v>1647</v>
      </c>
      <c r="L299" t="s">
        <v>100</v>
      </c>
      <c r="M299" t="s">
        <v>126</v>
      </c>
      <c r="N299" s="6" t="s">
        <v>1647</v>
      </c>
      <c r="O299" t="str">
        <f t="shared" si="17"/>
        <v>Normal</v>
      </c>
      <c r="P299" t="str">
        <f t="shared" si="18"/>
        <v>Duplicate ID</v>
      </c>
      <c r="Q299" t="str">
        <f t="shared" si="19"/>
        <v>15,000-19,999</v>
      </c>
      <c r="R299" s="6">
        <f>IF(COUNTIF($A$2:A299,A299)=1,1,0)</f>
        <v>1</v>
      </c>
    </row>
    <row r="300" spans="1:18" x14ac:dyDescent="0.25">
      <c r="A300" s="6">
        <v>1178</v>
      </c>
      <c r="B300" s="7">
        <v>45003</v>
      </c>
      <c r="C300" t="s">
        <v>1648</v>
      </c>
      <c r="D300" s="6">
        <v>2021</v>
      </c>
      <c r="E300" s="8">
        <v>3156</v>
      </c>
      <c r="F300" s="8">
        <v>7000</v>
      </c>
      <c r="G300" s="8">
        <f t="shared" si="16"/>
        <v>3844</v>
      </c>
      <c r="H300" s="6">
        <v>80000</v>
      </c>
      <c r="I300" t="s">
        <v>69</v>
      </c>
      <c r="J300" t="s">
        <v>35</v>
      </c>
      <c r="K300" t="s">
        <v>36</v>
      </c>
      <c r="L300" t="s">
        <v>100</v>
      </c>
      <c r="M300" t="s">
        <v>98</v>
      </c>
      <c r="N300" s="6" t="s">
        <v>1647</v>
      </c>
      <c r="O300" t="str">
        <f t="shared" si="17"/>
        <v>Normal</v>
      </c>
      <c r="P300" t="str">
        <f t="shared" si="18"/>
        <v>Duplicate ID</v>
      </c>
      <c r="Q300" t="str">
        <f t="shared" si="19"/>
        <v>0-4,999</v>
      </c>
      <c r="R300" s="6">
        <f>IF(COUNTIF($A$2:A300,A300)=1,1,0)</f>
        <v>1</v>
      </c>
    </row>
    <row r="301" spans="1:18" x14ac:dyDescent="0.25">
      <c r="A301" s="6">
        <v>1561</v>
      </c>
      <c r="B301" s="7">
        <v>44580</v>
      </c>
      <c r="C301" t="s">
        <v>32</v>
      </c>
      <c r="D301" s="6">
        <v>2019</v>
      </c>
      <c r="E301" s="8">
        <v>18873</v>
      </c>
      <c r="F301" s="8">
        <v>22000</v>
      </c>
      <c r="G301" s="8">
        <f t="shared" si="16"/>
        <v>3127</v>
      </c>
      <c r="H301" s="6">
        <v>80000</v>
      </c>
      <c r="I301" t="s">
        <v>69</v>
      </c>
      <c r="J301" t="s">
        <v>72</v>
      </c>
      <c r="K301" t="s">
        <v>36</v>
      </c>
      <c r="L301" t="s">
        <v>48</v>
      </c>
      <c r="M301" t="s">
        <v>98</v>
      </c>
      <c r="N301" s="6">
        <v>1</v>
      </c>
      <c r="O301" t="str">
        <f t="shared" si="17"/>
        <v>Normal</v>
      </c>
      <c r="P301" t="str">
        <f t="shared" si="18"/>
        <v>Duplicate ID</v>
      </c>
      <c r="Q301" t="str">
        <f t="shared" si="19"/>
        <v>15,000-19,999</v>
      </c>
      <c r="R301" s="6">
        <f>IF(COUNTIF($A$2:A301,A301)=1,1,0)</f>
        <v>1</v>
      </c>
    </row>
    <row r="302" spans="1:18" x14ac:dyDescent="0.25">
      <c r="A302" s="6">
        <v>1184</v>
      </c>
      <c r="B302" s="7">
        <v>45120</v>
      </c>
      <c r="C302" t="s">
        <v>1648</v>
      </c>
      <c r="D302" s="6">
        <v>2019</v>
      </c>
      <c r="E302" s="8">
        <v>18710</v>
      </c>
      <c r="F302" s="8">
        <v>22000</v>
      </c>
      <c r="G302" s="8">
        <f t="shared" si="16"/>
        <v>3290</v>
      </c>
      <c r="H302" s="6">
        <v>60000</v>
      </c>
      <c r="I302" t="s">
        <v>41</v>
      </c>
      <c r="J302" t="s">
        <v>72</v>
      </c>
      <c r="K302" t="s">
        <v>36</v>
      </c>
      <c r="L302" t="s">
        <v>1647</v>
      </c>
      <c r="M302" t="s">
        <v>98</v>
      </c>
      <c r="N302" s="6">
        <v>3</v>
      </c>
      <c r="O302" t="str">
        <f t="shared" si="17"/>
        <v>Normal</v>
      </c>
      <c r="P302" t="str">
        <f t="shared" si="18"/>
        <v>Duplicate ID</v>
      </c>
      <c r="Q302" t="str">
        <f t="shared" si="19"/>
        <v>15,000-19,999</v>
      </c>
      <c r="R302" s="6">
        <f>IF(COUNTIF($A$2:A302,A302)=1,1,0)</f>
        <v>0</v>
      </c>
    </row>
    <row r="303" spans="1:18" x14ac:dyDescent="0.25">
      <c r="A303" s="6">
        <v>1431</v>
      </c>
      <c r="B303" s="7">
        <v>44558</v>
      </c>
      <c r="C303" t="s">
        <v>57</v>
      </c>
      <c r="D303" s="6">
        <v>2016</v>
      </c>
      <c r="E303" s="8">
        <v>10921</v>
      </c>
      <c r="F303" s="8">
        <v>12000</v>
      </c>
      <c r="G303" s="8">
        <f t="shared" si="16"/>
        <v>1079</v>
      </c>
      <c r="H303" s="6">
        <v>60000</v>
      </c>
      <c r="I303" t="s">
        <v>69</v>
      </c>
      <c r="J303" t="s">
        <v>72</v>
      </c>
      <c r="K303" t="s">
        <v>96</v>
      </c>
      <c r="L303" t="s">
        <v>54</v>
      </c>
      <c r="M303" t="s">
        <v>1647</v>
      </c>
      <c r="N303" s="6" t="s">
        <v>1647</v>
      </c>
      <c r="O303" t="str">
        <f t="shared" si="17"/>
        <v>Normal</v>
      </c>
      <c r="P303" t="str">
        <f t="shared" si="18"/>
        <v>Duplicate ID</v>
      </c>
      <c r="Q303" t="str">
        <f t="shared" si="19"/>
        <v>10,000-14,999</v>
      </c>
      <c r="R303" s="6">
        <f>IF(COUNTIF($A$2:A303,A303)=1,1,0)</f>
        <v>0</v>
      </c>
    </row>
    <row r="304" spans="1:18" x14ac:dyDescent="0.25">
      <c r="A304" s="6">
        <v>1220</v>
      </c>
      <c r="B304" s="7">
        <v>44319</v>
      </c>
      <c r="C304" t="s">
        <v>40</v>
      </c>
      <c r="D304" s="6">
        <v>2020</v>
      </c>
      <c r="E304" s="8">
        <v>6662</v>
      </c>
      <c r="F304" s="8">
        <v>9000</v>
      </c>
      <c r="G304" s="8">
        <f t="shared" si="16"/>
        <v>2338</v>
      </c>
      <c r="H304" s="6">
        <v>120000</v>
      </c>
      <c r="I304" t="s">
        <v>1647</v>
      </c>
      <c r="J304" t="s">
        <v>72</v>
      </c>
      <c r="K304" t="s">
        <v>96</v>
      </c>
      <c r="L304" t="s">
        <v>54</v>
      </c>
      <c r="M304" t="s">
        <v>45</v>
      </c>
      <c r="N304" s="6" t="s">
        <v>1647</v>
      </c>
      <c r="O304" t="str">
        <f t="shared" si="17"/>
        <v>Normal</v>
      </c>
      <c r="P304" t="str">
        <f t="shared" si="18"/>
        <v>Duplicate ID</v>
      </c>
      <c r="Q304" t="str">
        <f t="shared" si="19"/>
        <v>5,000-9,999</v>
      </c>
      <c r="R304" s="6">
        <f>IF(COUNTIF($A$2:A304,A304)=1,1,0)</f>
        <v>0</v>
      </c>
    </row>
    <row r="305" spans="1:18" x14ac:dyDescent="0.25">
      <c r="A305" s="6">
        <v>1203</v>
      </c>
      <c r="B305" s="7">
        <v>44916</v>
      </c>
      <c r="C305" t="s">
        <v>119</v>
      </c>
      <c r="D305" s="6">
        <v>2019</v>
      </c>
      <c r="E305" s="8">
        <v>5007</v>
      </c>
      <c r="F305" s="8">
        <v>7000</v>
      </c>
      <c r="G305" s="8">
        <f t="shared" si="16"/>
        <v>1993</v>
      </c>
      <c r="H305" s="6">
        <v>60000</v>
      </c>
      <c r="I305" t="s">
        <v>69</v>
      </c>
      <c r="J305" t="s">
        <v>72</v>
      </c>
      <c r="K305" t="s">
        <v>96</v>
      </c>
      <c r="L305" t="s">
        <v>1647</v>
      </c>
      <c r="M305" t="s">
        <v>98</v>
      </c>
      <c r="N305" s="6">
        <v>3</v>
      </c>
      <c r="O305" t="str">
        <f t="shared" si="17"/>
        <v>Normal</v>
      </c>
      <c r="P305" t="str">
        <f t="shared" si="18"/>
        <v>Duplicate ID</v>
      </c>
      <c r="Q305" t="str">
        <f t="shared" si="19"/>
        <v>5,000-9,999</v>
      </c>
      <c r="R305" s="6">
        <f>IF(COUNTIF($A$2:A305,A305)=1,1,0)</f>
        <v>1</v>
      </c>
    </row>
    <row r="306" spans="1:18" x14ac:dyDescent="0.25">
      <c r="A306" s="6">
        <v>1171</v>
      </c>
      <c r="B306" s="7">
        <v>44493</v>
      </c>
      <c r="C306" t="s">
        <v>40</v>
      </c>
      <c r="D306" s="6">
        <v>2020</v>
      </c>
      <c r="E306" s="8">
        <v>11826</v>
      </c>
      <c r="F306" s="8">
        <v>18000</v>
      </c>
      <c r="G306" s="8">
        <f t="shared" si="16"/>
        <v>6174</v>
      </c>
      <c r="H306" s="6">
        <v>60000</v>
      </c>
      <c r="I306" t="s">
        <v>34</v>
      </c>
      <c r="J306" t="s">
        <v>35</v>
      </c>
      <c r="K306" t="s">
        <v>36</v>
      </c>
      <c r="L306" t="s">
        <v>100</v>
      </c>
      <c r="M306" t="s">
        <v>45</v>
      </c>
      <c r="N306" s="6">
        <v>1</v>
      </c>
      <c r="O306" t="str">
        <f t="shared" si="17"/>
        <v>Normal</v>
      </c>
      <c r="P306" t="str">
        <f t="shared" si="18"/>
        <v>Duplicate ID</v>
      </c>
      <c r="Q306" t="str">
        <f t="shared" si="19"/>
        <v>10,000-14,999</v>
      </c>
      <c r="R306" s="6">
        <f>IF(COUNTIF($A$2:A306,A306)=1,1,0)</f>
        <v>0</v>
      </c>
    </row>
    <row r="307" spans="1:18" x14ac:dyDescent="0.25">
      <c r="A307" s="6">
        <v>1277</v>
      </c>
      <c r="B307" s="7">
        <v>45006</v>
      </c>
      <c r="C307" t="s">
        <v>51</v>
      </c>
      <c r="D307" s="6">
        <v>2019</v>
      </c>
      <c r="E307" s="8">
        <v>14809</v>
      </c>
      <c r="F307" s="8">
        <v>18000</v>
      </c>
      <c r="G307" s="8">
        <f t="shared" si="16"/>
        <v>3191</v>
      </c>
      <c r="H307" s="6">
        <v>120000</v>
      </c>
      <c r="I307" t="s">
        <v>1647</v>
      </c>
      <c r="J307" t="s">
        <v>72</v>
      </c>
      <c r="K307" t="s">
        <v>36</v>
      </c>
      <c r="L307" t="s">
        <v>100</v>
      </c>
      <c r="M307" t="s">
        <v>126</v>
      </c>
      <c r="N307" s="6">
        <v>1</v>
      </c>
      <c r="O307" t="str">
        <f t="shared" si="17"/>
        <v>Normal</v>
      </c>
      <c r="P307" t="str">
        <f t="shared" si="18"/>
        <v>Duplicate ID</v>
      </c>
      <c r="Q307" t="str">
        <f t="shared" si="19"/>
        <v>10,000-14,999</v>
      </c>
      <c r="R307" s="6">
        <f>IF(COUNTIF($A$2:A307,A307)=1,1,0)</f>
        <v>1</v>
      </c>
    </row>
    <row r="308" spans="1:18" x14ac:dyDescent="0.25">
      <c r="A308" s="6">
        <v>1215</v>
      </c>
      <c r="B308" s="7">
        <v>44360</v>
      </c>
      <c r="C308" t="s">
        <v>119</v>
      </c>
      <c r="D308" s="6">
        <v>2018</v>
      </c>
      <c r="E308" s="8">
        <v>11260</v>
      </c>
      <c r="F308" s="8">
        <v>18000</v>
      </c>
      <c r="G308" s="8">
        <f t="shared" si="16"/>
        <v>6740</v>
      </c>
      <c r="H308" s="6">
        <v>120000</v>
      </c>
      <c r="I308" t="s">
        <v>1647</v>
      </c>
      <c r="J308" t="s">
        <v>1647</v>
      </c>
      <c r="K308" t="s">
        <v>36</v>
      </c>
      <c r="L308" t="s">
        <v>73</v>
      </c>
      <c r="M308" t="s">
        <v>98</v>
      </c>
      <c r="N308" s="6" t="s">
        <v>1647</v>
      </c>
      <c r="O308" t="str">
        <f t="shared" si="17"/>
        <v>Normal</v>
      </c>
      <c r="P308" t="str">
        <f t="shared" si="18"/>
        <v>Duplicate ID</v>
      </c>
      <c r="Q308" t="str">
        <f t="shared" si="19"/>
        <v>10,000-14,999</v>
      </c>
      <c r="R308" s="6">
        <f>IF(COUNTIF($A$2:A308,A308)=1,1,0)</f>
        <v>1</v>
      </c>
    </row>
    <row r="309" spans="1:18" x14ac:dyDescent="0.25">
      <c r="A309" s="6">
        <v>1399</v>
      </c>
      <c r="B309" s="7">
        <v>44369</v>
      </c>
      <c r="C309" t="s">
        <v>40</v>
      </c>
      <c r="D309" s="6">
        <v>2015</v>
      </c>
      <c r="E309" s="8">
        <v>15728</v>
      </c>
      <c r="F309" s="8">
        <v>18000</v>
      </c>
      <c r="G309" s="8">
        <f t="shared" si="16"/>
        <v>2272</v>
      </c>
      <c r="H309" s="6">
        <v>80000</v>
      </c>
      <c r="I309" t="s">
        <v>58</v>
      </c>
      <c r="J309" t="s">
        <v>35</v>
      </c>
      <c r="K309" t="s">
        <v>1647</v>
      </c>
      <c r="L309" t="s">
        <v>100</v>
      </c>
      <c r="M309" t="s">
        <v>126</v>
      </c>
      <c r="N309" s="6">
        <v>0</v>
      </c>
      <c r="O309" t="str">
        <f t="shared" si="17"/>
        <v>Normal</v>
      </c>
      <c r="P309" t="str">
        <f t="shared" si="18"/>
        <v>Duplicate ID</v>
      </c>
      <c r="Q309" t="str">
        <f t="shared" si="19"/>
        <v>15,000-19,999</v>
      </c>
      <c r="R309" s="6">
        <f>IF(COUNTIF($A$2:A309,A309)=1,1,0)</f>
        <v>1</v>
      </c>
    </row>
    <row r="310" spans="1:18" x14ac:dyDescent="0.25">
      <c r="A310" s="6">
        <v>1561</v>
      </c>
      <c r="B310" s="7">
        <v>44754</v>
      </c>
      <c r="C310" t="s">
        <v>79</v>
      </c>
      <c r="D310" s="6">
        <v>2019</v>
      </c>
      <c r="E310" s="8">
        <v>25572</v>
      </c>
      <c r="F310" s="8">
        <v>31000</v>
      </c>
      <c r="G310" s="8">
        <f t="shared" si="16"/>
        <v>5428</v>
      </c>
      <c r="H310" s="6">
        <v>60000</v>
      </c>
      <c r="I310" t="s">
        <v>58</v>
      </c>
      <c r="J310" t="s">
        <v>1647</v>
      </c>
      <c r="K310" t="s">
        <v>1647</v>
      </c>
      <c r="L310" t="s">
        <v>48</v>
      </c>
      <c r="M310" t="s">
        <v>98</v>
      </c>
      <c r="N310" s="6" t="s">
        <v>1647</v>
      </c>
      <c r="O310" t="str">
        <f t="shared" si="17"/>
        <v>Normal</v>
      </c>
      <c r="P310" t="str">
        <f t="shared" si="18"/>
        <v>Duplicate ID</v>
      </c>
      <c r="Q310" t="str">
        <f t="shared" si="19"/>
        <v>25,000-30,000</v>
      </c>
      <c r="R310" s="6">
        <f>IF(COUNTIF($A$2:A310,A310)=1,1,0)</f>
        <v>0</v>
      </c>
    </row>
    <row r="311" spans="1:18" x14ac:dyDescent="0.25">
      <c r="A311" s="6">
        <v>1452</v>
      </c>
      <c r="B311" s="7">
        <v>44380</v>
      </c>
      <c r="C311" t="s">
        <v>51</v>
      </c>
      <c r="D311" s="6">
        <v>2019</v>
      </c>
      <c r="E311" s="8">
        <v>28140</v>
      </c>
      <c r="F311" s="8">
        <v>31000</v>
      </c>
      <c r="G311" s="8">
        <f t="shared" si="16"/>
        <v>2860</v>
      </c>
      <c r="H311" s="6">
        <v>80000</v>
      </c>
      <c r="I311" t="s">
        <v>41</v>
      </c>
      <c r="J311" t="s">
        <v>35</v>
      </c>
      <c r="K311" t="s">
        <v>1647</v>
      </c>
      <c r="L311" t="s">
        <v>100</v>
      </c>
      <c r="M311" t="s">
        <v>45</v>
      </c>
      <c r="N311" s="6">
        <v>2</v>
      </c>
      <c r="O311" t="str">
        <f t="shared" si="17"/>
        <v>Normal</v>
      </c>
      <c r="P311" t="str">
        <f t="shared" si="18"/>
        <v>Duplicate ID</v>
      </c>
      <c r="Q311" t="str">
        <f t="shared" si="19"/>
        <v>25,000-30,000</v>
      </c>
      <c r="R311" s="6">
        <f>IF(COUNTIF($A$2:A311,A311)=1,1,0)</f>
        <v>1</v>
      </c>
    </row>
    <row r="312" spans="1:18" x14ac:dyDescent="0.25">
      <c r="A312" s="6">
        <v>1306</v>
      </c>
      <c r="B312" s="7">
        <v>45174</v>
      </c>
      <c r="C312" t="s">
        <v>1648</v>
      </c>
      <c r="D312" s="6">
        <v>2022</v>
      </c>
      <c r="E312" s="8">
        <v>1971</v>
      </c>
      <c r="F312" s="8">
        <v>7000</v>
      </c>
      <c r="G312" s="8">
        <f t="shared" si="16"/>
        <v>5029</v>
      </c>
      <c r="H312" s="6">
        <v>120000</v>
      </c>
      <c r="I312" t="s">
        <v>58</v>
      </c>
      <c r="J312" t="s">
        <v>35</v>
      </c>
      <c r="K312" t="s">
        <v>1647</v>
      </c>
      <c r="L312" t="s">
        <v>54</v>
      </c>
      <c r="M312" t="s">
        <v>90</v>
      </c>
      <c r="N312" s="6">
        <v>3</v>
      </c>
      <c r="O312" t="str">
        <f t="shared" si="17"/>
        <v>Normal</v>
      </c>
      <c r="P312" t="str">
        <f t="shared" si="18"/>
        <v>Duplicate ID</v>
      </c>
      <c r="Q312" t="str">
        <f t="shared" si="19"/>
        <v>0-4,999</v>
      </c>
      <c r="R312" s="6">
        <f>IF(COUNTIF($A$2:A312,A312)=1,1,0)</f>
        <v>1</v>
      </c>
    </row>
    <row r="313" spans="1:18" x14ac:dyDescent="0.25">
      <c r="A313" s="6">
        <v>1387</v>
      </c>
      <c r="B313" s="7">
        <v>44995</v>
      </c>
      <c r="C313" t="s">
        <v>1648</v>
      </c>
      <c r="D313" s="6">
        <v>2020</v>
      </c>
      <c r="E313" s="8">
        <v>8144</v>
      </c>
      <c r="F313" s="8">
        <v>15000</v>
      </c>
      <c r="G313" s="8">
        <f t="shared" si="16"/>
        <v>6856</v>
      </c>
      <c r="H313" s="6">
        <v>25000</v>
      </c>
      <c r="I313" t="s">
        <v>69</v>
      </c>
      <c r="J313" t="s">
        <v>72</v>
      </c>
      <c r="K313" t="s">
        <v>1647</v>
      </c>
      <c r="L313" t="s">
        <v>54</v>
      </c>
      <c r="M313" t="s">
        <v>98</v>
      </c>
      <c r="N313" s="6">
        <v>1</v>
      </c>
      <c r="O313" t="str">
        <f t="shared" si="17"/>
        <v>Normal</v>
      </c>
      <c r="P313" t="str">
        <f t="shared" si="18"/>
        <v>Unique ID</v>
      </c>
      <c r="Q313" t="str">
        <f t="shared" si="19"/>
        <v>5,000-9,999</v>
      </c>
      <c r="R313" s="6">
        <f>IF(COUNTIF($A$2:A313,A313)=1,1,0)</f>
        <v>1</v>
      </c>
    </row>
    <row r="314" spans="1:18" x14ac:dyDescent="0.25">
      <c r="A314" s="6">
        <v>1463</v>
      </c>
      <c r="B314" s="7">
        <v>45129</v>
      </c>
      <c r="C314" t="s">
        <v>40</v>
      </c>
      <c r="D314" s="6">
        <v>2016</v>
      </c>
      <c r="E314" s="8">
        <v>10096</v>
      </c>
      <c r="F314" s="8">
        <v>12000</v>
      </c>
      <c r="G314" s="8">
        <f t="shared" si="16"/>
        <v>1904</v>
      </c>
      <c r="H314" s="6">
        <v>40000</v>
      </c>
      <c r="I314" t="s">
        <v>41</v>
      </c>
      <c r="J314" t="s">
        <v>35</v>
      </c>
      <c r="K314" t="s">
        <v>36</v>
      </c>
      <c r="L314" t="s">
        <v>1647</v>
      </c>
      <c r="M314" t="s">
        <v>126</v>
      </c>
      <c r="N314" s="6">
        <v>1</v>
      </c>
      <c r="O314" t="str">
        <f t="shared" si="17"/>
        <v>Normal</v>
      </c>
      <c r="P314" t="str">
        <f t="shared" si="18"/>
        <v>Duplicate ID</v>
      </c>
      <c r="Q314" t="str">
        <f t="shared" si="19"/>
        <v>10,000-14,999</v>
      </c>
      <c r="R314" s="6">
        <f>IF(COUNTIF($A$2:A314,A314)=1,1,0)</f>
        <v>1</v>
      </c>
    </row>
    <row r="315" spans="1:18" x14ac:dyDescent="0.25">
      <c r="A315" s="6">
        <v>1008</v>
      </c>
      <c r="B315" s="7">
        <v>45094</v>
      </c>
      <c r="C315" t="s">
        <v>32</v>
      </c>
      <c r="D315" s="6">
        <v>2018</v>
      </c>
      <c r="E315" s="8">
        <v>11142</v>
      </c>
      <c r="F315" s="8">
        <v>18000</v>
      </c>
      <c r="G315" s="8">
        <f t="shared" si="16"/>
        <v>6858</v>
      </c>
      <c r="H315" s="6">
        <v>25000</v>
      </c>
      <c r="I315" t="s">
        <v>69</v>
      </c>
      <c r="J315" t="s">
        <v>72</v>
      </c>
      <c r="K315" t="s">
        <v>96</v>
      </c>
      <c r="L315" t="s">
        <v>48</v>
      </c>
      <c r="M315" t="s">
        <v>45</v>
      </c>
      <c r="N315" s="6">
        <v>3</v>
      </c>
      <c r="O315" t="str">
        <f t="shared" si="17"/>
        <v>Normal</v>
      </c>
      <c r="P315" t="str">
        <f t="shared" si="18"/>
        <v>Duplicate ID</v>
      </c>
      <c r="Q315" t="str">
        <f t="shared" si="19"/>
        <v>10,000-14,999</v>
      </c>
      <c r="R315" s="6">
        <f>IF(COUNTIF($A$2:A315,A315)=1,1,0)</f>
        <v>1</v>
      </c>
    </row>
    <row r="316" spans="1:18" x14ac:dyDescent="0.25">
      <c r="A316" s="6">
        <v>1401</v>
      </c>
      <c r="B316" s="7">
        <v>44742</v>
      </c>
      <c r="C316" t="s">
        <v>40</v>
      </c>
      <c r="D316" s="6">
        <v>2019</v>
      </c>
      <c r="E316" s="8">
        <v>7541</v>
      </c>
      <c r="F316" s="8">
        <v>9000</v>
      </c>
      <c r="G316" s="8">
        <f t="shared" si="16"/>
        <v>1459</v>
      </c>
      <c r="H316" s="6">
        <v>25000</v>
      </c>
      <c r="I316" t="s">
        <v>69</v>
      </c>
      <c r="J316" t="s">
        <v>72</v>
      </c>
      <c r="K316" t="s">
        <v>36</v>
      </c>
      <c r="L316" t="s">
        <v>73</v>
      </c>
      <c r="M316" t="s">
        <v>90</v>
      </c>
      <c r="N316" s="6">
        <v>3</v>
      </c>
      <c r="O316" t="str">
        <f t="shared" si="17"/>
        <v>Normal</v>
      </c>
      <c r="P316" t="str">
        <f t="shared" si="18"/>
        <v>Duplicate ID</v>
      </c>
      <c r="Q316" t="str">
        <f t="shared" si="19"/>
        <v>5,000-9,999</v>
      </c>
      <c r="R316" s="6">
        <f>IF(COUNTIF($A$2:A316,A316)=1,1,0)</f>
        <v>1</v>
      </c>
    </row>
    <row r="317" spans="1:18" x14ac:dyDescent="0.25">
      <c r="A317" s="6">
        <v>1533</v>
      </c>
      <c r="B317" s="7">
        <v>44389</v>
      </c>
      <c r="C317" t="s">
        <v>1648</v>
      </c>
      <c r="D317" s="6">
        <v>2017</v>
      </c>
      <c r="E317" s="8">
        <v>2225</v>
      </c>
      <c r="F317" s="8">
        <v>7000</v>
      </c>
      <c r="G317" s="8">
        <f t="shared" si="16"/>
        <v>4775</v>
      </c>
      <c r="H317" s="6">
        <v>25000</v>
      </c>
      <c r="I317" t="s">
        <v>69</v>
      </c>
      <c r="J317" t="s">
        <v>72</v>
      </c>
      <c r="K317" t="s">
        <v>36</v>
      </c>
      <c r="L317" t="s">
        <v>73</v>
      </c>
      <c r="M317" t="s">
        <v>1647</v>
      </c>
      <c r="N317" s="6" t="s">
        <v>1647</v>
      </c>
      <c r="O317" t="str">
        <f t="shared" si="17"/>
        <v>Normal</v>
      </c>
      <c r="P317" t="str">
        <f t="shared" si="18"/>
        <v>Duplicate ID</v>
      </c>
      <c r="Q317" t="str">
        <f t="shared" si="19"/>
        <v>0-4,999</v>
      </c>
      <c r="R317" s="6">
        <f>IF(COUNTIF($A$2:A317,A317)=1,1,0)</f>
        <v>1</v>
      </c>
    </row>
    <row r="318" spans="1:18" x14ac:dyDescent="0.25">
      <c r="A318" s="6">
        <v>1369</v>
      </c>
      <c r="B318" s="7">
        <v>44603</v>
      </c>
      <c r="C318" t="s">
        <v>32</v>
      </c>
      <c r="D318" s="6">
        <v>2018</v>
      </c>
      <c r="E318" s="8">
        <v>27553</v>
      </c>
      <c r="F318" s="8">
        <v>31000</v>
      </c>
      <c r="G318" s="8">
        <f t="shared" si="16"/>
        <v>3447</v>
      </c>
      <c r="H318" s="6">
        <v>120000</v>
      </c>
      <c r="I318" t="s">
        <v>41</v>
      </c>
      <c r="J318" t="s">
        <v>35</v>
      </c>
      <c r="K318" t="s">
        <v>96</v>
      </c>
      <c r="L318" t="s">
        <v>54</v>
      </c>
      <c r="M318" t="s">
        <v>126</v>
      </c>
      <c r="N318" s="6">
        <v>1</v>
      </c>
      <c r="O318" t="str">
        <f t="shared" si="17"/>
        <v>Normal</v>
      </c>
      <c r="P318" t="str">
        <f t="shared" si="18"/>
        <v>Duplicate ID</v>
      </c>
      <c r="Q318" t="str">
        <f t="shared" si="19"/>
        <v>25,000-30,000</v>
      </c>
      <c r="R318" s="6">
        <f>IF(COUNTIF($A$2:A318,A318)=1,1,0)</f>
        <v>1</v>
      </c>
    </row>
    <row r="319" spans="1:18" x14ac:dyDescent="0.25">
      <c r="A319" s="6">
        <v>1043</v>
      </c>
      <c r="B319" s="7">
        <v>44215</v>
      </c>
      <c r="C319" t="s">
        <v>119</v>
      </c>
      <c r="D319" s="6"/>
      <c r="E319" s="8">
        <v>6009</v>
      </c>
      <c r="F319" s="8">
        <v>9000</v>
      </c>
      <c r="G319" s="8">
        <f t="shared" si="16"/>
        <v>2991</v>
      </c>
      <c r="H319" s="6">
        <v>60000</v>
      </c>
      <c r="I319" t="s">
        <v>58</v>
      </c>
      <c r="J319" t="s">
        <v>72</v>
      </c>
      <c r="K319" t="s">
        <v>36</v>
      </c>
      <c r="L319" t="s">
        <v>100</v>
      </c>
      <c r="M319" t="s">
        <v>90</v>
      </c>
      <c r="N319" s="6">
        <v>3</v>
      </c>
      <c r="O319" t="str">
        <f t="shared" si="17"/>
        <v>Normal</v>
      </c>
      <c r="P319" t="str">
        <f t="shared" si="18"/>
        <v>Duplicate ID</v>
      </c>
      <c r="Q319" t="str">
        <f t="shared" si="19"/>
        <v>5,000-9,999</v>
      </c>
      <c r="R319" s="6">
        <f>IF(COUNTIF($A$2:A319,A319)=1,1,0)</f>
        <v>1</v>
      </c>
    </row>
    <row r="320" spans="1:18" x14ac:dyDescent="0.25">
      <c r="A320" s="6">
        <v>1364</v>
      </c>
      <c r="B320" s="7">
        <v>44319</v>
      </c>
      <c r="C320" t="s">
        <v>40</v>
      </c>
      <c r="D320" s="6">
        <v>2018</v>
      </c>
      <c r="E320" s="8">
        <v>20509</v>
      </c>
      <c r="F320" s="8">
        <v>22000</v>
      </c>
      <c r="G320" s="8">
        <f t="shared" si="16"/>
        <v>1491</v>
      </c>
      <c r="H320" s="6">
        <v>120000</v>
      </c>
      <c r="I320" t="s">
        <v>58</v>
      </c>
      <c r="J320" t="s">
        <v>72</v>
      </c>
      <c r="K320" t="s">
        <v>36</v>
      </c>
      <c r="L320" t="s">
        <v>54</v>
      </c>
      <c r="M320" t="s">
        <v>1647</v>
      </c>
      <c r="N320" s="6">
        <v>2</v>
      </c>
      <c r="O320" t="str">
        <f t="shared" si="17"/>
        <v>Normal</v>
      </c>
      <c r="P320" t="str">
        <f t="shared" si="18"/>
        <v>Duplicate ID</v>
      </c>
      <c r="Q320" t="str">
        <f t="shared" si="19"/>
        <v>20,000-24,999</v>
      </c>
      <c r="R320" s="6">
        <f>IF(COUNTIF($A$2:A320,A320)=1,1,0)</f>
        <v>1</v>
      </c>
    </row>
    <row r="321" spans="1:18" x14ac:dyDescent="0.25">
      <c r="A321" s="6">
        <v>1137</v>
      </c>
      <c r="B321" s="7">
        <v>44930</v>
      </c>
      <c r="C321" t="s">
        <v>1648</v>
      </c>
      <c r="D321" s="6">
        <v>2017</v>
      </c>
      <c r="E321" s="8">
        <v>2906</v>
      </c>
      <c r="F321" s="8">
        <v>7000</v>
      </c>
      <c r="G321" s="8">
        <f t="shared" si="16"/>
        <v>4094</v>
      </c>
      <c r="H321" s="6">
        <v>120000</v>
      </c>
      <c r="I321" t="s">
        <v>69</v>
      </c>
      <c r="J321" t="s">
        <v>1647</v>
      </c>
      <c r="K321" t="s">
        <v>96</v>
      </c>
      <c r="L321" t="s">
        <v>100</v>
      </c>
      <c r="M321" t="s">
        <v>90</v>
      </c>
      <c r="N321" s="6" t="s">
        <v>1647</v>
      </c>
      <c r="O321" t="str">
        <f t="shared" si="17"/>
        <v>Normal</v>
      </c>
      <c r="P321" t="str">
        <f t="shared" si="18"/>
        <v>Duplicate ID</v>
      </c>
      <c r="Q321" t="str">
        <f t="shared" si="19"/>
        <v>0-4,999</v>
      </c>
      <c r="R321" s="6">
        <f>IF(COUNTIF($A$2:A321,A321)=1,1,0)</f>
        <v>1</v>
      </c>
    </row>
    <row r="322" spans="1:18" x14ac:dyDescent="0.25">
      <c r="A322" s="6">
        <v>1164</v>
      </c>
      <c r="B322" s="7">
        <v>45332</v>
      </c>
      <c r="C322" t="s">
        <v>79</v>
      </c>
      <c r="D322" s="6">
        <v>2019</v>
      </c>
      <c r="E322" s="8">
        <v>25096</v>
      </c>
      <c r="F322" s="8">
        <v>31000</v>
      </c>
      <c r="G322" s="8">
        <f t="shared" ref="G322:G385" si="20">IF(OR(F322="",E322=""),"",F322-E322)</f>
        <v>5904</v>
      </c>
      <c r="H322" s="6">
        <v>40000</v>
      </c>
      <c r="I322" t="s">
        <v>69</v>
      </c>
      <c r="J322" t="s">
        <v>1647</v>
      </c>
      <c r="K322" t="s">
        <v>96</v>
      </c>
      <c r="L322" t="s">
        <v>48</v>
      </c>
      <c r="M322" t="s">
        <v>126</v>
      </c>
      <c r="N322" s="6" t="s">
        <v>1647</v>
      </c>
      <c r="O322" t="str">
        <f t="shared" ref="O322:O385" si="21">IF(E322&lt;1000,"Outlier","Normal")</f>
        <v>Normal</v>
      </c>
      <c r="P322" t="str">
        <f t="shared" ref="P322:P385" si="22">IF(COUNTIF($A$2:$A$2501,A322)&gt;1,"Duplicate ID","Unique ID")</f>
        <v>Duplicate ID</v>
      </c>
      <c r="Q322" t="str">
        <f t="shared" ref="Q322:Q385" si="23">IF(E322&lt;5000,"0-4,999",IF(E322&lt;10000,"5,000-9,999",IF(E322&lt;15000,"10,000-14,999",IF(E322&lt;20000,"15,000-19,999",IF(E322&lt;25000,"20,000-24,999","25,000-30,000")))))</f>
        <v>25,000-30,000</v>
      </c>
      <c r="R322" s="6">
        <f>IF(COUNTIF($A$2:A322,A322)=1,1,0)</f>
        <v>0</v>
      </c>
    </row>
    <row r="323" spans="1:18" x14ac:dyDescent="0.25">
      <c r="A323" s="6">
        <v>1328</v>
      </c>
      <c r="B323" s="7">
        <v>44686</v>
      </c>
      <c r="C323" t="s">
        <v>79</v>
      </c>
      <c r="D323" s="6">
        <v>2016</v>
      </c>
      <c r="E323" s="8">
        <v>3018</v>
      </c>
      <c r="F323" s="8">
        <v>7000</v>
      </c>
      <c r="G323" s="8">
        <f t="shared" si="20"/>
        <v>3982</v>
      </c>
      <c r="H323" s="6">
        <v>80000</v>
      </c>
      <c r="I323" t="s">
        <v>34</v>
      </c>
      <c r="J323" t="s">
        <v>35</v>
      </c>
      <c r="K323" t="s">
        <v>1647</v>
      </c>
      <c r="L323" t="s">
        <v>48</v>
      </c>
      <c r="M323" t="s">
        <v>1647</v>
      </c>
      <c r="N323" s="6">
        <v>1</v>
      </c>
      <c r="O323" t="str">
        <f t="shared" si="21"/>
        <v>Normal</v>
      </c>
      <c r="P323" t="str">
        <f t="shared" si="22"/>
        <v>Duplicate ID</v>
      </c>
      <c r="Q323" t="str">
        <f t="shared" si="23"/>
        <v>0-4,999</v>
      </c>
      <c r="R323" s="6">
        <f>IF(COUNTIF($A$2:A323,A323)=1,1,0)</f>
        <v>1</v>
      </c>
    </row>
    <row r="324" spans="1:18" x14ac:dyDescent="0.25">
      <c r="A324" s="6">
        <v>1098</v>
      </c>
      <c r="B324" s="7">
        <v>44423</v>
      </c>
      <c r="C324" t="s">
        <v>51</v>
      </c>
      <c r="D324" s="6">
        <v>2019</v>
      </c>
      <c r="E324" s="8">
        <v>22362</v>
      </c>
      <c r="F324" s="8">
        <v>26000</v>
      </c>
      <c r="G324" s="8">
        <f t="shared" si="20"/>
        <v>3638</v>
      </c>
      <c r="H324" s="6">
        <v>120000</v>
      </c>
      <c r="I324" t="s">
        <v>58</v>
      </c>
      <c r="J324" t="s">
        <v>35</v>
      </c>
      <c r="K324" t="s">
        <v>36</v>
      </c>
      <c r="L324" t="s">
        <v>100</v>
      </c>
      <c r="M324" t="s">
        <v>126</v>
      </c>
      <c r="N324" s="6">
        <v>3</v>
      </c>
      <c r="O324" t="str">
        <f t="shared" si="21"/>
        <v>Normal</v>
      </c>
      <c r="P324" t="str">
        <f t="shared" si="22"/>
        <v>Duplicate ID</v>
      </c>
      <c r="Q324" t="str">
        <f t="shared" si="23"/>
        <v>20,000-24,999</v>
      </c>
      <c r="R324" s="6">
        <f>IF(COUNTIF($A$2:A324,A324)=1,1,0)</f>
        <v>1</v>
      </c>
    </row>
    <row r="325" spans="1:18" x14ac:dyDescent="0.25">
      <c r="A325" s="6">
        <v>1501</v>
      </c>
      <c r="B325" s="7">
        <v>44992</v>
      </c>
      <c r="C325" t="s">
        <v>57</v>
      </c>
      <c r="D325" s="6">
        <v>2015</v>
      </c>
      <c r="E325" s="8">
        <v>743</v>
      </c>
      <c r="F325" s="8">
        <v>7000</v>
      </c>
      <c r="G325" s="8">
        <f t="shared" si="20"/>
        <v>6257</v>
      </c>
      <c r="H325" s="6">
        <v>80000</v>
      </c>
      <c r="I325" t="s">
        <v>69</v>
      </c>
      <c r="J325" t="s">
        <v>35</v>
      </c>
      <c r="K325" t="s">
        <v>1647</v>
      </c>
      <c r="L325" t="s">
        <v>73</v>
      </c>
      <c r="M325" t="s">
        <v>126</v>
      </c>
      <c r="N325" s="6">
        <v>1</v>
      </c>
      <c r="O325" t="str">
        <f t="shared" si="21"/>
        <v>Outlier</v>
      </c>
      <c r="P325" t="str">
        <f t="shared" si="22"/>
        <v>Duplicate ID</v>
      </c>
      <c r="Q325" t="str">
        <f t="shared" si="23"/>
        <v>0-4,999</v>
      </c>
      <c r="R325" s="6">
        <f>IF(COUNTIF($A$2:A325,A325)=1,1,0)</f>
        <v>0</v>
      </c>
    </row>
    <row r="326" spans="1:18" x14ac:dyDescent="0.25">
      <c r="A326" s="6">
        <v>1571</v>
      </c>
      <c r="B326" s="7">
        <v>44936</v>
      </c>
      <c r="C326" t="s">
        <v>1648</v>
      </c>
      <c r="D326" s="6">
        <v>2015</v>
      </c>
      <c r="E326" s="8">
        <v>29503</v>
      </c>
      <c r="F326" s="8">
        <v>31000</v>
      </c>
      <c r="G326" s="8">
        <f t="shared" si="20"/>
        <v>1497</v>
      </c>
      <c r="H326" s="6">
        <v>120000</v>
      </c>
      <c r="I326" t="s">
        <v>41</v>
      </c>
      <c r="J326" t="s">
        <v>1647</v>
      </c>
      <c r="K326" t="s">
        <v>96</v>
      </c>
      <c r="L326" t="s">
        <v>1647</v>
      </c>
      <c r="M326" t="s">
        <v>126</v>
      </c>
      <c r="N326" s="6">
        <v>0</v>
      </c>
      <c r="O326" t="str">
        <f t="shared" si="21"/>
        <v>Normal</v>
      </c>
      <c r="P326" t="str">
        <f t="shared" si="22"/>
        <v>Duplicate ID</v>
      </c>
      <c r="Q326" t="str">
        <f t="shared" si="23"/>
        <v>25,000-30,000</v>
      </c>
      <c r="R326" s="6">
        <f>IF(COUNTIF($A$2:A326,A326)=1,1,0)</f>
        <v>0</v>
      </c>
    </row>
    <row r="327" spans="1:18" x14ac:dyDescent="0.25">
      <c r="A327" s="6">
        <v>1236</v>
      </c>
      <c r="B327" s="7">
        <v>44404</v>
      </c>
      <c r="C327" t="s">
        <v>51</v>
      </c>
      <c r="D327" s="6">
        <v>2015</v>
      </c>
      <c r="E327" s="8">
        <v>13205</v>
      </c>
      <c r="F327" s="8">
        <v>15000</v>
      </c>
      <c r="G327" s="8">
        <f t="shared" si="20"/>
        <v>1795</v>
      </c>
      <c r="H327" s="6">
        <v>80000</v>
      </c>
      <c r="I327" t="s">
        <v>58</v>
      </c>
      <c r="J327" t="s">
        <v>1647</v>
      </c>
      <c r="K327" t="s">
        <v>36</v>
      </c>
      <c r="L327" t="s">
        <v>1647</v>
      </c>
      <c r="M327" t="s">
        <v>1647</v>
      </c>
      <c r="N327" s="6">
        <v>3</v>
      </c>
      <c r="O327" t="str">
        <f t="shared" si="21"/>
        <v>Normal</v>
      </c>
      <c r="P327" t="str">
        <f t="shared" si="22"/>
        <v>Duplicate ID</v>
      </c>
      <c r="Q327" t="str">
        <f t="shared" si="23"/>
        <v>10,000-14,999</v>
      </c>
      <c r="R327" s="6">
        <f>IF(COUNTIF($A$2:A327,A327)=1,1,0)</f>
        <v>0</v>
      </c>
    </row>
    <row r="328" spans="1:18" x14ac:dyDescent="0.25">
      <c r="A328" s="6">
        <v>1106</v>
      </c>
      <c r="B328" s="7">
        <v>45071</v>
      </c>
      <c r="C328" t="s">
        <v>32</v>
      </c>
      <c r="D328" s="6">
        <v>2018</v>
      </c>
      <c r="E328" s="8">
        <v>17243</v>
      </c>
      <c r="F328" s="8">
        <v>22000</v>
      </c>
      <c r="G328" s="8">
        <f t="shared" si="20"/>
        <v>4757</v>
      </c>
      <c r="H328" s="6">
        <v>120000</v>
      </c>
      <c r="I328" t="s">
        <v>69</v>
      </c>
      <c r="J328" t="s">
        <v>35</v>
      </c>
      <c r="K328" t="s">
        <v>1647</v>
      </c>
      <c r="L328" t="s">
        <v>48</v>
      </c>
      <c r="M328" t="s">
        <v>45</v>
      </c>
      <c r="N328" s="6">
        <v>2</v>
      </c>
      <c r="O328" t="str">
        <f t="shared" si="21"/>
        <v>Normal</v>
      </c>
      <c r="P328" t="str">
        <f t="shared" si="22"/>
        <v>Duplicate ID</v>
      </c>
      <c r="Q328" t="str">
        <f t="shared" si="23"/>
        <v>15,000-19,999</v>
      </c>
      <c r="R328" s="6">
        <f>IF(COUNTIF($A$2:A328,A328)=1,1,0)</f>
        <v>1</v>
      </c>
    </row>
    <row r="329" spans="1:18" x14ac:dyDescent="0.25">
      <c r="A329" s="6">
        <v>1246</v>
      </c>
      <c r="B329" s="7">
        <v>44859</v>
      </c>
      <c r="C329" t="s">
        <v>51</v>
      </c>
      <c r="D329" s="6">
        <v>2019</v>
      </c>
      <c r="E329" s="8">
        <v>21473</v>
      </c>
      <c r="F329" s="8">
        <v>26000</v>
      </c>
      <c r="G329" s="8">
        <f t="shared" si="20"/>
        <v>4527</v>
      </c>
      <c r="H329" s="6">
        <v>120000</v>
      </c>
      <c r="I329" t="s">
        <v>69</v>
      </c>
      <c r="J329" t="s">
        <v>72</v>
      </c>
      <c r="K329" t="s">
        <v>96</v>
      </c>
      <c r="L329" t="s">
        <v>48</v>
      </c>
      <c r="M329" t="s">
        <v>98</v>
      </c>
      <c r="N329" s="6">
        <v>0</v>
      </c>
      <c r="O329" t="str">
        <f t="shared" si="21"/>
        <v>Normal</v>
      </c>
      <c r="P329" t="str">
        <f t="shared" si="22"/>
        <v>Duplicate ID</v>
      </c>
      <c r="Q329" t="str">
        <f t="shared" si="23"/>
        <v>20,000-24,999</v>
      </c>
      <c r="R329" s="6">
        <f>IF(COUNTIF($A$2:A329,A329)=1,1,0)</f>
        <v>0</v>
      </c>
    </row>
    <row r="330" spans="1:18" x14ac:dyDescent="0.25">
      <c r="A330" s="6">
        <v>1006</v>
      </c>
      <c r="B330" s="7">
        <v>44815</v>
      </c>
      <c r="C330" t="s">
        <v>40</v>
      </c>
      <c r="D330" s="6">
        <v>2018</v>
      </c>
      <c r="E330" s="8">
        <v>4894</v>
      </c>
      <c r="F330" s="8">
        <v>7000</v>
      </c>
      <c r="G330" s="8">
        <f t="shared" si="20"/>
        <v>2106</v>
      </c>
      <c r="H330" s="6">
        <v>80000</v>
      </c>
      <c r="I330" t="s">
        <v>41</v>
      </c>
      <c r="J330" t="s">
        <v>72</v>
      </c>
      <c r="K330" t="s">
        <v>1647</v>
      </c>
      <c r="L330" t="s">
        <v>1647</v>
      </c>
      <c r="M330" t="s">
        <v>1647</v>
      </c>
      <c r="N330" s="6" t="s">
        <v>1647</v>
      </c>
      <c r="O330" t="str">
        <f t="shared" si="21"/>
        <v>Normal</v>
      </c>
      <c r="P330" t="str">
        <f t="shared" si="22"/>
        <v>Duplicate ID</v>
      </c>
      <c r="Q330" t="str">
        <f t="shared" si="23"/>
        <v>0-4,999</v>
      </c>
      <c r="R330" s="6">
        <f>IF(COUNTIF($A$2:A330,A330)=1,1,0)</f>
        <v>1</v>
      </c>
    </row>
    <row r="331" spans="1:18" x14ac:dyDescent="0.25">
      <c r="A331" s="6">
        <v>1141</v>
      </c>
      <c r="B331" s="7">
        <v>44516</v>
      </c>
      <c r="C331" t="s">
        <v>32</v>
      </c>
      <c r="D331" s="6">
        <v>2015</v>
      </c>
      <c r="E331" s="8">
        <v>3087</v>
      </c>
      <c r="F331" s="8">
        <v>7000</v>
      </c>
      <c r="G331" s="8">
        <f t="shared" si="20"/>
        <v>3913</v>
      </c>
      <c r="H331" s="6">
        <v>60000</v>
      </c>
      <c r="I331" t="s">
        <v>69</v>
      </c>
      <c r="J331" t="s">
        <v>72</v>
      </c>
      <c r="K331" t="s">
        <v>36</v>
      </c>
      <c r="L331" t="s">
        <v>48</v>
      </c>
      <c r="M331" t="s">
        <v>90</v>
      </c>
      <c r="N331" s="6">
        <v>0</v>
      </c>
      <c r="O331" t="str">
        <f t="shared" si="21"/>
        <v>Normal</v>
      </c>
      <c r="P331" t="str">
        <f t="shared" si="22"/>
        <v>Duplicate ID</v>
      </c>
      <c r="Q331" t="str">
        <f t="shared" si="23"/>
        <v>0-4,999</v>
      </c>
      <c r="R331" s="6">
        <f>IF(COUNTIF($A$2:A331,A331)=1,1,0)</f>
        <v>1</v>
      </c>
    </row>
    <row r="332" spans="1:18" x14ac:dyDescent="0.25">
      <c r="A332" s="6">
        <v>1097</v>
      </c>
      <c r="B332" s="7">
        <v>45377</v>
      </c>
      <c r="C332" t="s">
        <v>51</v>
      </c>
      <c r="D332" s="6">
        <v>2021</v>
      </c>
      <c r="E332" s="8">
        <v>5351</v>
      </c>
      <c r="F332" s="8">
        <v>12000</v>
      </c>
      <c r="G332" s="8">
        <f t="shared" si="20"/>
        <v>6649</v>
      </c>
      <c r="H332" s="6">
        <v>60000</v>
      </c>
      <c r="I332" t="s">
        <v>34</v>
      </c>
      <c r="J332" t="s">
        <v>35</v>
      </c>
      <c r="K332" t="s">
        <v>36</v>
      </c>
      <c r="L332" t="s">
        <v>54</v>
      </c>
      <c r="M332" t="s">
        <v>45</v>
      </c>
      <c r="N332" s="6">
        <v>3</v>
      </c>
      <c r="O332" t="str">
        <f t="shared" si="21"/>
        <v>Normal</v>
      </c>
      <c r="P332" t="str">
        <f t="shared" si="22"/>
        <v>Duplicate ID</v>
      </c>
      <c r="Q332" t="str">
        <f t="shared" si="23"/>
        <v>5,000-9,999</v>
      </c>
      <c r="R332" s="6">
        <f>IF(COUNTIF($A$2:A332,A332)=1,1,0)</f>
        <v>1</v>
      </c>
    </row>
    <row r="333" spans="1:18" x14ac:dyDescent="0.25">
      <c r="A333" s="6">
        <v>1391</v>
      </c>
      <c r="B333" s="7">
        <v>44220</v>
      </c>
      <c r="C333" t="s">
        <v>1648</v>
      </c>
      <c r="D333" s="6">
        <v>2015</v>
      </c>
      <c r="E333" s="8">
        <v>8653</v>
      </c>
      <c r="F333" s="8">
        <v>15000</v>
      </c>
      <c r="G333" s="8">
        <f t="shared" si="20"/>
        <v>6347</v>
      </c>
      <c r="H333" s="6">
        <v>120000</v>
      </c>
      <c r="I333" t="s">
        <v>58</v>
      </c>
      <c r="J333" t="s">
        <v>72</v>
      </c>
      <c r="K333" t="s">
        <v>1647</v>
      </c>
      <c r="L333" t="s">
        <v>100</v>
      </c>
      <c r="M333" t="s">
        <v>90</v>
      </c>
      <c r="N333" s="6">
        <v>0</v>
      </c>
      <c r="O333" t="str">
        <f t="shared" si="21"/>
        <v>Normal</v>
      </c>
      <c r="P333" t="str">
        <f t="shared" si="22"/>
        <v>Duplicate ID</v>
      </c>
      <c r="Q333" t="str">
        <f t="shared" si="23"/>
        <v>5,000-9,999</v>
      </c>
      <c r="R333" s="6">
        <f>IF(COUNTIF($A$2:A333,A333)=1,1,0)</f>
        <v>1</v>
      </c>
    </row>
    <row r="334" spans="1:18" x14ac:dyDescent="0.25">
      <c r="A334" s="6">
        <v>1403</v>
      </c>
      <c r="B334" s="7">
        <v>44790</v>
      </c>
      <c r="C334" t="s">
        <v>79</v>
      </c>
      <c r="D334" s="6">
        <v>2021</v>
      </c>
      <c r="E334" s="8">
        <v>4462</v>
      </c>
      <c r="F334" s="8">
        <v>9000</v>
      </c>
      <c r="G334" s="8">
        <f t="shared" si="20"/>
        <v>4538</v>
      </c>
      <c r="H334" s="6">
        <v>25000</v>
      </c>
      <c r="I334" t="s">
        <v>41</v>
      </c>
      <c r="J334" t="s">
        <v>1647</v>
      </c>
      <c r="K334" t="s">
        <v>96</v>
      </c>
      <c r="L334" t="s">
        <v>54</v>
      </c>
      <c r="M334" t="s">
        <v>126</v>
      </c>
      <c r="N334" s="6">
        <v>3</v>
      </c>
      <c r="O334" t="str">
        <f t="shared" si="21"/>
        <v>Normal</v>
      </c>
      <c r="P334" t="str">
        <f t="shared" si="22"/>
        <v>Duplicate ID</v>
      </c>
      <c r="Q334" t="str">
        <f t="shared" si="23"/>
        <v>0-4,999</v>
      </c>
      <c r="R334" s="6">
        <f>IF(COUNTIF($A$2:A334,A334)=1,1,0)</f>
        <v>1</v>
      </c>
    </row>
    <row r="335" spans="1:18" x14ac:dyDescent="0.25">
      <c r="A335" s="6">
        <v>1499</v>
      </c>
      <c r="B335" s="7">
        <v>44602</v>
      </c>
      <c r="C335" t="s">
        <v>1648</v>
      </c>
      <c r="D335" s="6">
        <v>2016</v>
      </c>
      <c r="E335" s="8">
        <v>6419</v>
      </c>
      <c r="F335" s="8">
        <v>12000</v>
      </c>
      <c r="G335" s="8">
        <f t="shared" si="20"/>
        <v>5581</v>
      </c>
      <c r="H335" s="6">
        <v>60000</v>
      </c>
      <c r="I335" t="s">
        <v>58</v>
      </c>
      <c r="J335" t="s">
        <v>35</v>
      </c>
      <c r="K335" t="s">
        <v>36</v>
      </c>
      <c r="L335" t="s">
        <v>54</v>
      </c>
      <c r="M335" t="s">
        <v>98</v>
      </c>
      <c r="N335" s="6">
        <v>2</v>
      </c>
      <c r="O335" t="str">
        <f t="shared" si="21"/>
        <v>Normal</v>
      </c>
      <c r="P335" t="str">
        <f t="shared" si="22"/>
        <v>Duplicate ID</v>
      </c>
      <c r="Q335" t="str">
        <f t="shared" si="23"/>
        <v>5,000-9,999</v>
      </c>
      <c r="R335" s="6">
        <f>IF(COUNTIF($A$2:A335,A335)=1,1,0)</f>
        <v>1</v>
      </c>
    </row>
    <row r="336" spans="1:18" x14ac:dyDescent="0.25">
      <c r="A336" s="6">
        <v>1195</v>
      </c>
      <c r="B336" s="7">
        <v>44910</v>
      </c>
      <c r="C336" t="s">
        <v>40</v>
      </c>
      <c r="D336" s="6">
        <v>2015</v>
      </c>
      <c r="E336" s="8">
        <v>22008</v>
      </c>
      <c r="F336" s="8">
        <v>26000</v>
      </c>
      <c r="G336" s="8">
        <f t="shared" si="20"/>
        <v>3992</v>
      </c>
      <c r="H336" s="6">
        <v>60000</v>
      </c>
      <c r="I336" t="s">
        <v>69</v>
      </c>
      <c r="J336" t="s">
        <v>35</v>
      </c>
      <c r="K336" t="s">
        <v>96</v>
      </c>
      <c r="L336" t="s">
        <v>48</v>
      </c>
      <c r="M336" t="s">
        <v>90</v>
      </c>
      <c r="N336" s="6">
        <v>3</v>
      </c>
      <c r="O336" t="str">
        <f t="shared" si="21"/>
        <v>Normal</v>
      </c>
      <c r="P336" t="str">
        <f t="shared" si="22"/>
        <v>Duplicate ID</v>
      </c>
      <c r="Q336" t="str">
        <f t="shared" si="23"/>
        <v>20,000-24,999</v>
      </c>
      <c r="R336" s="6">
        <f>IF(COUNTIF($A$2:A336,A336)=1,1,0)</f>
        <v>0</v>
      </c>
    </row>
    <row r="337" spans="1:18" x14ac:dyDescent="0.25">
      <c r="A337" s="6">
        <v>1087</v>
      </c>
      <c r="B337" s="7">
        <v>44516</v>
      </c>
      <c r="C337" t="s">
        <v>40</v>
      </c>
      <c r="D337" s="6">
        <v>2017</v>
      </c>
      <c r="E337" s="8">
        <v>10938</v>
      </c>
      <c r="F337" s="8">
        <v>15000</v>
      </c>
      <c r="G337" s="8">
        <f t="shared" si="20"/>
        <v>4062</v>
      </c>
      <c r="H337" s="6">
        <v>120000</v>
      </c>
      <c r="I337" t="s">
        <v>58</v>
      </c>
      <c r="J337" t="s">
        <v>72</v>
      </c>
      <c r="K337" t="s">
        <v>36</v>
      </c>
      <c r="L337" t="s">
        <v>54</v>
      </c>
      <c r="M337" t="s">
        <v>126</v>
      </c>
      <c r="N337" s="6">
        <v>2</v>
      </c>
      <c r="O337" t="str">
        <f t="shared" si="21"/>
        <v>Normal</v>
      </c>
      <c r="P337" t="str">
        <f t="shared" si="22"/>
        <v>Duplicate ID</v>
      </c>
      <c r="Q337" t="str">
        <f t="shared" si="23"/>
        <v>10,000-14,999</v>
      </c>
      <c r="R337" s="6">
        <f>IF(COUNTIF($A$2:A337,A337)=1,1,0)</f>
        <v>1</v>
      </c>
    </row>
    <row r="338" spans="1:18" x14ac:dyDescent="0.25">
      <c r="A338" s="6">
        <v>1216</v>
      </c>
      <c r="B338" s="7">
        <v>45298</v>
      </c>
      <c r="C338" t="s">
        <v>1648</v>
      </c>
      <c r="D338" s="6">
        <v>2021</v>
      </c>
      <c r="E338" s="8">
        <v>4288</v>
      </c>
      <c r="F338" s="8">
        <v>7000</v>
      </c>
      <c r="G338" s="8">
        <f t="shared" si="20"/>
        <v>2712</v>
      </c>
      <c r="H338" s="6">
        <v>40000</v>
      </c>
      <c r="I338" t="s">
        <v>1647</v>
      </c>
      <c r="J338" t="s">
        <v>1647</v>
      </c>
      <c r="K338" t="s">
        <v>36</v>
      </c>
      <c r="L338" t="s">
        <v>73</v>
      </c>
      <c r="M338" t="s">
        <v>98</v>
      </c>
      <c r="N338" s="6" t="s">
        <v>1647</v>
      </c>
      <c r="O338" t="str">
        <f t="shared" si="21"/>
        <v>Normal</v>
      </c>
      <c r="P338" t="str">
        <f t="shared" si="22"/>
        <v>Duplicate ID</v>
      </c>
      <c r="Q338" t="str">
        <f t="shared" si="23"/>
        <v>0-4,999</v>
      </c>
      <c r="R338" s="6">
        <f>IF(COUNTIF($A$2:A338,A338)=1,1,0)</f>
        <v>0</v>
      </c>
    </row>
    <row r="339" spans="1:18" x14ac:dyDescent="0.25">
      <c r="A339" s="6">
        <v>1277</v>
      </c>
      <c r="B339" s="7">
        <v>44608</v>
      </c>
      <c r="C339" t="s">
        <v>40</v>
      </c>
      <c r="D339" s="6">
        <v>2018</v>
      </c>
      <c r="E339" s="8">
        <v>8674</v>
      </c>
      <c r="F339" s="8">
        <v>12000</v>
      </c>
      <c r="G339" s="8">
        <f t="shared" si="20"/>
        <v>3326</v>
      </c>
      <c r="H339" s="6">
        <v>15000</v>
      </c>
      <c r="I339" t="s">
        <v>34</v>
      </c>
      <c r="J339" t="s">
        <v>72</v>
      </c>
      <c r="K339" t="s">
        <v>96</v>
      </c>
      <c r="L339" t="s">
        <v>73</v>
      </c>
      <c r="M339" t="s">
        <v>126</v>
      </c>
      <c r="N339" s="6">
        <v>2</v>
      </c>
      <c r="O339" t="str">
        <f t="shared" si="21"/>
        <v>Normal</v>
      </c>
      <c r="P339" t="str">
        <f t="shared" si="22"/>
        <v>Duplicate ID</v>
      </c>
      <c r="Q339" t="str">
        <f t="shared" si="23"/>
        <v>5,000-9,999</v>
      </c>
      <c r="R339" s="6">
        <f>IF(COUNTIF($A$2:A339,A339)=1,1,0)</f>
        <v>0</v>
      </c>
    </row>
    <row r="340" spans="1:18" x14ac:dyDescent="0.25">
      <c r="A340" s="6">
        <v>1323</v>
      </c>
      <c r="B340" s="7">
        <v>44400</v>
      </c>
      <c r="C340" t="s">
        <v>79</v>
      </c>
      <c r="D340" s="6">
        <v>2017</v>
      </c>
      <c r="E340" s="8">
        <v>19187</v>
      </c>
      <c r="F340" s="8">
        <v>26000</v>
      </c>
      <c r="G340" s="8">
        <f t="shared" si="20"/>
        <v>6813</v>
      </c>
      <c r="H340" s="6">
        <v>80000</v>
      </c>
      <c r="I340" t="s">
        <v>58</v>
      </c>
      <c r="J340" t="s">
        <v>1647</v>
      </c>
      <c r="K340" t="s">
        <v>96</v>
      </c>
      <c r="L340" t="s">
        <v>1647</v>
      </c>
      <c r="M340" t="s">
        <v>126</v>
      </c>
      <c r="N340" s="6">
        <v>0</v>
      </c>
      <c r="O340" t="str">
        <f t="shared" si="21"/>
        <v>Normal</v>
      </c>
      <c r="P340" t="str">
        <f t="shared" si="22"/>
        <v>Duplicate ID</v>
      </c>
      <c r="Q340" t="str">
        <f t="shared" si="23"/>
        <v>15,000-19,999</v>
      </c>
      <c r="R340" s="6">
        <f>IF(COUNTIF($A$2:A340,A340)=1,1,0)</f>
        <v>0</v>
      </c>
    </row>
    <row r="341" spans="1:18" x14ac:dyDescent="0.25">
      <c r="A341" s="6">
        <v>1160</v>
      </c>
      <c r="B341" s="7">
        <v>45002</v>
      </c>
      <c r="C341" t="s">
        <v>119</v>
      </c>
      <c r="D341" s="6">
        <v>2022</v>
      </c>
      <c r="E341" s="8">
        <v>12987</v>
      </c>
      <c r="F341" s="8">
        <v>18000</v>
      </c>
      <c r="G341" s="8">
        <f t="shared" si="20"/>
        <v>5013</v>
      </c>
      <c r="H341" s="6">
        <v>40000</v>
      </c>
      <c r="I341" t="s">
        <v>69</v>
      </c>
      <c r="J341" t="s">
        <v>35</v>
      </c>
      <c r="K341" t="s">
        <v>1647</v>
      </c>
      <c r="L341" t="s">
        <v>54</v>
      </c>
      <c r="M341" t="s">
        <v>126</v>
      </c>
      <c r="N341" s="6">
        <v>2</v>
      </c>
      <c r="O341" t="str">
        <f t="shared" si="21"/>
        <v>Normal</v>
      </c>
      <c r="P341" t="str">
        <f t="shared" si="22"/>
        <v>Duplicate ID</v>
      </c>
      <c r="Q341" t="str">
        <f t="shared" si="23"/>
        <v>10,000-14,999</v>
      </c>
      <c r="R341" s="6">
        <f>IF(COUNTIF($A$2:A341,A341)=1,1,0)</f>
        <v>1</v>
      </c>
    </row>
    <row r="342" spans="1:18" x14ac:dyDescent="0.25">
      <c r="A342" s="6">
        <v>1402</v>
      </c>
      <c r="B342" s="7">
        <v>44896</v>
      </c>
      <c r="C342" t="s">
        <v>79</v>
      </c>
      <c r="D342" s="6">
        <v>2014</v>
      </c>
      <c r="E342" s="8">
        <v>15758</v>
      </c>
      <c r="F342" s="8">
        <v>18000</v>
      </c>
      <c r="G342" s="8">
        <f t="shared" si="20"/>
        <v>2242</v>
      </c>
      <c r="H342" s="6">
        <v>25000</v>
      </c>
      <c r="I342" t="s">
        <v>58</v>
      </c>
      <c r="J342" t="s">
        <v>72</v>
      </c>
      <c r="K342" t="s">
        <v>36</v>
      </c>
      <c r="L342" t="s">
        <v>100</v>
      </c>
      <c r="M342" t="s">
        <v>98</v>
      </c>
      <c r="N342" s="6">
        <v>2</v>
      </c>
      <c r="O342" t="str">
        <f t="shared" si="21"/>
        <v>Normal</v>
      </c>
      <c r="P342" t="str">
        <f t="shared" si="22"/>
        <v>Duplicate ID</v>
      </c>
      <c r="Q342" t="str">
        <f t="shared" si="23"/>
        <v>15,000-19,999</v>
      </c>
      <c r="R342" s="6">
        <f>IF(COUNTIF($A$2:A342,A342)=1,1,0)</f>
        <v>1</v>
      </c>
    </row>
    <row r="343" spans="1:18" x14ac:dyDescent="0.25">
      <c r="A343" s="6">
        <v>1594</v>
      </c>
      <c r="B343" s="7">
        <v>44480</v>
      </c>
      <c r="C343" t="s">
        <v>51</v>
      </c>
      <c r="D343" s="6">
        <v>2021</v>
      </c>
      <c r="E343" s="8">
        <v>5655</v>
      </c>
      <c r="F343" s="8">
        <v>12000</v>
      </c>
      <c r="G343" s="8">
        <f t="shared" si="20"/>
        <v>6345</v>
      </c>
      <c r="H343" s="6">
        <v>25000</v>
      </c>
      <c r="I343" t="s">
        <v>69</v>
      </c>
      <c r="J343" t="s">
        <v>1647</v>
      </c>
      <c r="K343" t="s">
        <v>36</v>
      </c>
      <c r="L343" t="s">
        <v>48</v>
      </c>
      <c r="M343" t="s">
        <v>90</v>
      </c>
      <c r="N343" s="6" t="s">
        <v>1647</v>
      </c>
      <c r="O343" t="str">
        <f t="shared" si="21"/>
        <v>Normal</v>
      </c>
      <c r="P343" t="str">
        <f t="shared" si="22"/>
        <v>Duplicate ID</v>
      </c>
      <c r="Q343" t="str">
        <f t="shared" si="23"/>
        <v>5,000-9,999</v>
      </c>
      <c r="R343" s="6">
        <f>IF(COUNTIF($A$2:A343,A343)=1,1,0)</f>
        <v>1</v>
      </c>
    </row>
    <row r="344" spans="1:18" x14ac:dyDescent="0.25">
      <c r="A344" s="6">
        <v>1188</v>
      </c>
      <c r="B344" s="7">
        <v>44439</v>
      </c>
      <c r="C344" t="s">
        <v>57</v>
      </c>
      <c r="D344" s="6">
        <v>2019</v>
      </c>
      <c r="E344" s="8">
        <v>3634</v>
      </c>
      <c r="F344" s="8">
        <v>9000</v>
      </c>
      <c r="G344" s="8">
        <f t="shared" si="20"/>
        <v>5366</v>
      </c>
      <c r="H344" s="6">
        <v>80000</v>
      </c>
      <c r="I344" t="s">
        <v>69</v>
      </c>
      <c r="J344" t="s">
        <v>72</v>
      </c>
      <c r="K344" t="s">
        <v>96</v>
      </c>
      <c r="L344" t="s">
        <v>54</v>
      </c>
      <c r="M344" t="s">
        <v>98</v>
      </c>
      <c r="N344" s="6">
        <v>2</v>
      </c>
      <c r="O344" t="str">
        <f t="shared" si="21"/>
        <v>Normal</v>
      </c>
      <c r="P344" t="str">
        <f t="shared" si="22"/>
        <v>Duplicate ID</v>
      </c>
      <c r="Q344" t="str">
        <f t="shared" si="23"/>
        <v>0-4,999</v>
      </c>
      <c r="R344" s="6">
        <f>IF(COUNTIF($A$2:A344,A344)=1,1,0)</f>
        <v>1</v>
      </c>
    </row>
    <row r="345" spans="1:18" x14ac:dyDescent="0.25">
      <c r="A345" s="6">
        <v>1273</v>
      </c>
      <c r="B345" s="7">
        <v>44250</v>
      </c>
      <c r="C345" t="s">
        <v>32</v>
      </c>
      <c r="D345" s="6">
        <v>2017</v>
      </c>
      <c r="E345" s="8">
        <v>6487</v>
      </c>
      <c r="F345" s="8">
        <v>9000</v>
      </c>
      <c r="G345" s="8">
        <f t="shared" si="20"/>
        <v>2513</v>
      </c>
      <c r="H345" s="6">
        <v>25000</v>
      </c>
      <c r="I345" t="s">
        <v>58</v>
      </c>
      <c r="J345" t="s">
        <v>35</v>
      </c>
      <c r="K345" t="s">
        <v>96</v>
      </c>
      <c r="L345" t="s">
        <v>73</v>
      </c>
      <c r="M345" t="s">
        <v>98</v>
      </c>
      <c r="N345" s="6">
        <v>1</v>
      </c>
      <c r="O345" t="str">
        <f t="shared" si="21"/>
        <v>Normal</v>
      </c>
      <c r="P345" t="str">
        <f t="shared" si="22"/>
        <v>Duplicate ID</v>
      </c>
      <c r="Q345" t="str">
        <f t="shared" si="23"/>
        <v>5,000-9,999</v>
      </c>
      <c r="R345" s="6">
        <f>IF(COUNTIF($A$2:A345,A345)=1,1,0)</f>
        <v>1</v>
      </c>
    </row>
    <row r="346" spans="1:18" x14ac:dyDescent="0.25">
      <c r="A346" s="6">
        <v>1485</v>
      </c>
      <c r="B346" s="7">
        <v>45203</v>
      </c>
      <c r="C346" t="s">
        <v>1648</v>
      </c>
      <c r="D346" s="6">
        <v>2018</v>
      </c>
      <c r="E346" s="8">
        <v>17826</v>
      </c>
      <c r="F346" s="8">
        <v>22000</v>
      </c>
      <c r="G346" s="8">
        <f t="shared" si="20"/>
        <v>4174</v>
      </c>
      <c r="H346" s="6">
        <v>25000</v>
      </c>
      <c r="I346" t="s">
        <v>41</v>
      </c>
      <c r="J346" t="s">
        <v>72</v>
      </c>
      <c r="K346" t="s">
        <v>96</v>
      </c>
      <c r="L346" t="s">
        <v>100</v>
      </c>
      <c r="M346" t="s">
        <v>90</v>
      </c>
      <c r="N346" s="6">
        <v>1</v>
      </c>
      <c r="O346" t="str">
        <f t="shared" si="21"/>
        <v>Normal</v>
      </c>
      <c r="P346" t="str">
        <f t="shared" si="22"/>
        <v>Duplicate ID</v>
      </c>
      <c r="Q346" t="str">
        <f t="shared" si="23"/>
        <v>15,000-19,999</v>
      </c>
      <c r="R346" s="6">
        <f>IF(COUNTIF($A$2:A346,A346)=1,1,0)</f>
        <v>0</v>
      </c>
    </row>
    <row r="347" spans="1:18" x14ac:dyDescent="0.25">
      <c r="A347" s="6">
        <v>1468</v>
      </c>
      <c r="B347" s="7">
        <v>44862</v>
      </c>
      <c r="C347" t="s">
        <v>40</v>
      </c>
      <c r="D347" s="6">
        <v>2016</v>
      </c>
      <c r="E347" s="8">
        <v>25987</v>
      </c>
      <c r="F347" s="8">
        <v>31000</v>
      </c>
      <c r="G347" s="8">
        <f t="shared" si="20"/>
        <v>5013</v>
      </c>
      <c r="H347" s="6">
        <v>80000</v>
      </c>
      <c r="I347" t="s">
        <v>34</v>
      </c>
      <c r="J347" t="s">
        <v>72</v>
      </c>
      <c r="K347" t="s">
        <v>96</v>
      </c>
      <c r="L347" t="s">
        <v>1647</v>
      </c>
      <c r="M347" t="s">
        <v>1647</v>
      </c>
      <c r="N347" s="6">
        <v>0</v>
      </c>
      <c r="O347" t="str">
        <f t="shared" si="21"/>
        <v>Normal</v>
      </c>
      <c r="P347" t="str">
        <f t="shared" si="22"/>
        <v>Duplicate ID</v>
      </c>
      <c r="Q347" t="str">
        <f t="shared" si="23"/>
        <v>25,000-30,000</v>
      </c>
      <c r="R347" s="6">
        <f>IF(COUNTIF($A$2:A347,A347)=1,1,0)</f>
        <v>1</v>
      </c>
    </row>
    <row r="348" spans="1:18" x14ac:dyDescent="0.25">
      <c r="A348" s="6">
        <v>1550</v>
      </c>
      <c r="B348" s="7">
        <v>45259</v>
      </c>
      <c r="C348" t="s">
        <v>32</v>
      </c>
      <c r="D348" s="6">
        <v>2021</v>
      </c>
      <c r="E348" s="8">
        <v>27988</v>
      </c>
      <c r="F348" s="8">
        <v>31000</v>
      </c>
      <c r="G348" s="8">
        <f t="shared" si="20"/>
        <v>3012</v>
      </c>
      <c r="H348" s="6">
        <v>15000</v>
      </c>
      <c r="I348" t="s">
        <v>41</v>
      </c>
      <c r="J348" t="s">
        <v>35</v>
      </c>
      <c r="K348" t="s">
        <v>96</v>
      </c>
      <c r="L348" t="s">
        <v>48</v>
      </c>
      <c r="M348" t="s">
        <v>98</v>
      </c>
      <c r="N348" s="6">
        <v>2</v>
      </c>
      <c r="O348" t="str">
        <f t="shared" si="21"/>
        <v>Normal</v>
      </c>
      <c r="P348" t="str">
        <f t="shared" si="22"/>
        <v>Duplicate ID</v>
      </c>
      <c r="Q348" t="str">
        <f t="shared" si="23"/>
        <v>25,000-30,000</v>
      </c>
      <c r="R348" s="6">
        <f>IF(COUNTIF($A$2:A348,A348)=1,1,0)</f>
        <v>0</v>
      </c>
    </row>
    <row r="349" spans="1:18" x14ac:dyDescent="0.25">
      <c r="A349" s="6">
        <v>1529</v>
      </c>
      <c r="B349" s="7">
        <v>44308</v>
      </c>
      <c r="C349" t="s">
        <v>51</v>
      </c>
      <c r="D349" s="6">
        <v>2021</v>
      </c>
      <c r="E349" s="8">
        <v>8589</v>
      </c>
      <c r="F349" s="8">
        <v>12000</v>
      </c>
      <c r="G349" s="8">
        <f t="shared" si="20"/>
        <v>3411</v>
      </c>
      <c r="H349" s="6">
        <v>60000</v>
      </c>
      <c r="I349" t="s">
        <v>41</v>
      </c>
      <c r="J349" t="s">
        <v>1647</v>
      </c>
      <c r="K349" t="s">
        <v>36</v>
      </c>
      <c r="L349" t="s">
        <v>100</v>
      </c>
      <c r="M349" t="s">
        <v>1647</v>
      </c>
      <c r="N349" s="6">
        <v>1</v>
      </c>
      <c r="O349" t="str">
        <f t="shared" si="21"/>
        <v>Normal</v>
      </c>
      <c r="P349" t="str">
        <f t="shared" si="22"/>
        <v>Duplicate ID</v>
      </c>
      <c r="Q349" t="str">
        <f t="shared" si="23"/>
        <v>5,000-9,999</v>
      </c>
      <c r="R349" s="6">
        <f>IF(COUNTIF($A$2:A349,A349)=1,1,0)</f>
        <v>1</v>
      </c>
    </row>
    <row r="350" spans="1:18" x14ac:dyDescent="0.25">
      <c r="A350" s="6">
        <v>1464</v>
      </c>
      <c r="B350" s="7">
        <v>44563</v>
      </c>
      <c r="C350" t="s">
        <v>79</v>
      </c>
      <c r="D350" s="6">
        <v>2020</v>
      </c>
      <c r="E350" s="8">
        <v>20796</v>
      </c>
      <c r="F350" s="8">
        <v>22000</v>
      </c>
      <c r="G350" s="8">
        <f t="shared" si="20"/>
        <v>1204</v>
      </c>
      <c r="H350" s="6">
        <v>60000</v>
      </c>
      <c r="I350" t="s">
        <v>1647</v>
      </c>
      <c r="J350" t="s">
        <v>35</v>
      </c>
      <c r="K350" t="s">
        <v>96</v>
      </c>
      <c r="L350" t="s">
        <v>54</v>
      </c>
      <c r="M350" t="s">
        <v>90</v>
      </c>
      <c r="N350" s="6">
        <v>0</v>
      </c>
      <c r="O350" t="str">
        <f t="shared" si="21"/>
        <v>Normal</v>
      </c>
      <c r="P350" t="str">
        <f t="shared" si="22"/>
        <v>Duplicate ID</v>
      </c>
      <c r="Q350" t="str">
        <f t="shared" si="23"/>
        <v>20,000-24,999</v>
      </c>
      <c r="R350" s="6">
        <f>IF(COUNTIF($A$2:A350,A350)=1,1,0)</f>
        <v>0</v>
      </c>
    </row>
    <row r="351" spans="1:18" x14ac:dyDescent="0.25">
      <c r="A351" s="6">
        <v>1536</v>
      </c>
      <c r="B351" s="7">
        <v>44371</v>
      </c>
      <c r="C351" t="s">
        <v>40</v>
      </c>
      <c r="D351" s="6">
        <v>2015</v>
      </c>
      <c r="E351" s="8">
        <v>27027</v>
      </c>
      <c r="F351" s="8">
        <v>31000</v>
      </c>
      <c r="G351" s="8">
        <f t="shared" si="20"/>
        <v>3973</v>
      </c>
      <c r="H351" s="6">
        <v>120000</v>
      </c>
      <c r="I351" t="s">
        <v>58</v>
      </c>
      <c r="J351" t="s">
        <v>72</v>
      </c>
      <c r="K351" t="s">
        <v>1647</v>
      </c>
      <c r="L351" t="s">
        <v>48</v>
      </c>
      <c r="M351" t="s">
        <v>126</v>
      </c>
      <c r="N351" s="6">
        <v>1</v>
      </c>
      <c r="O351" t="str">
        <f t="shared" si="21"/>
        <v>Normal</v>
      </c>
      <c r="P351" t="str">
        <f t="shared" si="22"/>
        <v>Duplicate ID</v>
      </c>
      <c r="Q351" t="str">
        <f t="shared" si="23"/>
        <v>25,000-30,000</v>
      </c>
      <c r="R351" s="6">
        <f>IF(COUNTIF($A$2:A351,A351)=1,1,0)</f>
        <v>1</v>
      </c>
    </row>
    <row r="352" spans="1:18" x14ac:dyDescent="0.25">
      <c r="A352" s="6">
        <v>1052</v>
      </c>
      <c r="B352" s="7">
        <v>44563</v>
      </c>
      <c r="C352" t="s">
        <v>51</v>
      </c>
      <c r="D352" s="6"/>
      <c r="E352" s="8">
        <v>9816</v>
      </c>
      <c r="F352" s="8">
        <v>12000</v>
      </c>
      <c r="G352" s="8">
        <f t="shared" si="20"/>
        <v>2184</v>
      </c>
      <c r="H352" s="6">
        <v>25000</v>
      </c>
      <c r="I352" t="s">
        <v>1647</v>
      </c>
      <c r="J352" t="s">
        <v>72</v>
      </c>
      <c r="K352" t="s">
        <v>36</v>
      </c>
      <c r="L352" t="s">
        <v>73</v>
      </c>
      <c r="M352" t="s">
        <v>90</v>
      </c>
      <c r="N352" s="6">
        <v>1</v>
      </c>
      <c r="O352" t="str">
        <f t="shared" si="21"/>
        <v>Normal</v>
      </c>
      <c r="P352" t="str">
        <f t="shared" si="22"/>
        <v>Duplicate ID</v>
      </c>
      <c r="Q352" t="str">
        <f t="shared" si="23"/>
        <v>5,000-9,999</v>
      </c>
      <c r="R352" s="6">
        <f>IF(COUNTIF($A$2:A352,A352)=1,1,0)</f>
        <v>0</v>
      </c>
    </row>
    <row r="353" spans="1:18" x14ac:dyDescent="0.25">
      <c r="A353" s="6">
        <v>1510</v>
      </c>
      <c r="B353" s="7">
        <v>45216</v>
      </c>
      <c r="C353" t="s">
        <v>40</v>
      </c>
      <c r="D353" s="6"/>
      <c r="E353" s="8">
        <v>13243</v>
      </c>
      <c r="F353" s="8">
        <v>18000</v>
      </c>
      <c r="G353" s="8">
        <f t="shared" si="20"/>
        <v>4757</v>
      </c>
      <c r="H353" s="6">
        <v>15000</v>
      </c>
      <c r="I353" t="s">
        <v>58</v>
      </c>
      <c r="J353" t="s">
        <v>35</v>
      </c>
      <c r="K353" t="s">
        <v>1647</v>
      </c>
      <c r="L353" t="s">
        <v>48</v>
      </c>
      <c r="M353" t="s">
        <v>98</v>
      </c>
      <c r="N353" s="6">
        <v>3</v>
      </c>
      <c r="O353" t="str">
        <f t="shared" si="21"/>
        <v>Normal</v>
      </c>
      <c r="P353" t="str">
        <f t="shared" si="22"/>
        <v>Duplicate ID</v>
      </c>
      <c r="Q353" t="str">
        <f t="shared" si="23"/>
        <v>10,000-14,999</v>
      </c>
      <c r="R353" s="6">
        <f>IF(COUNTIF($A$2:A353,A353)=1,1,0)</f>
        <v>1</v>
      </c>
    </row>
    <row r="354" spans="1:18" x14ac:dyDescent="0.25">
      <c r="A354" s="6">
        <v>1570</v>
      </c>
      <c r="B354" s="7">
        <v>44766</v>
      </c>
      <c r="C354" t="s">
        <v>1648</v>
      </c>
      <c r="D354" s="6">
        <v>2015</v>
      </c>
      <c r="E354" s="8">
        <v>1517</v>
      </c>
      <c r="F354" s="8">
        <v>7000</v>
      </c>
      <c r="G354" s="8">
        <f t="shared" si="20"/>
        <v>5483</v>
      </c>
      <c r="H354" s="6">
        <v>25000</v>
      </c>
      <c r="I354" t="s">
        <v>41</v>
      </c>
      <c r="J354" t="s">
        <v>72</v>
      </c>
      <c r="K354" t="s">
        <v>36</v>
      </c>
      <c r="L354" t="s">
        <v>100</v>
      </c>
      <c r="M354" t="s">
        <v>126</v>
      </c>
      <c r="N354" s="6" t="s">
        <v>1647</v>
      </c>
      <c r="O354" t="str">
        <f t="shared" si="21"/>
        <v>Normal</v>
      </c>
      <c r="P354" t="str">
        <f t="shared" si="22"/>
        <v>Duplicate ID</v>
      </c>
      <c r="Q354" t="str">
        <f t="shared" si="23"/>
        <v>0-4,999</v>
      </c>
      <c r="R354" s="6">
        <f>IF(COUNTIF($A$2:A354,A354)=1,1,0)</f>
        <v>1</v>
      </c>
    </row>
    <row r="355" spans="1:18" x14ac:dyDescent="0.25">
      <c r="A355" s="6">
        <v>1182</v>
      </c>
      <c r="B355" s="7">
        <v>45050</v>
      </c>
      <c r="C355" t="s">
        <v>51</v>
      </c>
      <c r="D355" s="6">
        <v>2019</v>
      </c>
      <c r="E355" s="8">
        <v>7108</v>
      </c>
      <c r="F355" s="8">
        <v>9000</v>
      </c>
      <c r="G355" s="8">
        <f t="shared" si="20"/>
        <v>1892</v>
      </c>
      <c r="H355" s="6">
        <v>15000</v>
      </c>
      <c r="I355" t="s">
        <v>58</v>
      </c>
      <c r="J355" t="s">
        <v>72</v>
      </c>
      <c r="K355" t="s">
        <v>1647</v>
      </c>
      <c r="L355" t="s">
        <v>54</v>
      </c>
      <c r="M355" t="s">
        <v>126</v>
      </c>
      <c r="N355" s="6">
        <v>0</v>
      </c>
      <c r="O355" t="str">
        <f t="shared" si="21"/>
        <v>Normal</v>
      </c>
      <c r="P355" t="str">
        <f t="shared" si="22"/>
        <v>Duplicate ID</v>
      </c>
      <c r="Q355" t="str">
        <f t="shared" si="23"/>
        <v>5,000-9,999</v>
      </c>
      <c r="R355" s="6">
        <f>IF(COUNTIF($A$2:A355,A355)=1,1,0)</f>
        <v>0</v>
      </c>
    </row>
    <row r="356" spans="1:18" x14ac:dyDescent="0.25">
      <c r="A356" s="6">
        <v>1563</v>
      </c>
      <c r="B356" s="7">
        <v>45072</v>
      </c>
      <c r="C356" t="s">
        <v>51</v>
      </c>
      <c r="D356" s="6">
        <v>2019</v>
      </c>
      <c r="E356" s="8">
        <v>20446</v>
      </c>
      <c r="F356" s="8">
        <v>22000</v>
      </c>
      <c r="G356" s="8">
        <f t="shared" si="20"/>
        <v>1554</v>
      </c>
      <c r="H356" s="6">
        <v>60000</v>
      </c>
      <c r="I356" t="s">
        <v>69</v>
      </c>
      <c r="J356" t="s">
        <v>72</v>
      </c>
      <c r="K356" t="s">
        <v>1647</v>
      </c>
      <c r="L356" t="s">
        <v>48</v>
      </c>
      <c r="M356" t="s">
        <v>1647</v>
      </c>
      <c r="N356" s="6">
        <v>1</v>
      </c>
      <c r="O356" t="str">
        <f t="shared" si="21"/>
        <v>Normal</v>
      </c>
      <c r="P356" t="str">
        <f t="shared" si="22"/>
        <v>Duplicate ID</v>
      </c>
      <c r="Q356" t="str">
        <f t="shared" si="23"/>
        <v>20,000-24,999</v>
      </c>
      <c r="R356" s="6">
        <f>IF(COUNTIF($A$2:A356,A356)=1,1,0)</f>
        <v>1</v>
      </c>
    </row>
    <row r="357" spans="1:18" x14ac:dyDescent="0.25">
      <c r="A357" s="6">
        <v>1089</v>
      </c>
      <c r="B357" s="7">
        <v>45280</v>
      </c>
      <c r="C357" t="s">
        <v>57</v>
      </c>
      <c r="D357" s="6"/>
      <c r="E357" s="8">
        <v>1320</v>
      </c>
      <c r="F357" s="8">
        <v>7000</v>
      </c>
      <c r="G357" s="8">
        <f t="shared" si="20"/>
        <v>5680</v>
      </c>
      <c r="H357" s="6">
        <v>15000</v>
      </c>
      <c r="I357" t="s">
        <v>69</v>
      </c>
      <c r="J357" t="s">
        <v>72</v>
      </c>
      <c r="K357" t="s">
        <v>1647</v>
      </c>
      <c r="L357" t="s">
        <v>54</v>
      </c>
      <c r="M357" t="s">
        <v>45</v>
      </c>
      <c r="N357" s="6" t="s">
        <v>1647</v>
      </c>
      <c r="O357" t="str">
        <f t="shared" si="21"/>
        <v>Normal</v>
      </c>
      <c r="P357" t="str">
        <f t="shared" si="22"/>
        <v>Duplicate ID</v>
      </c>
      <c r="Q357" t="str">
        <f t="shared" si="23"/>
        <v>0-4,999</v>
      </c>
      <c r="R357" s="6">
        <f>IF(COUNTIF($A$2:A357,A357)=1,1,0)</f>
        <v>1</v>
      </c>
    </row>
    <row r="358" spans="1:18" x14ac:dyDescent="0.25">
      <c r="A358" s="6">
        <v>1504</v>
      </c>
      <c r="B358" s="7">
        <v>45216</v>
      </c>
      <c r="C358" t="s">
        <v>79</v>
      </c>
      <c r="D358" s="6">
        <v>2016</v>
      </c>
      <c r="E358" s="8">
        <v>24027</v>
      </c>
      <c r="F358" s="8">
        <v>31000</v>
      </c>
      <c r="G358" s="8">
        <f t="shared" si="20"/>
        <v>6973</v>
      </c>
      <c r="H358" s="6">
        <v>80000</v>
      </c>
      <c r="I358" t="s">
        <v>69</v>
      </c>
      <c r="J358" t="s">
        <v>35</v>
      </c>
      <c r="K358" t="s">
        <v>36</v>
      </c>
      <c r="L358" t="s">
        <v>73</v>
      </c>
      <c r="M358" t="s">
        <v>126</v>
      </c>
      <c r="N358" s="6">
        <v>3</v>
      </c>
      <c r="O358" t="str">
        <f t="shared" si="21"/>
        <v>Normal</v>
      </c>
      <c r="P358" t="str">
        <f t="shared" si="22"/>
        <v>Duplicate ID</v>
      </c>
      <c r="Q358" t="str">
        <f t="shared" si="23"/>
        <v>20,000-24,999</v>
      </c>
      <c r="R358" s="6">
        <f>IF(COUNTIF($A$2:A358,A358)=1,1,0)</f>
        <v>1</v>
      </c>
    </row>
    <row r="359" spans="1:18" x14ac:dyDescent="0.25">
      <c r="A359" s="6">
        <v>1358</v>
      </c>
      <c r="B359" s="7">
        <v>44880</v>
      </c>
      <c r="C359" t="s">
        <v>32</v>
      </c>
      <c r="D359" s="6">
        <v>2017</v>
      </c>
      <c r="E359" s="8">
        <v>24628</v>
      </c>
      <c r="F359" s="8">
        <v>26000</v>
      </c>
      <c r="G359" s="8">
        <f t="shared" si="20"/>
        <v>1372</v>
      </c>
      <c r="H359" s="6">
        <v>60000</v>
      </c>
      <c r="I359" t="s">
        <v>58</v>
      </c>
      <c r="J359" t="s">
        <v>72</v>
      </c>
      <c r="K359" t="s">
        <v>96</v>
      </c>
      <c r="L359" t="s">
        <v>73</v>
      </c>
      <c r="M359" t="s">
        <v>45</v>
      </c>
      <c r="N359" s="6">
        <v>2</v>
      </c>
      <c r="O359" t="str">
        <f t="shared" si="21"/>
        <v>Normal</v>
      </c>
      <c r="P359" t="str">
        <f t="shared" si="22"/>
        <v>Duplicate ID</v>
      </c>
      <c r="Q359" t="str">
        <f t="shared" si="23"/>
        <v>20,000-24,999</v>
      </c>
      <c r="R359" s="6">
        <f>IF(COUNTIF($A$2:A359,A359)=1,1,0)</f>
        <v>1</v>
      </c>
    </row>
    <row r="360" spans="1:18" x14ac:dyDescent="0.25">
      <c r="A360" s="6">
        <v>1405</v>
      </c>
      <c r="B360" s="7">
        <v>44896</v>
      </c>
      <c r="C360" t="s">
        <v>51</v>
      </c>
      <c r="D360" s="6">
        <v>2014</v>
      </c>
      <c r="E360" s="8">
        <v>5270</v>
      </c>
      <c r="F360" s="8">
        <v>9000</v>
      </c>
      <c r="G360" s="8">
        <f t="shared" si="20"/>
        <v>3730</v>
      </c>
      <c r="H360" s="6">
        <v>120000</v>
      </c>
      <c r="I360" t="s">
        <v>58</v>
      </c>
      <c r="J360" t="s">
        <v>35</v>
      </c>
      <c r="K360" t="s">
        <v>96</v>
      </c>
      <c r="L360" t="s">
        <v>54</v>
      </c>
      <c r="M360" t="s">
        <v>98</v>
      </c>
      <c r="N360" s="6">
        <v>3</v>
      </c>
      <c r="O360" t="str">
        <f t="shared" si="21"/>
        <v>Normal</v>
      </c>
      <c r="P360" t="str">
        <f t="shared" si="22"/>
        <v>Duplicate ID</v>
      </c>
      <c r="Q360" t="str">
        <f t="shared" si="23"/>
        <v>5,000-9,999</v>
      </c>
      <c r="R360" s="6">
        <f>IF(COUNTIF($A$2:A360,A360)=1,1,0)</f>
        <v>0</v>
      </c>
    </row>
    <row r="361" spans="1:18" x14ac:dyDescent="0.25">
      <c r="A361" s="6">
        <v>1549</v>
      </c>
      <c r="B361" s="7">
        <v>45140</v>
      </c>
      <c r="C361" t="s">
        <v>40</v>
      </c>
      <c r="D361" s="6">
        <v>2018</v>
      </c>
      <c r="E361" s="8">
        <v>9728</v>
      </c>
      <c r="F361" s="8">
        <v>12000</v>
      </c>
      <c r="G361" s="8">
        <f t="shared" si="20"/>
        <v>2272</v>
      </c>
      <c r="H361" s="6">
        <v>60000</v>
      </c>
      <c r="I361" t="s">
        <v>41</v>
      </c>
      <c r="J361" t="s">
        <v>1647</v>
      </c>
      <c r="K361" t="s">
        <v>96</v>
      </c>
      <c r="L361" t="s">
        <v>54</v>
      </c>
      <c r="M361" t="s">
        <v>1647</v>
      </c>
      <c r="N361" s="6" t="s">
        <v>1647</v>
      </c>
      <c r="O361" t="str">
        <f t="shared" si="21"/>
        <v>Normal</v>
      </c>
      <c r="P361" t="str">
        <f t="shared" si="22"/>
        <v>Duplicate ID</v>
      </c>
      <c r="Q361" t="str">
        <f t="shared" si="23"/>
        <v>5,000-9,999</v>
      </c>
      <c r="R361" s="6">
        <f>IF(COUNTIF($A$2:A361,A361)=1,1,0)</f>
        <v>0</v>
      </c>
    </row>
    <row r="362" spans="1:18" x14ac:dyDescent="0.25">
      <c r="A362" s="6">
        <v>1287</v>
      </c>
      <c r="B362" s="7">
        <v>44502</v>
      </c>
      <c r="C362" t="s">
        <v>40</v>
      </c>
      <c r="D362" s="6">
        <v>2017</v>
      </c>
      <c r="E362" s="8">
        <v>20458</v>
      </c>
      <c r="F362" s="8">
        <v>22000</v>
      </c>
      <c r="G362" s="8">
        <f t="shared" si="20"/>
        <v>1542</v>
      </c>
      <c r="H362" s="6">
        <v>40000</v>
      </c>
      <c r="I362" t="s">
        <v>58</v>
      </c>
      <c r="J362" t="s">
        <v>1647</v>
      </c>
      <c r="K362" t="s">
        <v>1647</v>
      </c>
      <c r="L362" t="s">
        <v>48</v>
      </c>
      <c r="M362" t="s">
        <v>90</v>
      </c>
      <c r="N362" s="6" t="s">
        <v>1647</v>
      </c>
      <c r="O362" t="str">
        <f t="shared" si="21"/>
        <v>Normal</v>
      </c>
      <c r="P362" t="str">
        <f t="shared" si="22"/>
        <v>Duplicate ID</v>
      </c>
      <c r="Q362" t="str">
        <f t="shared" si="23"/>
        <v>20,000-24,999</v>
      </c>
      <c r="R362" s="6">
        <f>IF(COUNTIF($A$2:A362,A362)=1,1,0)</f>
        <v>0</v>
      </c>
    </row>
    <row r="363" spans="1:18" x14ac:dyDescent="0.25">
      <c r="A363" s="6">
        <v>1423</v>
      </c>
      <c r="B363" s="7">
        <v>44753</v>
      </c>
      <c r="C363" t="s">
        <v>32</v>
      </c>
      <c r="D363" s="6">
        <v>2018</v>
      </c>
      <c r="E363" s="8">
        <v>20741</v>
      </c>
      <c r="F363" s="8">
        <v>22000</v>
      </c>
      <c r="G363" s="8">
        <f t="shared" si="20"/>
        <v>1259</v>
      </c>
      <c r="H363" s="6">
        <v>120000</v>
      </c>
      <c r="I363" t="s">
        <v>69</v>
      </c>
      <c r="J363" t="s">
        <v>35</v>
      </c>
      <c r="K363" t="s">
        <v>1647</v>
      </c>
      <c r="L363" t="s">
        <v>54</v>
      </c>
      <c r="M363" t="s">
        <v>90</v>
      </c>
      <c r="N363" s="6">
        <v>0</v>
      </c>
      <c r="O363" t="str">
        <f t="shared" si="21"/>
        <v>Normal</v>
      </c>
      <c r="P363" t="str">
        <f t="shared" si="22"/>
        <v>Duplicate ID</v>
      </c>
      <c r="Q363" t="str">
        <f t="shared" si="23"/>
        <v>20,000-24,999</v>
      </c>
      <c r="R363" s="6">
        <f>IF(COUNTIF($A$2:A363,A363)=1,1,0)</f>
        <v>0</v>
      </c>
    </row>
    <row r="364" spans="1:18" x14ac:dyDescent="0.25">
      <c r="A364" s="6">
        <v>1025</v>
      </c>
      <c r="B364" s="7">
        <v>45233</v>
      </c>
      <c r="C364" t="s">
        <v>79</v>
      </c>
      <c r="D364" s="6">
        <v>2014</v>
      </c>
      <c r="E364" s="8">
        <v>10365</v>
      </c>
      <c r="F364" s="8">
        <v>15000</v>
      </c>
      <c r="G364" s="8">
        <f t="shared" si="20"/>
        <v>4635</v>
      </c>
      <c r="H364" s="6">
        <v>15000</v>
      </c>
      <c r="I364" t="s">
        <v>69</v>
      </c>
      <c r="J364" t="s">
        <v>72</v>
      </c>
      <c r="K364" t="s">
        <v>1647</v>
      </c>
      <c r="L364" t="s">
        <v>54</v>
      </c>
      <c r="M364" t="s">
        <v>45</v>
      </c>
      <c r="N364" s="6">
        <v>1</v>
      </c>
      <c r="O364" t="str">
        <f t="shared" si="21"/>
        <v>Normal</v>
      </c>
      <c r="P364" t="str">
        <f t="shared" si="22"/>
        <v>Duplicate ID</v>
      </c>
      <c r="Q364" t="str">
        <f t="shared" si="23"/>
        <v>10,000-14,999</v>
      </c>
      <c r="R364" s="6">
        <f>IF(COUNTIF($A$2:A364,A364)=1,1,0)</f>
        <v>1</v>
      </c>
    </row>
    <row r="365" spans="1:18" x14ac:dyDescent="0.25">
      <c r="A365" s="6">
        <v>1470</v>
      </c>
      <c r="B365" s="7">
        <v>44271</v>
      </c>
      <c r="C365" t="s">
        <v>32</v>
      </c>
      <c r="D365" s="6">
        <v>2022</v>
      </c>
      <c r="E365" s="8">
        <v>5065</v>
      </c>
      <c r="F365" s="8">
        <v>12000</v>
      </c>
      <c r="G365" s="8">
        <f t="shared" si="20"/>
        <v>6935</v>
      </c>
      <c r="H365" s="6">
        <v>25000</v>
      </c>
      <c r="I365" t="s">
        <v>69</v>
      </c>
      <c r="J365" t="s">
        <v>35</v>
      </c>
      <c r="K365" t="s">
        <v>1647</v>
      </c>
      <c r="L365" t="s">
        <v>73</v>
      </c>
      <c r="M365" t="s">
        <v>45</v>
      </c>
      <c r="N365" s="6">
        <v>3</v>
      </c>
      <c r="O365" t="str">
        <f t="shared" si="21"/>
        <v>Normal</v>
      </c>
      <c r="P365" t="str">
        <f t="shared" si="22"/>
        <v>Duplicate ID</v>
      </c>
      <c r="Q365" t="str">
        <f t="shared" si="23"/>
        <v>5,000-9,999</v>
      </c>
      <c r="R365" s="6">
        <f>IF(COUNTIF($A$2:A365,A365)=1,1,0)</f>
        <v>1</v>
      </c>
    </row>
    <row r="366" spans="1:18" x14ac:dyDescent="0.25">
      <c r="A366" s="6">
        <v>1214</v>
      </c>
      <c r="B366" s="7">
        <v>44836</v>
      </c>
      <c r="C366" t="s">
        <v>40</v>
      </c>
      <c r="D366" s="6">
        <v>2015</v>
      </c>
      <c r="E366" s="8">
        <v>12269</v>
      </c>
      <c r="F366" s="8">
        <v>18000</v>
      </c>
      <c r="G366" s="8">
        <f t="shared" si="20"/>
        <v>5731</v>
      </c>
      <c r="H366" s="6">
        <v>15000</v>
      </c>
      <c r="I366" t="s">
        <v>69</v>
      </c>
      <c r="J366" t="s">
        <v>72</v>
      </c>
      <c r="K366" t="s">
        <v>36</v>
      </c>
      <c r="L366" t="s">
        <v>54</v>
      </c>
      <c r="M366" t="s">
        <v>90</v>
      </c>
      <c r="N366" s="6">
        <v>1</v>
      </c>
      <c r="O366" t="str">
        <f t="shared" si="21"/>
        <v>Normal</v>
      </c>
      <c r="P366" t="str">
        <f t="shared" si="22"/>
        <v>Duplicate ID</v>
      </c>
      <c r="Q366" t="str">
        <f t="shared" si="23"/>
        <v>10,000-14,999</v>
      </c>
      <c r="R366" s="6">
        <f>IF(COUNTIF($A$2:A366,A366)=1,1,0)</f>
        <v>1</v>
      </c>
    </row>
    <row r="367" spans="1:18" x14ac:dyDescent="0.25">
      <c r="A367" s="6">
        <v>1104</v>
      </c>
      <c r="B367" s="7">
        <v>45249</v>
      </c>
      <c r="C367" t="s">
        <v>119</v>
      </c>
      <c r="D367" s="6">
        <v>2015</v>
      </c>
      <c r="E367" s="8">
        <v>1416</v>
      </c>
      <c r="F367" s="8">
        <v>7000</v>
      </c>
      <c r="G367" s="8">
        <f t="shared" si="20"/>
        <v>5584</v>
      </c>
      <c r="H367" s="6">
        <v>80000</v>
      </c>
      <c r="I367" t="s">
        <v>58</v>
      </c>
      <c r="J367" t="s">
        <v>72</v>
      </c>
      <c r="K367" t="s">
        <v>1647</v>
      </c>
      <c r="L367" t="s">
        <v>100</v>
      </c>
      <c r="M367" t="s">
        <v>90</v>
      </c>
      <c r="N367" s="6">
        <v>0</v>
      </c>
      <c r="O367" t="str">
        <f t="shared" si="21"/>
        <v>Normal</v>
      </c>
      <c r="P367" t="str">
        <f t="shared" si="22"/>
        <v>Duplicate ID</v>
      </c>
      <c r="Q367" t="str">
        <f t="shared" si="23"/>
        <v>0-4,999</v>
      </c>
      <c r="R367" s="6">
        <f>IF(COUNTIF($A$2:A367,A367)=1,1,0)</f>
        <v>0</v>
      </c>
    </row>
    <row r="368" spans="1:18" x14ac:dyDescent="0.25">
      <c r="A368" s="6">
        <v>1133</v>
      </c>
      <c r="B368" s="7">
        <v>44300</v>
      </c>
      <c r="C368" t="s">
        <v>51</v>
      </c>
      <c r="D368" s="6"/>
      <c r="E368" s="8">
        <v>17366</v>
      </c>
      <c r="F368" s="8">
        <v>22000</v>
      </c>
      <c r="G368" s="8">
        <f t="shared" si="20"/>
        <v>4634</v>
      </c>
      <c r="H368" s="6">
        <v>80000</v>
      </c>
      <c r="I368" t="s">
        <v>34</v>
      </c>
      <c r="J368" t="s">
        <v>35</v>
      </c>
      <c r="K368" t="s">
        <v>36</v>
      </c>
      <c r="L368" t="s">
        <v>48</v>
      </c>
      <c r="M368" t="s">
        <v>98</v>
      </c>
      <c r="N368" s="6">
        <v>1</v>
      </c>
      <c r="O368" t="str">
        <f t="shared" si="21"/>
        <v>Normal</v>
      </c>
      <c r="P368" t="str">
        <f t="shared" si="22"/>
        <v>Duplicate ID</v>
      </c>
      <c r="Q368" t="str">
        <f t="shared" si="23"/>
        <v>15,000-19,999</v>
      </c>
      <c r="R368" s="6">
        <f>IF(COUNTIF($A$2:A368,A368)=1,1,0)</f>
        <v>0</v>
      </c>
    </row>
    <row r="369" spans="1:18" x14ac:dyDescent="0.25">
      <c r="A369" s="6">
        <v>1546</v>
      </c>
      <c r="B369" s="7">
        <v>44602</v>
      </c>
      <c r="C369" t="s">
        <v>1648</v>
      </c>
      <c r="D369" s="6"/>
      <c r="E369" s="8">
        <v>18278</v>
      </c>
      <c r="F369" s="8">
        <v>22000</v>
      </c>
      <c r="G369" s="8">
        <f t="shared" si="20"/>
        <v>3722</v>
      </c>
      <c r="H369" s="6">
        <v>40000</v>
      </c>
      <c r="I369" t="s">
        <v>58</v>
      </c>
      <c r="J369" t="s">
        <v>35</v>
      </c>
      <c r="K369" t="s">
        <v>96</v>
      </c>
      <c r="L369" t="s">
        <v>73</v>
      </c>
      <c r="M369" t="s">
        <v>98</v>
      </c>
      <c r="N369" s="6">
        <v>2</v>
      </c>
      <c r="O369" t="str">
        <f t="shared" si="21"/>
        <v>Normal</v>
      </c>
      <c r="P369" t="str">
        <f t="shared" si="22"/>
        <v>Duplicate ID</v>
      </c>
      <c r="Q369" t="str">
        <f t="shared" si="23"/>
        <v>15,000-19,999</v>
      </c>
      <c r="R369" s="6">
        <f>IF(COUNTIF($A$2:A369,A369)=1,1,0)</f>
        <v>0</v>
      </c>
    </row>
    <row r="370" spans="1:18" x14ac:dyDescent="0.25">
      <c r="A370" s="6">
        <v>1372</v>
      </c>
      <c r="B370" s="7">
        <v>44725</v>
      </c>
      <c r="C370" t="s">
        <v>1648</v>
      </c>
      <c r="D370" s="6">
        <v>2021</v>
      </c>
      <c r="E370" s="8">
        <v>12823</v>
      </c>
      <c r="F370" s="8">
        <v>15000</v>
      </c>
      <c r="G370" s="8">
        <f t="shared" si="20"/>
        <v>2177</v>
      </c>
      <c r="H370" s="6">
        <v>25000</v>
      </c>
      <c r="I370" t="s">
        <v>69</v>
      </c>
      <c r="J370" t="s">
        <v>72</v>
      </c>
      <c r="K370" t="s">
        <v>96</v>
      </c>
      <c r="L370" t="s">
        <v>73</v>
      </c>
      <c r="M370" t="s">
        <v>126</v>
      </c>
      <c r="N370" s="6">
        <v>3</v>
      </c>
      <c r="O370" t="str">
        <f t="shared" si="21"/>
        <v>Normal</v>
      </c>
      <c r="P370" t="str">
        <f t="shared" si="22"/>
        <v>Duplicate ID</v>
      </c>
      <c r="Q370" t="str">
        <f t="shared" si="23"/>
        <v>10,000-14,999</v>
      </c>
      <c r="R370" s="6">
        <f>IF(COUNTIF($A$2:A370,A370)=1,1,0)</f>
        <v>1</v>
      </c>
    </row>
    <row r="371" spans="1:18" x14ac:dyDescent="0.25">
      <c r="A371" s="6">
        <v>1356</v>
      </c>
      <c r="B371" s="7">
        <v>44775</v>
      </c>
      <c r="C371" t="s">
        <v>32</v>
      </c>
      <c r="D371" s="6">
        <v>2019</v>
      </c>
      <c r="E371" s="8">
        <v>28601</v>
      </c>
      <c r="F371" s="8">
        <v>31000</v>
      </c>
      <c r="G371" s="8">
        <f t="shared" si="20"/>
        <v>2399</v>
      </c>
      <c r="H371" s="6">
        <v>60000</v>
      </c>
      <c r="I371" t="s">
        <v>41</v>
      </c>
      <c r="J371" t="s">
        <v>72</v>
      </c>
      <c r="K371" t="s">
        <v>1647</v>
      </c>
      <c r="L371" t="s">
        <v>73</v>
      </c>
      <c r="M371" t="s">
        <v>45</v>
      </c>
      <c r="N371" s="6" t="s">
        <v>1647</v>
      </c>
      <c r="O371" t="str">
        <f t="shared" si="21"/>
        <v>Normal</v>
      </c>
      <c r="P371" t="str">
        <f t="shared" si="22"/>
        <v>Duplicate ID</v>
      </c>
      <c r="Q371" t="str">
        <f t="shared" si="23"/>
        <v>25,000-30,000</v>
      </c>
      <c r="R371" s="6">
        <f>IF(COUNTIF($A$2:A371,A371)=1,1,0)</f>
        <v>1</v>
      </c>
    </row>
    <row r="372" spans="1:18" x14ac:dyDescent="0.25">
      <c r="A372" s="6">
        <v>1561</v>
      </c>
      <c r="B372" s="7">
        <v>44696</v>
      </c>
      <c r="C372" t="s">
        <v>1648</v>
      </c>
      <c r="D372" s="6">
        <v>2020</v>
      </c>
      <c r="E372" s="8">
        <v>19914</v>
      </c>
      <c r="F372" s="8">
        <v>26000</v>
      </c>
      <c r="G372" s="8">
        <f t="shared" si="20"/>
        <v>6086</v>
      </c>
      <c r="H372" s="6">
        <v>25000</v>
      </c>
      <c r="I372" t="s">
        <v>58</v>
      </c>
      <c r="J372" t="s">
        <v>1647</v>
      </c>
      <c r="K372" t="s">
        <v>96</v>
      </c>
      <c r="L372" t="s">
        <v>48</v>
      </c>
      <c r="M372" t="s">
        <v>45</v>
      </c>
      <c r="N372" s="6" t="s">
        <v>1647</v>
      </c>
      <c r="O372" t="str">
        <f t="shared" si="21"/>
        <v>Normal</v>
      </c>
      <c r="P372" t="str">
        <f t="shared" si="22"/>
        <v>Duplicate ID</v>
      </c>
      <c r="Q372" t="str">
        <f t="shared" si="23"/>
        <v>15,000-19,999</v>
      </c>
      <c r="R372" s="6">
        <f>IF(COUNTIF($A$2:A372,A372)=1,1,0)</f>
        <v>0</v>
      </c>
    </row>
    <row r="373" spans="1:18" x14ac:dyDescent="0.25">
      <c r="A373" s="6">
        <v>1498</v>
      </c>
      <c r="B373" s="7">
        <v>45372</v>
      </c>
      <c r="C373" t="s">
        <v>119</v>
      </c>
      <c r="D373" s="6">
        <v>2016</v>
      </c>
      <c r="E373" s="8">
        <v>2169</v>
      </c>
      <c r="F373" s="8">
        <v>9000</v>
      </c>
      <c r="G373" s="8">
        <f t="shared" si="20"/>
        <v>6831</v>
      </c>
      <c r="H373" s="6">
        <v>120000</v>
      </c>
      <c r="I373" t="s">
        <v>41</v>
      </c>
      <c r="J373" t="s">
        <v>72</v>
      </c>
      <c r="K373" t="s">
        <v>36</v>
      </c>
      <c r="L373" t="s">
        <v>54</v>
      </c>
      <c r="M373" t="s">
        <v>98</v>
      </c>
      <c r="N373" s="6">
        <v>0</v>
      </c>
      <c r="O373" t="str">
        <f t="shared" si="21"/>
        <v>Normal</v>
      </c>
      <c r="P373" t="str">
        <f t="shared" si="22"/>
        <v>Duplicate ID</v>
      </c>
      <c r="Q373" t="str">
        <f t="shared" si="23"/>
        <v>0-4,999</v>
      </c>
      <c r="R373" s="6">
        <f>IF(COUNTIF($A$2:A373,A373)=1,1,0)</f>
        <v>1</v>
      </c>
    </row>
    <row r="374" spans="1:18" x14ac:dyDescent="0.25">
      <c r="A374" s="6">
        <v>1092</v>
      </c>
      <c r="B374" s="7">
        <v>44322</v>
      </c>
      <c r="C374" t="s">
        <v>32</v>
      </c>
      <c r="D374" s="6">
        <v>2018</v>
      </c>
      <c r="E374" s="8">
        <v>20951</v>
      </c>
      <c r="F374" s="8">
        <v>26000</v>
      </c>
      <c r="G374" s="8">
        <f t="shared" si="20"/>
        <v>5049</v>
      </c>
      <c r="H374" s="6">
        <v>40000</v>
      </c>
      <c r="I374" t="s">
        <v>41</v>
      </c>
      <c r="J374" t="s">
        <v>35</v>
      </c>
      <c r="K374" t="s">
        <v>36</v>
      </c>
      <c r="L374" t="s">
        <v>48</v>
      </c>
      <c r="M374" t="s">
        <v>1647</v>
      </c>
      <c r="N374" s="6">
        <v>2</v>
      </c>
      <c r="O374" t="str">
        <f t="shared" si="21"/>
        <v>Normal</v>
      </c>
      <c r="P374" t="str">
        <f t="shared" si="22"/>
        <v>Duplicate ID</v>
      </c>
      <c r="Q374" t="str">
        <f t="shared" si="23"/>
        <v>20,000-24,999</v>
      </c>
      <c r="R374" s="6">
        <f>IF(COUNTIF($A$2:A374,A374)=1,1,0)</f>
        <v>1</v>
      </c>
    </row>
    <row r="375" spans="1:18" x14ac:dyDescent="0.25">
      <c r="A375" s="6">
        <v>1306</v>
      </c>
      <c r="B375" s="7">
        <v>44845</v>
      </c>
      <c r="C375" t="s">
        <v>79</v>
      </c>
      <c r="D375" s="6"/>
      <c r="E375" s="8">
        <v>28316</v>
      </c>
      <c r="F375" s="8">
        <v>31000</v>
      </c>
      <c r="G375" s="8">
        <f t="shared" si="20"/>
        <v>2684</v>
      </c>
      <c r="H375" s="6">
        <v>25000</v>
      </c>
      <c r="I375" t="s">
        <v>34</v>
      </c>
      <c r="J375" t="s">
        <v>72</v>
      </c>
      <c r="K375" t="s">
        <v>36</v>
      </c>
      <c r="L375" t="s">
        <v>73</v>
      </c>
      <c r="M375" t="s">
        <v>1647</v>
      </c>
      <c r="N375" s="6">
        <v>3</v>
      </c>
      <c r="O375" t="str">
        <f t="shared" si="21"/>
        <v>Normal</v>
      </c>
      <c r="P375" t="str">
        <f t="shared" si="22"/>
        <v>Duplicate ID</v>
      </c>
      <c r="Q375" t="str">
        <f t="shared" si="23"/>
        <v>25,000-30,000</v>
      </c>
      <c r="R375" s="6">
        <f>IF(COUNTIF($A$2:A375,A375)=1,1,0)</f>
        <v>0</v>
      </c>
    </row>
    <row r="376" spans="1:18" x14ac:dyDescent="0.25">
      <c r="A376" s="6">
        <v>1000</v>
      </c>
      <c r="B376" s="7">
        <v>44305</v>
      </c>
      <c r="C376" t="s">
        <v>32</v>
      </c>
      <c r="D376" s="6">
        <v>2018</v>
      </c>
      <c r="E376" s="8">
        <v>1504</v>
      </c>
      <c r="F376" s="8">
        <v>7000</v>
      </c>
      <c r="G376" s="8">
        <f t="shared" si="20"/>
        <v>5496</v>
      </c>
      <c r="H376" s="6">
        <v>40000</v>
      </c>
      <c r="I376" t="s">
        <v>69</v>
      </c>
      <c r="J376" t="s">
        <v>35</v>
      </c>
      <c r="K376" t="s">
        <v>36</v>
      </c>
      <c r="L376" t="s">
        <v>48</v>
      </c>
      <c r="M376" t="s">
        <v>98</v>
      </c>
      <c r="N376" s="6">
        <v>2</v>
      </c>
      <c r="O376" t="str">
        <f t="shared" si="21"/>
        <v>Normal</v>
      </c>
      <c r="P376" t="str">
        <f t="shared" si="22"/>
        <v>Duplicate ID</v>
      </c>
      <c r="Q376" t="str">
        <f t="shared" si="23"/>
        <v>0-4,999</v>
      </c>
      <c r="R376" s="6">
        <f>IF(COUNTIF($A$2:A376,A376)=1,1,0)</f>
        <v>0</v>
      </c>
    </row>
    <row r="377" spans="1:18" x14ac:dyDescent="0.25">
      <c r="A377" s="6">
        <v>1177</v>
      </c>
      <c r="B377" s="7">
        <v>44629</v>
      </c>
      <c r="C377" t="s">
        <v>79</v>
      </c>
      <c r="D377" s="6">
        <v>2020</v>
      </c>
      <c r="E377" s="8">
        <v>20535</v>
      </c>
      <c r="F377" s="8">
        <v>26000</v>
      </c>
      <c r="G377" s="8">
        <f t="shared" si="20"/>
        <v>5465</v>
      </c>
      <c r="H377" s="6">
        <v>60000</v>
      </c>
      <c r="I377" t="s">
        <v>69</v>
      </c>
      <c r="J377" t="s">
        <v>72</v>
      </c>
      <c r="K377" t="s">
        <v>36</v>
      </c>
      <c r="L377" t="s">
        <v>54</v>
      </c>
      <c r="M377" t="s">
        <v>90</v>
      </c>
      <c r="N377" s="6">
        <v>1</v>
      </c>
      <c r="O377" t="str">
        <f t="shared" si="21"/>
        <v>Normal</v>
      </c>
      <c r="P377" t="str">
        <f t="shared" si="22"/>
        <v>Duplicate ID</v>
      </c>
      <c r="Q377" t="str">
        <f t="shared" si="23"/>
        <v>20,000-24,999</v>
      </c>
      <c r="R377" s="6">
        <f>IF(COUNTIF($A$2:A377,A377)=1,1,0)</f>
        <v>0</v>
      </c>
    </row>
    <row r="378" spans="1:18" x14ac:dyDescent="0.25">
      <c r="A378" s="6">
        <v>1447</v>
      </c>
      <c r="B378" s="7">
        <v>45193</v>
      </c>
      <c r="C378" t="s">
        <v>40</v>
      </c>
      <c r="D378" s="6">
        <v>2015</v>
      </c>
      <c r="E378" s="8">
        <v>91</v>
      </c>
      <c r="F378" s="8">
        <v>7000</v>
      </c>
      <c r="G378" s="8">
        <f t="shared" si="20"/>
        <v>6909</v>
      </c>
      <c r="H378" s="6">
        <v>25000</v>
      </c>
      <c r="I378" t="s">
        <v>34</v>
      </c>
      <c r="J378" t="s">
        <v>72</v>
      </c>
      <c r="K378" t="s">
        <v>1647</v>
      </c>
      <c r="L378" t="s">
        <v>48</v>
      </c>
      <c r="M378" t="s">
        <v>90</v>
      </c>
      <c r="N378" s="6">
        <v>3</v>
      </c>
      <c r="O378" t="str">
        <f t="shared" si="21"/>
        <v>Outlier</v>
      </c>
      <c r="P378" t="str">
        <f t="shared" si="22"/>
        <v>Duplicate ID</v>
      </c>
      <c r="Q378" t="str">
        <f t="shared" si="23"/>
        <v>0-4,999</v>
      </c>
      <c r="R378" s="6">
        <f>IF(COUNTIF($A$2:A378,A378)=1,1,0)</f>
        <v>1</v>
      </c>
    </row>
    <row r="379" spans="1:18" x14ac:dyDescent="0.25">
      <c r="A379" s="6">
        <v>1190</v>
      </c>
      <c r="B379" s="7">
        <v>44659</v>
      </c>
      <c r="C379" t="s">
        <v>1648</v>
      </c>
      <c r="D379" s="6">
        <v>2022</v>
      </c>
      <c r="E379" s="8">
        <v>27090</v>
      </c>
      <c r="F379" s="8">
        <v>31000</v>
      </c>
      <c r="G379" s="8">
        <f t="shared" si="20"/>
        <v>3910</v>
      </c>
      <c r="H379" s="6">
        <v>60000</v>
      </c>
      <c r="I379" t="s">
        <v>58</v>
      </c>
      <c r="J379" t="s">
        <v>1647</v>
      </c>
      <c r="K379" t="s">
        <v>96</v>
      </c>
      <c r="L379" t="s">
        <v>48</v>
      </c>
      <c r="M379" t="s">
        <v>1647</v>
      </c>
      <c r="N379" s="6" t="s">
        <v>1647</v>
      </c>
      <c r="O379" t="str">
        <f t="shared" si="21"/>
        <v>Normal</v>
      </c>
      <c r="P379" t="str">
        <f t="shared" si="22"/>
        <v>Duplicate ID</v>
      </c>
      <c r="Q379" t="str">
        <f t="shared" si="23"/>
        <v>25,000-30,000</v>
      </c>
      <c r="R379" s="6">
        <f>IF(COUNTIF($A$2:A379,A379)=1,1,0)</f>
        <v>0</v>
      </c>
    </row>
    <row r="380" spans="1:18" x14ac:dyDescent="0.25">
      <c r="A380" s="6">
        <v>1115</v>
      </c>
      <c r="B380" s="7">
        <v>44951</v>
      </c>
      <c r="C380" t="s">
        <v>79</v>
      </c>
      <c r="D380" s="6">
        <v>2014</v>
      </c>
      <c r="E380" s="8">
        <v>2042</v>
      </c>
      <c r="F380" s="8">
        <v>7000</v>
      </c>
      <c r="G380" s="8">
        <f t="shared" si="20"/>
        <v>4958</v>
      </c>
      <c r="H380" s="6">
        <v>80000</v>
      </c>
      <c r="I380" t="s">
        <v>69</v>
      </c>
      <c r="J380" t="s">
        <v>72</v>
      </c>
      <c r="K380" t="s">
        <v>1647</v>
      </c>
      <c r="L380" t="s">
        <v>73</v>
      </c>
      <c r="M380" t="s">
        <v>1647</v>
      </c>
      <c r="N380" s="6" t="s">
        <v>1647</v>
      </c>
      <c r="O380" t="str">
        <f t="shared" si="21"/>
        <v>Normal</v>
      </c>
      <c r="P380" t="str">
        <f t="shared" si="22"/>
        <v>Duplicate ID</v>
      </c>
      <c r="Q380" t="str">
        <f t="shared" si="23"/>
        <v>0-4,999</v>
      </c>
      <c r="R380" s="6">
        <f>IF(COUNTIF($A$2:A380,A380)=1,1,0)</f>
        <v>1</v>
      </c>
    </row>
    <row r="381" spans="1:18" x14ac:dyDescent="0.25">
      <c r="A381" s="6">
        <v>1552</v>
      </c>
      <c r="B381" s="7">
        <v>44356</v>
      </c>
      <c r="C381" t="s">
        <v>40</v>
      </c>
      <c r="D381" s="6">
        <v>2017</v>
      </c>
      <c r="E381" s="8">
        <v>24563</v>
      </c>
      <c r="F381" s="8">
        <v>31000</v>
      </c>
      <c r="G381" s="8">
        <f t="shared" si="20"/>
        <v>6437</v>
      </c>
      <c r="H381" s="6">
        <v>120000</v>
      </c>
      <c r="I381" t="s">
        <v>69</v>
      </c>
      <c r="J381" t="s">
        <v>1647</v>
      </c>
      <c r="K381" t="s">
        <v>36</v>
      </c>
      <c r="L381" t="s">
        <v>48</v>
      </c>
      <c r="M381" t="s">
        <v>98</v>
      </c>
      <c r="N381" s="6" t="s">
        <v>1647</v>
      </c>
      <c r="O381" t="str">
        <f t="shared" si="21"/>
        <v>Normal</v>
      </c>
      <c r="P381" t="str">
        <f t="shared" si="22"/>
        <v>Duplicate ID</v>
      </c>
      <c r="Q381" t="str">
        <f t="shared" si="23"/>
        <v>20,000-24,999</v>
      </c>
      <c r="R381" s="6">
        <f>IF(COUNTIF($A$2:A381,A381)=1,1,0)</f>
        <v>1</v>
      </c>
    </row>
    <row r="382" spans="1:18" x14ac:dyDescent="0.25">
      <c r="A382" s="6">
        <v>1296</v>
      </c>
      <c r="B382" s="7">
        <v>44800</v>
      </c>
      <c r="C382" t="s">
        <v>1648</v>
      </c>
      <c r="D382" s="6"/>
      <c r="E382" s="8">
        <v>18109</v>
      </c>
      <c r="F382" s="8">
        <v>22000</v>
      </c>
      <c r="G382" s="8">
        <f t="shared" si="20"/>
        <v>3891</v>
      </c>
      <c r="H382" s="6">
        <v>60000</v>
      </c>
      <c r="I382" t="s">
        <v>69</v>
      </c>
      <c r="J382" t="s">
        <v>1647</v>
      </c>
      <c r="K382" t="s">
        <v>96</v>
      </c>
      <c r="L382" t="s">
        <v>73</v>
      </c>
      <c r="M382" t="s">
        <v>98</v>
      </c>
      <c r="N382" s="6" t="s">
        <v>1647</v>
      </c>
      <c r="O382" t="str">
        <f t="shared" si="21"/>
        <v>Normal</v>
      </c>
      <c r="P382" t="str">
        <f t="shared" si="22"/>
        <v>Duplicate ID</v>
      </c>
      <c r="Q382" t="str">
        <f t="shared" si="23"/>
        <v>15,000-19,999</v>
      </c>
      <c r="R382" s="6">
        <f>IF(COUNTIF($A$2:A382,A382)=1,1,0)</f>
        <v>0</v>
      </c>
    </row>
    <row r="383" spans="1:18" x14ac:dyDescent="0.25">
      <c r="A383" s="6">
        <v>1293</v>
      </c>
      <c r="B383" s="7">
        <v>44252</v>
      </c>
      <c r="C383" t="s">
        <v>57</v>
      </c>
      <c r="D383" s="6"/>
      <c r="E383" s="8">
        <v>3610</v>
      </c>
      <c r="F383" s="8">
        <v>7000</v>
      </c>
      <c r="G383" s="8">
        <f t="shared" si="20"/>
        <v>3390</v>
      </c>
      <c r="H383" s="6">
        <v>120000</v>
      </c>
      <c r="I383" t="s">
        <v>69</v>
      </c>
      <c r="J383" t="s">
        <v>72</v>
      </c>
      <c r="K383" t="s">
        <v>36</v>
      </c>
      <c r="L383" t="s">
        <v>54</v>
      </c>
      <c r="M383" t="s">
        <v>45</v>
      </c>
      <c r="N383" s="6">
        <v>2</v>
      </c>
      <c r="O383" t="str">
        <f t="shared" si="21"/>
        <v>Normal</v>
      </c>
      <c r="P383" t="str">
        <f t="shared" si="22"/>
        <v>Duplicate ID</v>
      </c>
      <c r="Q383" t="str">
        <f t="shared" si="23"/>
        <v>0-4,999</v>
      </c>
      <c r="R383" s="6">
        <f>IF(COUNTIF($A$2:A383,A383)=1,1,0)</f>
        <v>0</v>
      </c>
    </row>
    <row r="384" spans="1:18" x14ac:dyDescent="0.25">
      <c r="A384" s="6">
        <v>1378</v>
      </c>
      <c r="B384" s="7">
        <v>45111</v>
      </c>
      <c r="C384" t="s">
        <v>40</v>
      </c>
      <c r="D384" s="6">
        <v>2015</v>
      </c>
      <c r="E384" s="8">
        <v>9762</v>
      </c>
      <c r="F384" s="8">
        <v>12000</v>
      </c>
      <c r="G384" s="8">
        <f t="shared" si="20"/>
        <v>2238</v>
      </c>
      <c r="H384" s="6">
        <v>80000</v>
      </c>
      <c r="I384" t="s">
        <v>1647</v>
      </c>
      <c r="J384" t="s">
        <v>35</v>
      </c>
      <c r="K384" t="s">
        <v>1647</v>
      </c>
      <c r="L384" t="s">
        <v>73</v>
      </c>
      <c r="M384" t="s">
        <v>45</v>
      </c>
      <c r="N384" s="6">
        <v>0</v>
      </c>
      <c r="O384" t="str">
        <f t="shared" si="21"/>
        <v>Normal</v>
      </c>
      <c r="P384" t="str">
        <f t="shared" si="22"/>
        <v>Duplicate ID</v>
      </c>
      <c r="Q384" t="str">
        <f t="shared" si="23"/>
        <v>5,000-9,999</v>
      </c>
      <c r="R384" s="6">
        <f>IF(COUNTIF($A$2:A384,A384)=1,1,0)</f>
        <v>1</v>
      </c>
    </row>
    <row r="385" spans="1:18" x14ac:dyDescent="0.25">
      <c r="A385" s="6">
        <v>1243</v>
      </c>
      <c r="B385" s="7">
        <v>44981</v>
      </c>
      <c r="C385" t="s">
        <v>32</v>
      </c>
      <c r="D385" s="6"/>
      <c r="E385" s="8">
        <v>7618</v>
      </c>
      <c r="F385" s="8">
        <v>12000</v>
      </c>
      <c r="G385" s="8">
        <f t="shared" si="20"/>
        <v>4382</v>
      </c>
      <c r="H385" s="6">
        <v>60000</v>
      </c>
      <c r="I385" t="s">
        <v>69</v>
      </c>
      <c r="J385" t="s">
        <v>35</v>
      </c>
      <c r="K385" t="s">
        <v>96</v>
      </c>
      <c r="L385" t="s">
        <v>73</v>
      </c>
      <c r="M385" t="s">
        <v>126</v>
      </c>
      <c r="N385" s="6">
        <v>1</v>
      </c>
      <c r="O385" t="str">
        <f t="shared" si="21"/>
        <v>Normal</v>
      </c>
      <c r="P385" t="str">
        <f t="shared" si="22"/>
        <v>Duplicate ID</v>
      </c>
      <c r="Q385" t="str">
        <f t="shared" si="23"/>
        <v>5,000-9,999</v>
      </c>
      <c r="R385" s="6">
        <f>IF(COUNTIF($A$2:A385,A385)=1,1,0)</f>
        <v>1</v>
      </c>
    </row>
    <row r="386" spans="1:18" x14ac:dyDescent="0.25">
      <c r="A386" s="6">
        <v>1239</v>
      </c>
      <c r="B386" s="7">
        <v>45287</v>
      </c>
      <c r="C386" t="s">
        <v>1648</v>
      </c>
      <c r="D386" s="6">
        <v>2020</v>
      </c>
      <c r="E386" s="8">
        <v>26099</v>
      </c>
      <c r="F386" s="8">
        <v>31000</v>
      </c>
      <c r="G386" s="8">
        <f t="shared" ref="G386:G449" si="24">IF(OR(F386="",E386=""),"",F386-E386)</f>
        <v>4901</v>
      </c>
      <c r="H386" s="6">
        <v>40000</v>
      </c>
      <c r="I386" t="s">
        <v>58</v>
      </c>
      <c r="J386" t="s">
        <v>1647</v>
      </c>
      <c r="K386" t="s">
        <v>96</v>
      </c>
      <c r="L386" t="s">
        <v>73</v>
      </c>
      <c r="M386" t="s">
        <v>45</v>
      </c>
      <c r="N386" s="6">
        <v>3</v>
      </c>
      <c r="O386" t="str">
        <f t="shared" ref="O386:O449" si="25">IF(E386&lt;1000,"Outlier","Normal")</f>
        <v>Normal</v>
      </c>
      <c r="P386" t="str">
        <f t="shared" ref="P386:P449" si="26">IF(COUNTIF($A$2:$A$2501,A386)&gt;1,"Duplicate ID","Unique ID")</f>
        <v>Duplicate ID</v>
      </c>
      <c r="Q386" t="str">
        <f t="shared" ref="Q386:Q449" si="27">IF(E386&lt;5000,"0-4,999",IF(E386&lt;10000,"5,000-9,999",IF(E386&lt;15000,"10,000-14,999",IF(E386&lt;20000,"15,000-19,999",IF(E386&lt;25000,"20,000-24,999","25,000-30,000")))))</f>
        <v>25,000-30,000</v>
      </c>
      <c r="R386" s="6">
        <f>IF(COUNTIF($A$2:A386,A386)=1,1,0)</f>
        <v>0</v>
      </c>
    </row>
    <row r="387" spans="1:18" x14ac:dyDescent="0.25">
      <c r="A387" s="6">
        <v>1099</v>
      </c>
      <c r="B387" s="7">
        <v>44281</v>
      </c>
      <c r="C387" t="s">
        <v>79</v>
      </c>
      <c r="D387" s="6">
        <v>2018</v>
      </c>
      <c r="E387" s="8">
        <v>15406</v>
      </c>
      <c r="F387" s="8">
        <v>22000</v>
      </c>
      <c r="G387" s="8">
        <f t="shared" si="24"/>
        <v>6594</v>
      </c>
      <c r="H387" s="6">
        <v>80000</v>
      </c>
      <c r="I387" t="s">
        <v>34</v>
      </c>
      <c r="J387" t="s">
        <v>1647</v>
      </c>
      <c r="K387" t="s">
        <v>96</v>
      </c>
      <c r="L387" t="s">
        <v>54</v>
      </c>
      <c r="M387" t="s">
        <v>45</v>
      </c>
      <c r="N387" s="6">
        <v>2</v>
      </c>
      <c r="O387" t="str">
        <f t="shared" si="25"/>
        <v>Normal</v>
      </c>
      <c r="P387" t="str">
        <f t="shared" si="26"/>
        <v>Duplicate ID</v>
      </c>
      <c r="Q387" t="str">
        <f t="shared" si="27"/>
        <v>15,000-19,999</v>
      </c>
      <c r="R387" s="6">
        <f>IF(COUNTIF($A$2:A387,A387)=1,1,0)</f>
        <v>1</v>
      </c>
    </row>
    <row r="388" spans="1:18" x14ac:dyDescent="0.25">
      <c r="A388" s="6">
        <v>1199</v>
      </c>
      <c r="B388" s="7">
        <v>44692</v>
      </c>
      <c r="C388" t="s">
        <v>32</v>
      </c>
      <c r="D388" s="6">
        <v>2018</v>
      </c>
      <c r="E388" s="8">
        <v>19469</v>
      </c>
      <c r="F388" s="8">
        <v>26000</v>
      </c>
      <c r="G388" s="8">
        <f t="shared" si="24"/>
        <v>6531</v>
      </c>
      <c r="H388" s="6">
        <v>60000</v>
      </c>
      <c r="I388" t="s">
        <v>69</v>
      </c>
      <c r="J388" t="s">
        <v>1647</v>
      </c>
      <c r="K388" t="s">
        <v>36</v>
      </c>
      <c r="L388" t="s">
        <v>73</v>
      </c>
      <c r="M388" t="s">
        <v>126</v>
      </c>
      <c r="N388" s="6">
        <v>0</v>
      </c>
      <c r="O388" t="str">
        <f t="shared" si="25"/>
        <v>Normal</v>
      </c>
      <c r="P388" t="str">
        <f t="shared" si="26"/>
        <v>Duplicate ID</v>
      </c>
      <c r="Q388" t="str">
        <f t="shared" si="27"/>
        <v>15,000-19,999</v>
      </c>
      <c r="R388" s="6">
        <f>IF(COUNTIF($A$2:A388,A388)=1,1,0)</f>
        <v>1</v>
      </c>
    </row>
    <row r="389" spans="1:18" x14ac:dyDescent="0.25">
      <c r="A389" s="6">
        <v>1224</v>
      </c>
      <c r="B389" s="7">
        <v>44916</v>
      </c>
      <c r="C389" t="s">
        <v>1648</v>
      </c>
      <c r="D389" s="6">
        <v>2015</v>
      </c>
      <c r="E389" s="8">
        <v>4347</v>
      </c>
      <c r="F389" s="8">
        <v>9000</v>
      </c>
      <c r="G389" s="8">
        <f t="shared" si="24"/>
        <v>4653</v>
      </c>
      <c r="H389" s="6">
        <v>120000</v>
      </c>
      <c r="I389" t="s">
        <v>41</v>
      </c>
      <c r="J389" t="s">
        <v>35</v>
      </c>
      <c r="K389" t="s">
        <v>1647</v>
      </c>
      <c r="L389" t="s">
        <v>100</v>
      </c>
      <c r="M389" t="s">
        <v>126</v>
      </c>
      <c r="N389" s="6">
        <v>0</v>
      </c>
      <c r="O389" t="str">
        <f t="shared" si="25"/>
        <v>Normal</v>
      </c>
      <c r="P389" t="str">
        <f t="shared" si="26"/>
        <v>Duplicate ID</v>
      </c>
      <c r="Q389" t="str">
        <f t="shared" si="27"/>
        <v>0-4,999</v>
      </c>
      <c r="R389" s="6">
        <f>IF(COUNTIF($A$2:A389,A389)=1,1,0)</f>
        <v>0</v>
      </c>
    </row>
    <row r="390" spans="1:18" x14ac:dyDescent="0.25">
      <c r="A390" s="6">
        <v>1189</v>
      </c>
      <c r="B390" s="7">
        <v>45356</v>
      </c>
      <c r="C390" t="s">
        <v>40</v>
      </c>
      <c r="D390" s="6"/>
      <c r="E390" s="8">
        <v>5623</v>
      </c>
      <c r="F390" s="8">
        <v>12000</v>
      </c>
      <c r="G390" s="8">
        <f t="shared" si="24"/>
        <v>6377</v>
      </c>
      <c r="H390" s="6">
        <v>60000</v>
      </c>
      <c r="I390" t="s">
        <v>1647</v>
      </c>
      <c r="J390" t="s">
        <v>35</v>
      </c>
      <c r="K390" t="s">
        <v>96</v>
      </c>
      <c r="L390" t="s">
        <v>54</v>
      </c>
      <c r="M390" t="s">
        <v>98</v>
      </c>
      <c r="N390" s="6">
        <v>2</v>
      </c>
      <c r="O390" t="str">
        <f t="shared" si="25"/>
        <v>Normal</v>
      </c>
      <c r="P390" t="str">
        <f t="shared" si="26"/>
        <v>Duplicate ID</v>
      </c>
      <c r="Q390" t="str">
        <f t="shared" si="27"/>
        <v>5,000-9,999</v>
      </c>
      <c r="R390" s="6">
        <f>IF(COUNTIF($A$2:A390,A390)=1,1,0)</f>
        <v>0</v>
      </c>
    </row>
    <row r="391" spans="1:18" x14ac:dyDescent="0.25">
      <c r="A391" s="6">
        <v>1397</v>
      </c>
      <c r="B391" s="7">
        <v>44980</v>
      </c>
      <c r="C391" t="s">
        <v>119</v>
      </c>
      <c r="D391" s="6">
        <v>2016</v>
      </c>
      <c r="E391" s="8">
        <v>7489</v>
      </c>
      <c r="F391" s="8">
        <v>9000</v>
      </c>
      <c r="G391" s="8">
        <f t="shared" si="24"/>
        <v>1511</v>
      </c>
      <c r="H391" s="6">
        <v>40000</v>
      </c>
      <c r="I391" t="s">
        <v>69</v>
      </c>
      <c r="J391" t="s">
        <v>35</v>
      </c>
      <c r="K391" t="s">
        <v>96</v>
      </c>
      <c r="L391" t="s">
        <v>73</v>
      </c>
      <c r="M391" t="s">
        <v>98</v>
      </c>
      <c r="N391" s="6">
        <v>1</v>
      </c>
      <c r="O391" t="str">
        <f t="shared" si="25"/>
        <v>Normal</v>
      </c>
      <c r="P391" t="str">
        <f t="shared" si="26"/>
        <v>Duplicate ID</v>
      </c>
      <c r="Q391" t="str">
        <f t="shared" si="27"/>
        <v>5,000-9,999</v>
      </c>
      <c r="R391" s="6">
        <f>IF(COUNTIF($A$2:A391,A391)=1,1,0)</f>
        <v>1</v>
      </c>
    </row>
    <row r="392" spans="1:18" x14ac:dyDescent="0.25">
      <c r="A392" s="6">
        <v>1441</v>
      </c>
      <c r="B392" s="7">
        <v>45304</v>
      </c>
      <c r="C392" t="s">
        <v>79</v>
      </c>
      <c r="D392" s="6">
        <v>2016</v>
      </c>
      <c r="E392" s="8">
        <v>28822</v>
      </c>
      <c r="F392" s="8">
        <v>31000</v>
      </c>
      <c r="G392" s="8">
        <f t="shared" si="24"/>
        <v>2178</v>
      </c>
      <c r="H392" s="6">
        <v>15000</v>
      </c>
      <c r="I392" t="s">
        <v>69</v>
      </c>
      <c r="J392" t="s">
        <v>35</v>
      </c>
      <c r="K392" t="s">
        <v>36</v>
      </c>
      <c r="L392" t="s">
        <v>73</v>
      </c>
      <c r="M392" t="s">
        <v>126</v>
      </c>
      <c r="N392" s="6" t="s">
        <v>1647</v>
      </c>
      <c r="O392" t="str">
        <f t="shared" si="25"/>
        <v>Normal</v>
      </c>
      <c r="P392" t="str">
        <f t="shared" si="26"/>
        <v>Duplicate ID</v>
      </c>
      <c r="Q392" t="str">
        <f t="shared" si="27"/>
        <v>25,000-30,000</v>
      </c>
      <c r="R392" s="6">
        <f>IF(COUNTIF($A$2:A392,A392)=1,1,0)</f>
        <v>1</v>
      </c>
    </row>
    <row r="393" spans="1:18" x14ac:dyDescent="0.25">
      <c r="A393" s="6">
        <v>1038</v>
      </c>
      <c r="B393" s="7">
        <v>44198</v>
      </c>
      <c r="C393" t="s">
        <v>119</v>
      </c>
      <c r="D393" s="6">
        <v>2021</v>
      </c>
      <c r="E393" s="8">
        <v>4781</v>
      </c>
      <c r="F393" s="8">
        <v>7000</v>
      </c>
      <c r="G393" s="8">
        <f t="shared" si="24"/>
        <v>2219</v>
      </c>
      <c r="H393" s="6">
        <v>60000</v>
      </c>
      <c r="I393" t="s">
        <v>34</v>
      </c>
      <c r="J393" t="s">
        <v>1647</v>
      </c>
      <c r="K393" t="s">
        <v>36</v>
      </c>
      <c r="L393" t="s">
        <v>1647</v>
      </c>
      <c r="M393" t="s">
        <v>98</v>
      </c>
      <c r="N393" s="6">
        <v>3</v>
      </c>
      <c r="O393" t="str">
        <f t="shared" si="25"/>
        <v>Normal</v>
      </c>
      <c r="P393" t="str">
        <f t="shared" si="26"/>
        <v>Duplicate ID</v>
      </c>
      <c r="Q393" t="str">
        <f t="shared" si="27"/>
        <v>0-4,999</v>
      </c>
      <c r="R393" s="6">
        <f>IF(COUNTIF($A$2:A393,A393)=1,1,0)</f>
        <v>1</v>
      </c>
    </row>
    <row r="394" spans="1:18" x14ac:dyDescent="0.25">
      <c r="A394" s="6">
        <v>1393</v>
      </c>
      <c r="B394" s="7">
        <v>44203</v>
      </c>
      <c r="C394" t="s">
        <v>1648</v>
      </c>
      <c r="D394" s="6">
        <v>2020</v>
      </c>
      <c r="E394" s="8">
        <v>6150</v>
      </c>
      <c r="F394" s="8">
        <v>9000</v>
      </c>
      <c r="G394" s="8">
        <f t="shared" si="24"/>
        <v>2850</v>
      </c>
      <c r="H394" s="6">
        <v>80000</v>
      </c>
      <c r="I394" t="s">
        <v>69</v>
      </c>
      <c r="J394" t="s">
        <v>72</v>
      </c>
      <c r="K394" t="s">
        <v>96</v>
      </c>
      <c r="L394" t="s">
        <v>48</v>
      </c>
      <c r="M394" t="s">
        <v>126</v>
      </c>
      <c r="N394" s="6">
        <v>0</v>
      </c>
      <c r="O394" t="str">
        <f t="shared" si="25"/>
        <v>Normal</v>
      </c>
      <c r="P394" t="str">
        <f t="shared" si="26"/>
        <v>Duplicate ID</v>
      </c>
      <c r="Q394" t="str">
        <f t="shared" si="27"/>
        <v>5,000-9,999</v>
      </c>
      <c r="R394" s="6">
        <f>IF(COUNTIF($A$2:A394,A394)=1,1,0)</f>
        <v>0</v>
      </c>
    </row>
    <row r="395" spans="1:18" x14ac:dyDescent="0.25">
      <c r="A395" s="6">
        <v>1207</v>
      </c>
      <c r="B395" s="7">
        <v>44790</v>
      </c>
      <c r="C395" t="s">
        <v>79</v>
      </c>
      <c r="D395" s="6">
        <v>2022</v>
      </c>
      <c r="E395" s="8">
        <v>17235</v>
      </c>
      <c r="F395" s="8">
        <v>22000</v>
      </c>
      <c r="G395" s="8">
        <f t="shared" si="24"/>
        <v>4765</v>
      </c>
      <c r="H395" s="6">
        <v>15000</v>
      </c>
      <c r="I395" t="s">
        <v>58</v>
      </c>
      <c r="J395" t="s">
        <v>72</v>
      </c>
      <c r="K395" t="s">
        <v>96</v>
      </c>
      <c r="L395" t="s">
        <v>73</v>
      </c>
      <c r="M395" t="s">
        <v>45</v>
      </c>
      <c r="N395" s="6">
        <v>3</v>
      </c>
      <c r="O395" t="str">
        <f t="shared" si="25"/>
        <v>Normal</v>
      </c>
      <c r="P395" t="str">
        <f t="shared" si="26"/>
        <v>Duplicate ID</v>
      </c>
      <c r="Q395" t="str">
        <f t="shared" si="27"/>
        <v>15,000-19,999</v>
      </c>
      <c r="R395" s="6">
        <f>IF(COUNTIF($A$2:A395,A395)=1,1,0)</f>
        <v>0</v>
      </c>
    </row>
    <row r="396" spans="1:18" x14ac:dyDescent="0.25">
      <c r="A396" s="6">
        <v>1036</v>
      </c>
      <c r="B396" s="7">
        <v>44483</v>
      </c>
      <c r="C396" t="s">
        <v>40</v>
      </c>
      <c r="D396" s="6">
        <v>2018</v>
      </c>
      <c r="E396" s="8">
        <v>28448</v>
      </c>
      <c r="F396" s="8">
        <v>31000</v>
      </c>
      <c r="G396" s="8">
        <f t="shared" si="24"/>
        <v>2552</v>
      </c>
      <c r="H396" s="6">
        <v>120000</v>
      </c>
      <c r="I396" t="s">
        <v>1647</v>
      </c>
      <c r="J396" t="s">
        <v>72</v>
      </c>
      <c r="K396" t="s">
        <v>36</v>
      </c>
      <c r="L396" t="s">
        <v>1647</v>
      </c>
      <c r="M396" t="s">
        <v>45</v>
      </c>
      <c r="N396" s="6">
        <v>3</v>
      </c>
      <c r="O396" t="str">
        <f t="shared" si="25"/>
        <v>Normal</v>
      </c>
      <c r="P396" t="str">
        <f t="shared" si="26"/>
        <v>Duplicate ID</v>
      </c>
      <c r="Q396" t="str">
        <f t="shared" si="27"/>
        <v>25,000-30,000</v>
      </c>
      <c r="R396" s="6">
        <f>IF(COUNTIF($A$2:A396,A396)=1,1,0)</f>
        <v>1</v>
      </c>
    </row>
    <row r="397" spans="1:18" x14ac:dyDescent="0.25">
      <c r="A397" s="6">
        <v>1043</v>
      </c>
      <c r="B397" s="7">
        <v>44888</v>
      </c>
      <c r="C397" t="s">
        <v>1648</v>
      </c>
      <c r="D397" s="6">
        <v>2014</v>
      </c>
      <c r="E397" s="8">
        <v>5541</v>
      </c>
      <c r="F397" s="8">
        <v>7000</v>
      </c>
      <c r="G397" s="8">
        <f t="shared" si="24"/>
        <v>1459</v>
      </c>
      <c r="H397" s="6">
        <v>40000</v>
      </c>
      <c r="I397" t="s">
        <v>1647</v>
      </c>
      <c r="J397" t="s">
        <v>1647</v>
      </c>
      <c r="K397" t="s">
        <v>36</v>
      </c>
      <c r="L397" t="s">
        <v>100</v>
      </c>
      <c r="M397" t="s">
        <v>126</v>
      </c>
      <c r="N397" s="6">
        <v>0</v>
      </c>
      <c r="O397" t="str">
        <f t="shared" si="25"/>
        <v>Normal</v>
      </c>
      <c r="P397" t="str">
        <f t="shared" si="26"/>
        <v>Duplicate ID</v>
      </c>
      <c r="Q397" t="str">
        <f t="shared" si="27"/>
        <v>5,000-9,999</v>
      </c>
      <c r="R397" s="6">
        <f>IF(COUNTIF($A$2:A397,A397)=1,1,0)</f>
        <v>0</v>
      </c>
    </row>
    <row r="398" spans="1:18" x14ac:dyDescent="0.25">
      <c r="A398" s="6">
        <v>1248</v>
      </c>
      <c r="B398" s="7">
        <v>44290</v>
      </c>
      <c r="C398" t="s">
        <v>32</v>
      </c>
      <c r="D398" s="6">
        <v>2021</v>
      </c>
      <c r="E398" s="8">
        <v>935</v>
      </c>
      <c r="F398" s="8">
        <v>7000</v>
      </c>
      <c r="G398" s="8">
        <f t="shared" si="24"/>
        <v>6065</v>
      </c>
      <c r="H398" s="6">
        <v>60000</v>
      </c>
      <c r="I398" t="s">
        <v>41</v>
      </c>
      <c r="J398" t="s">
        <v>72</v>
      </c>
      <c r="K398" t="s">
        <v>36</v>
      </c>
      <c r="L398" t="s">
        <v>48</v>
      </c>
      <c r="M398" t="s">
        <v>90</v>
      </c>
      <c r="N398" s="6" t="s">
        <v>1647</v>
      </c>
      <c r="O398" t="str">
        <f t="shared" si="25"/>
        <v>Outlier</v>
      </c>
      <c r="P398" t="str">
        <f t="shared" si="26"/>
        <v>Duplicate ID</v>
      </c>
      <c r="Q398" t="str">
        <f t="shared" si="27"/>
        <v>0-4,999</v>
      </c>
      <c r="R398" s="6">
        <f>IF(COUNTIF($A$2:A398,A398)=1,1,0)</f>
        <v>1</v>
      </c>
    </row>
    <row r="399" spans="1:18" x14ac:dyDescent="0.25">
      <c r="A399" s="6">
        <v>1064</v>
      </c>
      <c r="B399" s="7">
        <v>44648</v>
      </c>
      <c r="C399" t="s">
        <v>40</v>
      </c>
      <c r="D399" s="6">
        <v>2015</v>
      </c>
      <c r="E399" s="8">
        <v>3126</v>
      </c>
      <c r="F399" s="8">
        <v>9000</v>
      </c>
      <c r="G399" s="8">
        <f t="shared" si="24"/>
        <v>5874</v>
      </c>
      <c r="H399" s="6">
        <v>60000</v>
      </c>
      <c r="I399" t="s">
        <v>34</v>
      </c>
      <c r="J399" t="s">
        <v>72</v>
      </c>
      <c r="K399" t="s">
        <v>36</v>
      </c>
      <c r="L399" t="s">
        <v>1647</v>
      </c>
      <c r="M399" t="s">
        <v>90</v>
      </c>
      <c r="N399" s="6">
        <v>2</v>
      </c>
      <c r="O399" t="str">
        <f t="shared" si="25"/>
        <v>Normal</v>
      </c>
      <c r="P399" t="str">
        <f t="shared" si="26"/>
        <v>Duplicate ID</v>
      </c>
      <c r="Q399" t="str">
        <f t="shared" si="27"/>
        <v>0-4,999</v>
      </c>
      <c r="R399" s="6">
        <f>IF(COUNTIF($A$2:A399,A399)=1,1,0)</f>
        <v>0</v>
      </c>
    </row>
    <row r="400" spans="1:18" x14ac:dyDescent="0.25">
      <c r="A400" s="6">
        <v>1280</v>
      </c>
      <c r="B400" s="7">
        <v>44444</v>
      </c>
      <c r="C400" t="s">
        <v>57</v>
      </c>
      <c r="D400" s="6">
        <v>2014</v>
      </c>
      <c r="E400" s="8">
        <v>10483</v>
      </c>
      <c r="F400" s="8">
        <v>12000</v>
      </c>
      <c r="G400" s="8">
        <f t="shared" si="24"/>
        <v>1517</v>
      </c>
      <c r="H400" s="6">
        <v>40000</v>
      </c>
      <c r="I400" t="s">
        <v>58</v>
      </c>
      <c r="J400" t="s">
        <v>72</v>
      </c>
      <c r="K400" t="s">
        <v>36</v>
      </c>
      <c r="L400" t="s">
        <v>73</v>
      </c>
      <c r="M400" t="s">
        <v>90</v>
      </c>
      <c r="N400" s="6">
        <v>0</v>
      </c>
      <c r="O400" t="str">
        <f t="shared" si="25"/>
        <v>Normal</v>
      </c>
      <c r="P400" t="str">
        <f t="shared" si="26"/>
        <v>Duplicate ID</v>
      </c>
      <c r="Q400" t="str">
        <f t="shared" si="27"/>
        <v>10,000-14,999</v>
      </c>
      <c r="R400" s="6">
        <f>IF(COUNTIF($A$2:A400,A400)=1,1,0)</f>
        <v>0</v>
      </c>
    </row>
    <row r="401" spans="1:18" x14ac:dyDescent="0.25">
      <c r="A401" s="6">
        <v>1007</v>
      </c>
      <c r="B401" s="7">
        <v>44210</v>
      </c>
      <c r="C401" t="s">
        <v>79</v>
      </c>
      <c r="D401" s="6">
        <v>2016</v>
      </c>
      <c r="E401" s="8">
        <v>5339</v>
      </c>
      <c r="F401" s="8">
        <v>7000</v>
      </c>
      <c r="G401" s="8">
        <f t="shared" si="24"/>
        <v>1661</v>
      </c>
      <c r="H401" s="6">
        <v>60000</v>
      </c>
      <c r="I401" t="s">
        <v>69</v>
      </c>
      <c r="J401" t="s">
        <v>72</v>
      </c>
      <c r="K401" t="s">
        <v>96</v>
      </c>
      <c r="L401" t="s">
        <v>100</v>
      </c>
      <c r="M401" t="s">
        <v>90</v>
      </c>
      <c r="N401" s="6" t="s">
        <v>1647</v>
      </c>
      <c r="O401" t="str">
        <f t="shared" si="25"/>
        <v>Normal</v>
      </c>
      <c r="P401" t="str">
        <f t="shared" si="26"/>
        <v>Duplicate ID</v>
      </c>
      <c r="Q401" t="str">
        <f t="shared" si="27"/>
        <v>5,000-9,999</v>
      </c>
      <c r="R401" s="6">
        <f>IF(COUNTIF($A$2:A401,A401)=1,1,0)</f>
        <v>1</v>
      </c>
    </row>
    <row r="402" spans="1:18" x14ac:dyDescent="0.25">
      <c r="A402" s="6">
        <v>1038</v>
      </c>
      <c r="B402" s="7">
        <v>44554</v>
      </c>
      <c r="C402" t="s">
        <v>119</v>
      </c>
      <c r="D402" s="6">
        <v>2022</v>
      </c>
      <c r="E402" s="8">
        <v>28041</v>
      </c>
      <c r="F402" s="8">
        <v>31000</v>
      </c>
      <c r="G402" s="8">
        <f t="shared" si="24"/>
        <v>2959</v>
      </c>
      <c r="H402" s="6">
        <v>60000</v>
      </c>
      <c r="I402" t="s">
        <v>41</v>
      </c>
      <c r="J402" t="s">
        <v>72</v>
      </c>
      <c r="K402" t="s">
        <v>96</v>
      </c>
      <c r="L402" t="s">
        <v>48</v>
      </c>
      <c r="M402" t="s">
        <v>126</v>
      </c>
      <c r="N402" s="6" t="s">
        <v>1647</v>
      </c>
      <c r="O402" t="str">
        <f t="shared" si="25"/>
        <v>Normal</v>
      </c>
      <c r="P402" t="str">
        <f t="shared" si="26"/>
        <v>Duplicate ID</v>
      </c>
      <c r="Q402" t="str">
        <f t="shared" si="27"/>
        <v>25,000-30,000</v>
      </c>
      <c r="R402" s="6">
        <f>IF(COUNTIF($A$2:A402,A402)=1,1,0)</f>
        <v>0</v>
      </c>
    </row>
    <row r="403" spans="1:18" x14ac:dyDescent="0.25">
      <c r="A403" s="6">
        <v>1552</v>
      </c>
      <c r="B403" s="7">
        <v>44938</v>
      </c>
      <c r="C403" t="s">
        <v>119</v>
      </c>
      <c r="D403" s="6">
        <v>2017</v>
      </c>
      <c r="E403" s="8">
        <v>7217</v>
      </c>
      <c r="F403" s="8">
        <v>9000</v>
      </c>
      <c r="G403" s="8">
        <f t="shared" si="24"/>
        <v>1783</v>
      </c>
      <c r="H403" s="6">
        <v>80000</v>
      </c>
      <c r="I403" t="s">
        <v>58</v>
      </c>
      <c r="J403" t="s">
        <v>72</v>
      </c>
      <c r="K403" t="s">
        <v>36</v>
      </c>
      <c r="L403" t="s">
        <v>100</v>
      </c>
      <c r="M403" t="s">
        <v>126</v>
      </c>
      <c r="N403" s="6">
        <v>1</v>
      </c>
      <c r="O403" t="str">
        <f t="shared" si="25"/>
        <v>Normal</v>
      </c>
      <c r="P403" t="str">
        <f t="shared" si="26"/>
        <v>Duplicate ID</v>
      </c>
      <c r="Q403" t="str">
        <f t="shared" si="27"/>
        <v>5,000-9,999</v>
      </c>
      <c r="R403" s="6">
        <f>IF(COUNTIF($A$2:A403,A403)=1,1,0)</f>
        <v>0</v>
      </c>
    </row>
    <row r="404" spans="1:18" x14ac:dyDescent="0.25">
      <c r="A404" s="6">
        <v>1055</v>
      </c>
      <c r="B404" s="7">
        <v>44285</v>
      </c>
      <c r="C404" t="s">
        <v>1648</v>
      </c>
      <c r="D404" s="6">
        <v>2021</v>
      </c>
      <c r="E404" s="8">
        <v>5511</v>
      </c>
      <c r="F404" s="8">
        <v>12000</v>
      </c>
      <c r="G404" s="8">
        <f t="shared" si="24"/>
        <v>6489</v>
      </c>
      <c r="H404" s="6">
        <v>25000</v>
      </c>
      <c r="I404" t="s">
        <v>69</v>
      </c>
      <c r="J404" t="s">
        <v>1647</v>
      </c>
      <c r="K404" t="s">
        <v>96</v>
      </c>
      <c r="L404" t="s">
        <v>73</v>
      </c>
      <c r="M404" t="s">
        <v>126</v>
      </c>
      <c r="N404" s="6">
        <v>0</v>
      </c>
      <c r="O404" t="str">
        <f t="shared" si="25"/>
        <v>Normal</v>
      </c>
      <c r="P404" t="str">
        <f t="shared" si="26"/>
        <v>Duplicate ID</v>
      </c>
      <c r="Q404" t="str">
        <f t="shared" si="27"/>
        <v>5,000-9,999</v>
      </c>
      <c r="R404" s="6">
        <f>IF(COUNTIF($A$2:A404,A404)=1,1,0)</f>
        <v>1</v>
      </c>
    </row>
    <row r="405" spans="1:18" x14ac:dyDescent="0.25">
      <c r="A405" s="6">
        <v>1072</v>
      </c>
      <c r="B405" s="7">
        <v>44434</v>
      </c>
      <c r="C405" t="s">
        <v>57</v>
      </c>
      <c r="D405" s="6">
        <v>2016</v>
      </c>
      <c r="E405" s="8">
        <v>1782</v>
      </c>
      <c r="F405" s="8">
        <v>7000</v>
      </c>
      <c r="G405" s="8">
        <f t="shared" si="24"/>
        <v>5218</v>
      </c>
      <c r="H405" s="6">
        <v>60000</v>
      </c>
      <c r="I405" t="s">
        <v>69</v>
      </c>
      <c r="J405" t="s">
        <v>72</v>
      </c>
      <c r="K405" t="s">
        <v>36</v>
      </c>
      <c r="L405" t="s">
        <v>54</v>
      </c>
      <c r="M405" t="s">
        <v>90</v>
      </c>
      <c r="N405" s="6">
        <v>0</v>
      </c>
      <c r="O405" t="str">
        <f t="shared" si="25"/>
        <v>Normal</v>
      </c>
      <c r="P405" t="str">
        <f t="shared" si="26"/>
        <v>Duplicate ID</v>
      </c>
      <c r="Q405" t="str">
        <f t="shared" si="27"/>
        <v>0-4,999</v>
      </c>
      <c r="R405" s="6">
        <f>IF(COUNTIF($A$2:A405,A405)=1,1,0)</f>
        <v>1</v>
      </c>
    </row>
    <row r="406" spans="1:18" x14ac:dyDescent="0.25">
      <c r="A406" s="6">
        <v>1384</v>
      </c>
      <c r="B406" s="7">
        <v>44606</v>
      </c>
      <c r="C406" t="s">
        <v>51</v>
      </c>
      <c r="D406" s="6">
        <v>2017</v>
      </c>
      <c r="E406" s="8">
        <v>4621</v>
      </c>
      <c r="F406" s="8">
        <v>9000</v>
      </c>
      <c r="G406" s="8">
        <f t="shared" si="24"/>
        <v>4379</v>
      </c>
      <c r="H406" s="6">
        <v>25000</v>
      </c>
      <c r="I406" t="s">
        <v>41</v>
      </c>
      <c r="J406" t="s">
        <v>72</v>
      </c>
      <c r="K406" t="s">
        <v>36</v>
      </c>
      <c r="L406" t="s">
        <v>100</v>
      </c>
      <c r="M406" t="s">
        <v>98</v>
      </c>
      <c r="N406" s="6">
        <v>1</v>
      </c>
      <c r="O406" t="str">
        <f t="shared" si="25"/>
        <v>Normal</v>
      </c>
      <c r="P406" t="str">
        <f t="shared" si="26"/>
        <v>Duplicate ID</v>
      </c>
      <c r="Q406" t="str">
        <f t="shared" si="27"/>
        <v>0-4,999</v>
      </c>
      <c r="R406" s="6">
        <f>IF(COUNTIF($A$2:A406,A406)=1,1,0)</f>
        <v>0</v>
      </c>
    </row>
    <row r="407" spans="1:18" x14ac:dyDescent="0.25">
      <c r="A407" s="6">
        <v>1367</v>
      </c>
      <c r="B407" s="7">
        <v>44594</v>
      </c>
      <c r="C407" t="s">
        <v>79</v>
      </c>
      <c r="D407" s="6">
        <v>2019</v>
      </c>
      <c r="E407" s="8">
        <v>5104</v>
      </c>
      <c r="F407" s="8">
        <v>12000</v>
      </c>
      <c r="G407" s="8">
        <f t="shared" si="24"/>
        <v>6896</v>
      </c>
      <c r="H407" s="6">
        <v>60000</v>
      </c>
      <c r="I407" t="s">
        <v>41</v>
      </c>
      <c r="J407" t="s">
        <v>72</v>
      </c>
      <c r="K407" t="s">
        <v>36</v>
      </c>
      <c r="L407" t="s">
        <v>73</v>
      </c>
      <c r="M407" t="s">
        <v>98</v>
      </c>
      <c r="N407" s="6">
        <v>3</v>
      </c>
      <c r="O407" t="str">
        <f t="shared" si="25"/>
        <v>Normal</v>
      </c>
      <c r="P407" t="str">
        <f t="shared" si="26"/>
        <v>Duplicate ID</v>
      </c>
      <c r="Q407" t="str">
        <f t="shared" si="27"/>
        <v>5,000-9,999</v>
      </c>
      <c r="R407" s="6">
        <f>IF(COUNTIF($A$2:A407,A407)=1,1,0)</f>
        <v>0</v>
      </c>
    </row>
    <row r="408" spans="1:18" x14ac:dyDescent="0.25">
      <c r="A408" s="6">
        <v>1174</v>
      </c>
      <c r="B408" s="7">
        <v>44518</v>
      </c>
      <c r="C408" t="s">
        <v>1648</v>
      </c>
      <c r="D408" s="6">
        <v>2016</v>
      </c>
      <c r="E408" s="8">
        <v>18583</v>
      </c>
      <c r="F408" s="8">
        <v>22000</v>
      </c>
      <c r="G408" s="8">
        <f t="shared" si="24"/>
        <v>3417</v>
      </c>
      <c r="H408" s="6">
        <v>25000</v>
      </c>
      <c r="I408" t="s">
        <v>34</v>
      </c>
      <c r="J408" t="s">
        <v>1647</v>
      </c>
      <c r="K408" t="s">
        <v>96</v>
      </c>
      <c r="L408" t="s">
        <v>100</v>
      </c>
      <c r="M408" t="s">
        <v>98</v>
      </c>
      <c r="N408" s="6">
        <v>3</v>
      </c>
      <c r="O408" t="str">
        <f t="shared" si="25"/>
        <v>Normal</v>
      </c>
      <c r="P408" t="str">
        <f t="shared" si="26"/>
        <v>Duplicate ID</v>
      </c>
      <c r="Q408" t="str">
        <f t="shared" si="27"/>
        <v>15,000-19,999</v>
      </c>
      <c r="R408" s="6">
        <f>IF(COUNTIF($A$2:A408,A408)=1,1,0)</f>
        <v>0</v>
      </c>
    </row>
    <row r="409" spans="1:18" x14ac:dyDescent="0.25">
      <c r="A409" s="6">
        <v>1335</v>
      </c>
      <c r="B409" s="7">
        <v>44704</v>
      </c>
      <c r="C409" t="s">
        <v>119</v>
      </c>
      <c r="D409" s="6">
        <v>2014</v>
      </c>
      <c r="E409" s="8">
        <v>22980</v>
      </c>
      <c r="F409" s="8">
        <v>26000</v>
      </c>
      <c r="G409" s="8">
        <f t="shared" si="24"/>
        <v>3020</v>
      </c>
      <c r="H409" s="6">
        <v>120000</v>
      </c>
      <c r="I409" t="s">
        <v>58</v>
      </c>
      <c r="J409" t="s">
        <v>1647</v>
      </c>
      <c r="K409" t="s">
        <v>36</v>
      </c>
      <c r="L409" t="s">
        <v>48</v>
      </c>
      <c r="M409" t="s">
        <v>126</v>
      </c>
      <c r="N409" s="6">
        <v>0</v>
      </c>
      <c r="O409" t="str">
        <f t="shared" si="25"/>
        <v>Normal</v>
      </c>
      <c r="P409" t="str">
        <f t="shared" si="26"/>
        <v>Duplicate ID</v>
      </c>
      <c r="Q409" t="str">
        <f t="shared" si="27"/>
        <v>20,000-24,999</v>
      </c>
      <c r="R409" s="6">
        <f>IF(COUNTIF($A$2:A409,A409)=1,1,0)</f>
        <v>0</v>
      </c>
    </row>
    <row r="410" spans="1:18" x14ac:dyDescent="0.25">
      <c r="A410" s="6">
        <v>1490</v>
      </c>
      <c r="B410" s="7">
        <v>45004</v>
      </c>
      <c r="C410" t="s">
        <v>1648</v>
      </c>
      <c r="D410" s="6">
        <v>2022</v>
      </c>
      <c r="E410" s="8">
        <v>1650</v>
      </c>
      <c r="F410" s="8">
        <v>7000</v>
      </c>
      <c r="G410" s="8">
        <f t="shared" si="24"/>
        <v>5350</v>
      </c>
      <c r="H410" s="6">
        <v>60000</v>
      </c>
      <c r="I410" t="s">
        <v>1647</v>
      </c>
      <c r="J410" t="s">
        <v>35</v>
      </c>
      <c r="K410" t="s">
        <v>36</v>
      </c>
      <c r="L410" t="s">
        <v>1647</v>
      </c>
      <c r="M410" t="s">
        <v>126</v>
      </c>
      <c r="N410" s="6">
        <v>3</v>
      </c>
      <c r="O410" t="str">
        <f t="shared" si="25"/>
        <v>Normal</v>
      </c>
      <c r="P410" t="str">
        <f t="shared" si="26"/>
        <v>Duplicate ID</v>
      </c>
      <c r="Q410" t="str">
        <f t="shared" si="27"/>
        <v>0-4,999</v>
      </c>
      <c r="R410" s="6">
        <f>IF(COUNTIF($A$2:A410,A410)=1,1,0)</f>
        <v>0</v>
      </c>
    </row>
    <row r="411" spans="1:18" x14ac:dyDescent="0.25">
      <c r="A411" s="6">
        <v>1016</v>
      </c>
      <c r="B411" s="7">
        <v>44382</v>
      </c>
      <c r="C411" t="s">
        <v>57</v>
      </c>
      <c r="D411" s="6">
        <v>2016</v>
      </c>
      <c r="E411" s="8">
        <v>19042</v>
      </c>
      <c r="F411" s="8">
        <v>22000</v>
      </c>
      <c r="G411" s="8">
        <f t="shared" si="24"/>
        <v>2958</v>
      </c>
      <c r="H411" s="6">
        <v>40000</v>
      </c>
      <c r="I411" t="s">
        <v>41</v>
      </c>
      <c r="J411" t="s">
        <v>72</v>
      </c>
      <c r="K411" t="s">
        <v>96</v>
      </c>
      <c r="L411" t="s">
        <v>100</v>
      </c>
      <c r="M411" t="s">
        <v>98</v>
      </c>
      <c r="N411" s="6">
        <v>1</v>
      </c>
      <c r="O411" t="str">
        <f t="shared" si="25"/>
        <v>Normal</v>
      </c>
      <c r="P411" t="str">
        <f t="shared" si="26"/>
        <v>Duplicate ID</v>
      </c>
      <c r="Q411" t="str">
        <f t="shared" si="27"/>
        <v>15,000-19,999</v>
      </c>
      <c r="R411" s="6">
        <f>IF(COUNTIF($A$2:A411,A411)=1,1,0)</f>
        <v>1</v>
      </c>
    </row>
    <row r="412" spans="1:18" x14ac:dyDescent="0.25">
      <c r="A412" s="6">
        <v>1072</v>
      </c>
      <c r="B412" s="7">
        <v>44199</v>
      </c>
      <c r="C412" t="s">
        <v>79</v>
      </c>
      <c r="D412" s="6">
        <v>2018</v>
      </c>
      <c r="E412" s="8">
        <v>24812</v>
      </c>
      <c r="F412" s="8">
        <v>31000</v>
      </c>
      <c r="G412" s="8">
        <f t="shared" si="24"/>
        <v>6188</v>
      </c>
      <c r="H412" s="6">
        <v>120000</v>
      </c>
      <c r="I412" t="s">
        <v>69</v>
      </c>
      <c r="J412" t="s">
        <v>72</v>
      </c>
      <c r="K412" t="s">
        <v>96</v>
      </c>
      <c r="L412" t="s">
        <v>1647</v>
      </c>
      <c r="M412" t="s">
        <v>90</v>
      </c>
      <c r="N412" s="6">
        <v>0</v>
      </c>
      <c r="O412" t="str">
        <f t="shared" si="25"/>
        <v>Normal</v>
      </c>
      <c r="P412" t="str">
        <f t="shared" si="26"/>
        <v>Duplicate ID</v>
      </c>
      <c r="Q412" t="str">
        <f t="shared" si="27"/>
        <v>20,000-24,999</v>
      </c>
      <c r="R412" s="6">
        <f>IF(COUNTIF($A$2:A412,A412)=1,1,0)</f>
        <v>0</v>
      </c>
    </row>
    <row r="413" spans="1:18" x14ac:dyDescent="0.25">
      <c r="A413" s="6">
        <v>1374</v>
      </c>
      <c r="B413" s="7">
        <v>44981</v>
      </c>
      <c r="C413" t="s">
        <v>51</v>
      </c>
      <c r="D413" s="6">
        <v>2014</v>
      </c>
      <c r="E413" s="8">
        <v>20091</v>
      </c>
      <c r="F413" s="8">
        <v>22000</v>
      </c>
      <c r="G413" s="8">
        <f t="shared" si="24"/>
        <v>1909</v>
      </c>
      <c r="H413" s="6">
        <v>15000</v>
      </c>
      <c r="I413" t="s">
        <v>41</v>
      </c>
      <c r="J413" t="s">
        <v>1647</v>
      </c>
      <c r="K413" t="s">
        <v>36</v>
      </c>
      <c r="L413" t="s">
        <v>100</v>
      </c>
      <c r="M413" t="s">
        <v>45</v>
      </c>
      <c r="N413" s="6">
        <v>1</v>
      </c>
      <c r="O413" t="str">
        <f t="shared" si="25"/>
        <v>Normal</v>
      </c>
      <c r="P413" t="str">
        <f t="shared" si="26"/>
        <v>Duplicate ID</v>
      </c>
      <c r="Q413" t="str">
        <f t="shared" si="27"/>
        <v>20,000-24,999</v>
      </c>
      <c r="R413" s="6">
        <f>IF(COUNTIF($A$2:A413,A413)=1,1,0)</f>
        <v>1</v>
      </c>
    </row>
    <row r="414" spans="1:18" x14ac:dyDescent="0.25">
      <c r="A414" s="6">
        <v>1230</v>
      </c>
      <c r="B414" s="7">
        <v>44626</v>
      </c>
      <c r="C414" t="s">
        <v>32</v>
      </c>
      <c r="D414" s="6">
        <v>2018</v>
      </c>
      <c r="E414" s="8">
        <v>25248</v>
      </c>
      <c r="F414" s="8">
        <v>31000</v>
      </c>
      <c r="G414" s="8">
        <f t="shared" si="24"/>
        <v>5752</v>
      </c>
      <c r="H414" s="6">
        <v>120000</v>
      </c>
      <c r="I414" t="s">
        <v>34</v>
      </c>
      <c r="J414" t="s">
        <v>72</v>
      </c>
      <c r="K414" t="s">
        <v>36</v>
      </c>
      <c r="L414" t="s">
        <v>73</v>
      </c>
      <c r="M414" t="s">
        <v>45</v>
      </c>
      <c r="N414" s="6">
        <v>2</v>
      </c>
      <c r="O414" t="str">
        <f t="shared" si="25"/>
        <v>Normal</v>
      </c>
      <c r="P414" t="str">
        <f t="shared" si="26"/>
        <v>Duplicate ID</v>
      </c>
      <c r="Q414" t="str">
        <f t="shared" si="27"/>
        <v>25,000-30,000</v>
      </c>
      <c r="R414" s="6">
        <f>IF(COUNTIF($A$2:A414,A414)=1,1,0)</f>
        <v>0</v>
      </c>
    </row>
    <row r="415" spans="1:18" x14ac:dyDescent="0.25">
      <c r="A415" s="6">
        <v>1545</v>
      </c>
      <c r="B415" s="7">
        <v>45286</v>
      </c>
      <c r="C415" t="s">
        <v>1648</v>
      </c>
      <c r="D415" s="6">
        <v>2021</v>
      </c>
      <c r="E415" s="8">
        <v>2186</v>
      </c>
      <c r="F415" s="8">
        <v>9000</v>
      </c>
      <c r="G415" s="8">
        <f t="shared" si="24"/>
        <v>6814</v>
      </c>
      <c r="H415" s="6">
        <v>60000</v>
      </c>
      <c r="I415" t="s">
        <v>41</v>
      </c>
      <c r="J415" t="s">
        <v>35</v>
      </c>
      <c r="K415" t="s">
        <v>96</v>
      </c>
      <c r="L415" t="s">
        <v>73</v>
      </c>
      <c r="M415" t="s">
        <v>126</v>
      </c>
      <c r="N415" s="6">
        <v>3</v>
      </c>
      <c r="O415" t="str">
        <f t="shared" si="25"/>
        <v>Normal</v>
      </c>
      <c r="P415" t="str">
        <f t="shared" si="26"/>
        <v>Duplicate ID</v>
      </c>
      <c r="Q415" t="str">
        <f t="shared" si="27"/>
        <v>0-4,999</v>
      </c>
      <c r="R415" s="6">
        <f>IF(COUNTIF($A$2:A415,A415)=1,1,0)</f>
        <v>0</v>
      </c>
    </row>
    <row r="416" spans="1:18" x14ac:dyDescent="0.25">
      <c r="A416" s="6">
        <v>1114</v>
      </c>
      <c r="B416" s="7">
        <v>44762</v>
      </c>
      <c r="C416" t="s">
        <v>57</v>
      </c>
      <c r="D416" s="6">
        <v>2018</v>
      </c>
      <c r="E416" s="8">
        <v>6651</v>
      </c>
      <c r="F416" s="8">
        <v>9000</v>
      </c>
      <c r="G416" s="8">
        <f t="shared" si="24"/>
        <v>2349</v>
      </c>
      <c r="H416" s="6">
        <v>15000</v>
      </c>
      <c r="I416" t="s">
        <v>41</v>
      </c>
      <c r="J416" t="s">
        <v>72</v>
      </c>
      <c r="K416" t="s">
        <v>96</v>
      </c>
      <c r="L416" t="s">
        <v>1647</v>
      </c>
      <c r="M416" t="s">
        <v>90</v>
      </c>
      <c r="N416" s="6">
        <v>3</v>
      </c>
      <c r="O416" t="str">
        <f t="shared" si="25"/>
        <v>Normal</v>
      </c>
      <c r="P416" t="str">
        <f t="shared" si="26"/>
        <v>Duplicate ID</v>
      </c>
      <c r="Q416" t="str">
        <f t="shared" si="27"/>
        <v>5,000-9,999</v>
      </c>
      <c r="R416" s="6">
        <f>IF(COUNTIF($A$2:A416,A416)=1,1,0)</f>
        <v>1</v>
      </c>
    </row>
    <row r="417" spans="1:18" x14ac:dyDescent="0.25">
      <c r="A417" s="6">
        <v>1298</v>
      </c>
      <c r="B417" s="7">
        <v>44240</v>
      </c>
      <c r="C417" t="s">
        <v>79</v>
      </c>
      <c r="D417" s="6">
        <v>2020</v>
      </c>
      <c r="E417" s="8">
        <v>24719</v>
      </c>
      <c r="F417" s="8">
        <v>31000</v>
      </c>
      <c r="G417" s="8">
        <f t="shared" si="24"/>
        <v>6281</v>
      </c>
      <c r="H417" s="6">
        <v>120000</v>
      </c>
      <c r="I417" t="s">
        <v>69</v>
      </c>
      <c r="J417" t="s">
        <v>72</v>
      </c>
      <c r="K417" t="s">
        <v>1647</v>
      </c>
      <c r="L417" t="s">
        <v>54</v>
      </c>
      <c r="M417" t="s">
        <v>45</v>
      </c>
      <c r="N417" s="6">
        <v>3</v>
      </c>
      <c r="O417" t="str">
        <f t="shared" si="25"/>
        <v>Normal</v>
      </c>
      <c r="P417" t="str">
        <f t="shared" si="26"/>
        <v>Duplicate ID</v>
      </c>
      <c r="Q417" t="str">
        <f t="shared" si="27"/>
        <v>20,000-24,999</v>
      </c>
      <c r="R417" s="6">
        <f>IF(COUNTIF($A$2:A417,A417)=1,1,0)</f>
        <v>0</v>
      </c>
    </row>
    <row r="418" spans="1:18" x14ac:dyDescent="0.25">
      <c r="A418" s="6">
        <v>1175</v>
      </c>
      <c r="B418" s="7">
        <v>44824</v>
      </c>
      <c r="C418" t="s">
        <v>1648</v>
      </c>
      <c r="D418" s="6">
        <v>2021</v>
      </c>
      <c r="E418" s="8">
        <v>15920</v>
      </c>
      <c r="F418" s="8">
        <v>18000</v>
      </c>
      <c r="G418" s="8">
        <f t="shared" si="24"/>
        <v>2080</v>
      </c>
      <c r="H418" s="6">
        <v>80000</v>
      </c>
      <c r="I418" t="s">
        <v>69</v>
      </c>
      <c r="J418" t="s">
        <v>35</v>
      </c>
      <c r="K418" t="s">
        <v>36</v>
      </c>
      <c r="L418" t="s">
        <v>54</v>
      </c>
      <c r="M418" t="s">
        <v>45</v>
      </c>
      <c r="N418" s="6">
        <v>3</v>
      </c>
      <c r="O418" t="str">
        <f t="shared" si="25"/>
        <v>Normal</v>
      </c>
      <c r="P418" t="str">
        <f t="shared" si="26"/>
        <v>Duplicate ID</v>
      </c>
      <c r="Q418" t="str">
        <f t="shared" si="27"/>
        <v>15,000-19,999</v>
      </c>
      <c r="R418" s="6">
        <f>IF(COUNTIF($A$2:A418,A418)=1,1,0)</f>
        <v>0</v>
      </c>
    </row>
    <row r="419" spans="1:18" x14ac:dyDescent="0.25">
      <c r="A419" s="6">
        <v>1186</v>
      </c>
      <c r="B419" s="7">
        <v>44781</v>
      </c>
      <c r="C419" t="s">
        <v>57</v>
      </c>
      <c r="D419" s="6"/>
      <c r="E419" s="8">
        <v>6615</v>
      </c>
      <c r="F419" s="8">
        <v>12000</v>
      </c>
      <c r="G419" s="8">
        <f t="shared" si="24"/>
        <v>5385</v>
      </c>
      <c r="H419" s="6">
        <v>120000</v>
      </c>
      <c r="I419" t="s">
        <v>58</v>
      </c>
      <c r="J419" t="s">
        <v>35</v>
      </c>
      <c r="K419" t="s">
        <v>36</v>
      </c>
      <c r="L419" t="s">
        <v>73</v>
      </c>
      <c r="M419" t="s">
        <v>126</v>
      </c>
      <c r="N419" s="6">
        <v>2</v>
      </c>
      <c r="O419" t="str">
        <f t="shared" si="25"/>
        <v>Normal</v>
      </c>
      <c r="P419" t="str">
        <f t="shared" si="26"/>
        <v>Duplicate ID</v>
      </c>
      <c r="Q419" t="str">
        <f t="shared" si="27"/>
        <v>5,000-9,999</v>
      </c>
      <c r="R419" s="6">
        <f>IF(COUNTIF($A$2:A419,A419)=1,1,0)</f>
        <v>1</v>
      </c>
    </row>
    <row r="420" spans="1:18" x14ac:dyDescent="0.25">
      <c r="A420" s="6">
        <v>1575</v>
      </c>
      <c r="B420" s="7">
        <v>44617</v>
      </c>
      <c r="C420" t="s">
        <v>32</v>
      </c>
      <c r="D420" s="6">
        <v>2021</v>
      </c>
      <c r="E420" s="8">
        <v>15489</v>
      </c>
      <c r="F420" s="8">
        <v>18000</v>
      </c>
      <c r="G420" s="8">
        <f t="shared" si="24"/>
        <v>2511</v>
      </c>
      <c r="H420" s="6">
        <v>40000</v>
      </c>
      <c r="I420" t="s">
        <v>58</v>
      </c>
      <c r="J420" t="s">
        <v>72</v>
      </c>
      <c r="K420" t="s">
        <v>96</v>
      </c>
      <c r="L420" t="s">
        <v>1647</v>
      </c>
      <c r="M420" t="s">
        <v>90</v>
      </c>
      <c r="N420" s="6" t="s">
        <v>1647</v>
      </c>
      <c r="O420" t="str">
        <f t="shared" si="25"/>
        <v>Normal</v>
      </c>
      <c r="P420" t="str">
        <f t="shared" si="26"/>
        <v>Duplicate ID</v>
      </c>
      <c r="Q420" t="str">
        <f t="shared" si="27"/>
        <v>15,000-19,999</v>
      </c>
      <c r="R420" s="6">
        <f>IF(COUNTIF($A$2:A420,A420)=1,1,0)</f>
        <v>0</v>
      </c>
    </row>
    <row r="421" spans="1:18" x14ac:dyDescent="0.25">
      <c r="A421" s="6">
        <v>1469</v>
      </c>
      <c r="B421" s="7">
        <v>44494</v>
      </c>
      <c r="C421" t="s">
        <v>51</v>
      </c>
      <c r="D421" s="6">
        <v>2015</v>
      </c>
      <c r="E421" s="8">
        <v>1909</v>
      </c>
      <c r="F421" s="8">
        <v>7000</v>
      </c>
      <c r="G421" s="8">
        <f t="shared" si="24"/>
        <v>5091</v>
      </c>
      <c r="H421" s="6">
        <v>60000</v>
      </c>
      <c r="I421" t="s">
        <v>69</v>
      </c>
      <c r="J421" t="s">
        <v>72</v>
      </c>
      <c r="K421" t="s">
        <v>96</v>
      </c>
      <c r="L421" t="s">
        <v>54</v>
      </c>
      <c r="M421" t="s">
        <v>90</v>
      </c>
      <c r="N421" s="6" t="s">
        <v>1647</v>
      </c>
      <c r="O421" t="str">
        <f t="shared" si="25"/>
        <v>Normal</v>
      </c>
      <c r="P421" t="str">
        <f t="shared" si="26"/>
        <v>Duplicate ID</v>
      </c>
      <c r="Q421" t="str">
        <f t="shared" si="27"/>
        <v>0-4,999</v>
      </c>
      <c r="R421" s="6">
        <f>IF(COUNTIF($A$2:A421,A421)=1,1,0)</f>
        <v>1</v>
      </c>
    </row>
    <row r="422" spans="1:18" x14ac:dyDescent="0.25">
      <c r="A422" s="6">
        <v>1142</v>
      </c>
      <c r="B422" s="7">
        <v>44279</v>
      </c>
      <c r="C422" t="s">
        <v>1648</v>
      </c>
      <c r="D422" s="6">
        <v>2019</v>
      </c>
      <c r="E422" s="8">
        <v>4077</v>
      </c>
      <c r="F422" s="8">
        <v>9000</v>
      </c>
      <c r="G422" s="8">
        <f t="shared" si="24"/>
        <v>4923</v>
      </c>
      <c r="H422" s="6">
        <v>120000</v>
      </c>
      <c r="I422" t="s">
        <v>58</v>
      </c>
      <c r="J422" t="s">
        <v>72</v>
      </c>
      <c r="K422" t="s">
        <v>96</v>
      </c>
      <c r="L422" t="s">
        <v>73</v>
      </c>
      <c r="M422" t="s">
        <v>45</v>
      </c>
      <c r="N422" s="6">
        <v>0</v>
      </c>
      <c r="O422" t="str">
        <f t="shared" si="25"/>
        <v>Normal</v>
      </c>
      <c r="P422" t="str">
        <f t="shared" si="26"/>
        <v>Duplicate ID</v>
      </c>
      <c r="Q422" t="str">
        <f t="shared" si="27"/>
        <v>0-4,999</v>
      </c>
      <c r="R422" s="6">
        <f>IF(COUNTIF($A$2:A422,A422)=1,1,0)</f>
        <v>1</v>
      </c>
    </row>
    <row r="423" spans="1:18" x14ac:dyDescent="0.25">
      <c r="A423" s="6">
        <v>1085</v>
      </c>
      <c r="B423" s="7">
        <v>44243</v>
      </c>
      <c r="C423" t="s">
        <v>57</v>
      </c>
      <c r="D423" s="6"/>
      <c r="E423" s="8">
        <v>12397</v>
      </c>
      <c r="F423" s="8">
        <v>15000</v>
      </c>
      <c r="G423" s="8">
        <f t="shared" si="24"/>
        <v>2603</v>
      </c>
      <c r="H423" s="6">
        <v>40000</v>
      </c>
      <c r="I423" t="s">
        <v>41</v>
      </c>
      <c r="J423" t="s">
        <v>1647</v>
      </c>
      <c r="K423" t="s">
        <v>96</v>
      </c>
      <c r="L423" t="s">
        <v>100</v>
      </c>
      <c r="M423" t="s">
        <v>98</v>
      </c>
      <c r="N423" s="6">
        <v>2</v>
      </c>
      <c r="O423" t="str">
        <f t="shared" si="25"/>
        <v>Normal</v>
      </c>
      <c r="P423" t="str">
        <f t="shared" si="26"/>
        <v>Duplicate ID</v>
      </c>
      <c r="Q423" t="str">
        <f t="shared" si="27"/>
        <v>10,000-14,999</v>
      </c>
      <c r="R423" s="6">
        <f>IF(COUNTIF($A$2:A423,A423)=1,1,0)</f>
        <v>1</v>
      </c>
    </row>
    <row r="424" spans="1:18" x14ac:dyDescent="0.25">
      <c r="A424" s="6">
        <v>1378</v>
      </c>
      <c r="B424" s="7">
        <v>45072</v>
      </c>
      <c r="C424" t="s">
        <v>40</v>
      </c>
      <c r="D424" s="6">
        <v>2018</v>
      </c>
      <c r="E424" s="8">
        <v>19789</v>
      </c>
      <c r="F424" s="8">
        <v>22000</v>
      </c>
      <c r="G424" s="8">
        <f t="shared" si="24"/>
        <v>2211</v>
      </c>
      <c r="H424" s="6">
        <v>60000</v>
      </c>
      <c r="I424" t="s">
        <v>69</v>
      </c>
      <c r="J424" t="s">
        <v>72</v>
      </c>
      <c r="K424" t="s">
        <v>1647</v>
      </c>
      <c r="L424" t="s">
        <v>73</v>
      </c>
      <c r="M424" t="s">
        <v>90</v>
      </c>
      <c r="N424" s="6">
        <v>3</v>
      </c>
      <c r="O424" t="str">
        <f t="shared" si="25"/>
        <v>Normal</v>
      </c>
      <c r="P424" t="str">
        <f t="shared" si="26"/>
        <v>Duplicate ID</v>
      </c>
      <c r="Q424" t="str">
        <f t="shared" si="27"/>
        <v>15,000-19,999</v>
      </c>
      <c r="R424" s="6">
        <f>IF(COUNTIF($A$2:A424,A424)=1,1,0)</f>
        <v>0</v>
      </c>
    </row>
    <row r="425" spans="1:18" x14ac:dyDescent="0.25">
      <c r="A425" s="6">
        <v>1424</v>
      </c>
      <c r="B425" s="7">
        <v>45065</v>
      </c>
      <c r="C425" t="s">
        <v>1648</v>
      </c>
      <c r="D425" s="6">
        <v>2021</v>
      </c>
      <c r="E425" s="8">
        <v>11037</v>
      </c>
      <c r="F425" s="8">
        <v>18000</v>
      </c>
      <c r="G425" s="8">
        <f t="shared" si="24"/>
        <v>6963</v>
      </c>
      <c r="H425" s="6">
        <v>25000</v>
      </c>
      <c r="I425" t="s">
        <v>58</v>
      </c>
      <c r="J425" t="s">
        <v>72</v>
      </c>
      <c r="K425" t="s">
        <v>96</v>
      </c>
      <c r="L425" t="s">
        <v>1647</v>
      </c>
      <c r="M425" t="s">
        <v>45</v>
      </c>
      <c r="N425" s="6">
        <v>0</v>
      </c>
      <c r="O425" t="str">
        <f t="shared" si="25"/>
        <v>Normal</v>
      </c>
      <c r="P425" t="str">
        <f t="shared" si="26"/>
        <v>Duplicate ID</v>
      </c>
      <c r="Q425" t="str">
        <f t="shared" si="27"/>
        <v>10,000-14,999</v>
      </c>
      <c r="R425" s="6">
        <f>IF(COUNTIF($A$2:A425,A425)=1,1,0)</f>
        <v>0</v>
      </c>
    </row>
    <row r="426" spans="1:18" x14ac:dyDescent="0.25">
      <c r="A426" s="6">
        <v>1424</v>
      </c>
      <c r="B426" s="7">
        <v>44756</v>
      </c>
      <c r="C426" t="s">
        <v>79</v>
      </c>
      <c r="D426" s="6">
        <v>2015</v>
      </c>
      <c r="E426" s="8">
        <v>767</v>
      </c>
      <c r="F426" s="8">
        <v>7000</v>
      </c>
      <c r="G426" s="8">
        <f t="shared" si="24"/>
        <v>6233</v>
      </c>
      <c r="H426" s="6">
        <v>60000</v>
      </c>
      <c r="I426" t="s">
        <v>58</v>
      </c>
      <c r="J426" t="s">
        <v>35</v>
      </c>
      <c r="K426" t="s">
        <v>36</v>
      </c>
      <c r="L426" t="s">
        <v>48</v>
      </c>
      <c r="M426" t="s">
        <v>45</v>
      </c>
      <c r="N426" s="6" t="s">
        <v>1647</v>
      </c>
      <c r="O426" t="str">
        <f t="shared" si="25"/>
        <v>Outlier</v>
      </c>
      <c r="P426" t="str">
        <f t="shared" si="26"/>
        <v>Duplicate ID</v>
      </c>
      <c r="Q426" t="str">
        <f t="shared" si="27"/>
        <v>0-4,999</v>
      </c>
      <c r="R426" s="6">
        <f>IF(COUNTIF($A$2:A426,A426)=1,1,0)</f>
        <v>0</v>
      </c>
    </row>
    <row r="427" spans="1:18" x14ac:dyDescent="0.25">
      <c r="A427" s="6">
        <v>1572</v>
      </c>
      <c r="B427" s="7">
        <v>45208</v>
      </c>
      <c r="C427" t="s">
        <v>1648</v>
      </c>
      <c r="D427" s="6">
        <v>2014</v>
      </c>
      <c r="E427" s="8">
        <v>14511</v>
      </c>
      <c r="F427" s="8">
        <v>18000</v>
      </c>
      <c r="G427" s="8">
        <f t="shared" si="24"/>
        <v>3489</v>
      </c>
      <c r="H427" s="6">
        <v>80000</v>
      </c>
      <c r="I427" t="s">
        <v>58</v>
      </c>
      <c r="J427" t="s">
        <v>72</v>
      </c>
      <c r="K427" t="s">
        <v>96</v>
      </c>
      <c r="L427" t="s">
        <v>48</v>
      </c>
      <c r="M427" t="s">
        <v>126</v>
      </c>
      <c r="N427" s="6">
        <v>2</v>
      </c>
      <c r="O427" t="str">
        <f t="shared" si="25"/>
        <v>Normal</v>
      </c>
      <c r="P427" t="str">
        <f t="shared" si="26"/>
        <v>Duplicate ID</v>
      </c>
      <c r="Q427" t="str">
        <f t="shared" si="27"/>
        <v>10,000-14,999</v>
      </c>
      <c r="R427" s="6">
        <f>IF(COUNTIF($A$2:A427,A427)=1,1,0)</f>
        <v>0</v>
      </c>
    </row>
    <row r="428" spans="1:18" x14ac:dyDescent="0.25">
      <c r="A428" s="6">
        <v>1029</v>
      </c>
      <c r="B428" s="7">
        <v>44698</v>
      </c>
      <c r="C428" t="s">
        <v>1648</v>
      </c>
      <c r="D428" s="6">
        <v>2016</v>
      </c>
      <c r="E428" s="8">
        <v>24718</v>
      </c>
      <c r="F428" s="8">
        <v>31000</v>
      </c>
      <c r="G428" s="8">
        <f t="shared" si="24"/>
        <v>6282</v>
      </c>
      <c r="H428" s="6">
        <v>120000</v>
      </c>
      <c r="I428" t="s">
        <v>41</v>
      </c>
      <c r="J428" t="s">
        <v>1647</v>
      </c>
      <c r="K428" t="s">
        <v>96</v>
      </c>
      <c r="L428" t="s">
        <v>48</v>
      </c>
      <c r="M428" t="s">
        <v>98</v>
      </c>
      <c r="N428" s="6">
        <v>2</v>
      </c>
      <c r="O428" t="str">
        <f t="shared" si="25"/>
        <v>Normal</v>
      </c>
      <c r="P428" t="str">
        <f t="shared" si="26"/>
        <v>Duplicate ID</v>
      </c>
      <c r="Q428" t="str">
        <f t="shared" si="27"/>
        <v>20,000-24,999</v>
      </c>
      <c r="R428" s="6">
        <f>IF(COUNTIF($A$2:A428,A428)=1,1,0)</f>
        <v>1</v>
      </c>
    </row>
    <row r="429" spans="1:18" x14ac:dyDescent="0.25">
      <c r="A429" s="6">
        <v>1265</v>
      </c>
      <c r="B429" s="7">
        <v>44232</v>
      </c>
      <c r="C429" t="s">
        <v>1648</v>
      </c>
      <c r="D429" s="6">
        <v>2015</v>
      </c>
      <c r="E429" s="8">
        <v>16288</v>
      </c>
      <c r="F429" s="8">
        <v>22000</v>
      </c>
      <c r="G429" s="8">
        <f t="shared" si="24"/>
        <v>5712</v>
      </c>
      <c r="H429" s="6">
        <v>80000</v>
      </c>
      <c r="I429" t="s">
        <v>58</v>
      </c>
      <c r="J429" t="s">
        <v>72</v>
      </c>
      <c r="K429" t="s">
        <v>36</v>
      </c>
      <c r="L429" t="s">
        <v>73</v>
      </c>
      <c r="M429" t="s">
        <v>45</v>
      </c>
      <c r="N429" s="6">
        <v>2</v>
      </c>
      <c r="O429" t="str">
        <f t="shared" si="25"/>
        <v>Normal</v>
      </c>
      <c r="P429" t="str">
        <f t="shared" si="26"/>
        <v>Duplicate ID</v>
      </c>
      <c r="Q429" t="str">
        <f t="shared" si="27"/>
        <v>15,000-19,999</v>
      </c>
      <c r="R429" s="6">
        <f>IF(COUNTIF($A$2:A429,A429)=1,1,0)</f>
        <v>1</v>
      </c>
    </row>
    <row r="430" spans="1:18" x14ac:dyDescent="0.25">
      <c r="A430" s="6">
        <v>1542</v>
      </c>
      <c r="B430" s="7">
        <v>44794</v>
      </c>
      <c r="C430" t="s">
        <v>1648</v>
      </c>
      <c r="D430" s="6">
        <v>2018</v>
      </c>
      <c r="E430" s="8">
        <v>18626</v>
      </c>
      <c r="F430" s="8">
        <v>22000</v>
      </c>
      <c r="G430" s="8">
        <f t="shared" si="24"/>
        <v>3374</v>
      </c>
      <c r="H430" s="6">
        <v>15000</v>
      </c>
      <c r="I430" t="s">
        <v>58</v>
      </c>
      <c r="J430" t="s">
        <v>35</v>
      </c>
      <c r="K430" t="s">
        <v>1647</v>
      </c>
      <c r="L430" t="s">
        <v>100</v>
      </c>
      <c r="M430" t="s">
        <v>1647</v>
      </c>
      <c r="N430" s="6">
        <v>2</v>
      </c>
      <c r="O430" t="str">
        <f t="shared" si="25"/>
        <v>Normal</v>
      </c>
      <c r="P430" t="str">
        <f t="shared" si="26"/>
        <v>Duplicate ID</v>
      </c>
      <c r="Q430" t="str">
        <f t="shared" si="27"/>
        <v>15,000-19,999</v>
      </c>
      <c r="R430" s="6">
        <f>IF(COUNTIF($A$2:A430,A430)=1,1,0)</f>
        <v>1</v>
      </c>
    </row>
    <row r="431" spans="1:18" x14ac:dyDescent="0.25">
      <c r="A431" s="6">
        <v>1098</v>
      </c>
      <c r="B431" s="7">
        <v>44939</v>
      </c>
      <c r="C431" t="s">
        <v>51</v>
      </c>
      <c r="D431" s="6">
        <v>2018</v>
      </c>
      <c r="E431" s="8">
        <v>11385</v>
      </c>
      <c r="F431" s="8">
        <v>18000</v>
      </c>
      <c r="G431" s="8">
        <f t="shared" si="24"/>
        <v>6615</v>
      </c>
      <c r="H431" s="6">
        <v>40000</v>
      </c>
      <c r="I431" t="s">
        <v>58</v>
      </c>
      <c r="J431" t="s">
        <v>1647</v>
      </c>
      <c r="K431" t="s">
        <v>96</v>
      </c>
      <c r="L431" t="s">
        <v>54</v>
      </c>
      <c r="M431" t="s">
        <v>98</v>
      </c>
      <c r="N431" s="6">
        <v>3</v>
      </c>
      <c r="O431" t="str">
        <f t="shared" si="25"/>
        <v>Normal</v>
      </c>
      <c r="P431" t="str">
        <f t="shared" si="26"/>
        <v>Duplicate ID</v>
      </c>
      <c r="Q431" t="str">
        <f t="shared" si="27"/>
        <v>10,000-14,999</v>
      </c>
      <c r="R431" s="6">
        <f>IF(COUNTIF($A$2:A431,A431)=1,1,0)</f>
        <v>0</v>
      </c>
    </row>
    <row r="432" spans="1:18" x14ac:dyDescent="0.25">
      <c r="A432" s="6">
        <v>1226</v>
      </c>
      <c r="B432" s="7">
        <v>45227</v>
      </c>
      <c r="C432" t="s">
        <v>51</v>
      </c>
      <c r="D432" s="6">
        <v>2016</v>
      </c>
      <c r="E432" s="8">
        <v>6734</v>
      </c>
      <c r="F432" s="8">
        <v>9000</v>
      </c>
      <c r="G432" s="8">
        <f t="shared" si="24"/>
        <v>2266</v>
      </c>
      <c r="H432" s="6">
        <v>25000</v>
      </c>
      <c r="I432" t="s">
        <v>41</v>
      </c>
      <c r="J432" t="s">
        <v>72</v>
      </c>
      <c r="K432" t="s">
        <v>96</v>
      </c>
      <c r="L432" t="s">
        <v>73</v>
      </c>
      <c r="M432" t="s">
        <v>126</v>
      </c>
      <c r="N432" s="6">
        <v>1</v>
      </c>
      <c r="O432" t="str">
        <f t="shared" si="25"/>
        <v>Normal</v>
      </c>
      <c r="P432" t="str">
        <f t="shared" si="26"/>
        <v>Duplicate ID</v>
      </c>
      <c r="Q432" t="str">
        <f t="shared" si="27"/>
        <v>5,000-9,999</v>
      </c>
      <c r="R432" s="6">
        <f>IF(COUNTIF($A$2:A432,A432)=1,1,0)</f>
        <v>0</v>
      </c>
    </row>
    <row r="433" spans="1:18" x14ac:dyDescent="0.25">
      <c r="A433" s="6">
        <v>1142</v>
      </c>
      <c r="B433" s="7">
        <v>44939</v>
      </c>
      <c r="C433" t="s">
        <v>40</v>
      </c>
      <c r="D433" s="6">
        <v>2021</v>
      </c>
      <c r="E433" s="8">
        <v>15339</v>
      </c>
      <c r="F433" s="8">
        <v>22000</v>
      </c>
      <c r="G433" s="8">
        <f t="shared" si="24"/>
        <v>6661</v>
      </c>
      <c r="H433" s="6">
        <v>40000</v>
      </c>
      <c r="I433" t="s">
        <v>69</v>
      </c>
      <c r="J433" t="s">
        <v>35</v>
      </c>
      <c r="K433" t="s">
        <v>96</v>
      </c>
      <c r="L433" t="s">
        <v>73</v>
      </c>
      <c r="M433" t="s">
        <v>126</v>
      </c>
      <c r="N433" s="6">
        <v>1</v>
      </c>
      <c r="O433" t="str">
        <f t="shared" si="25"/>
        <v>Normal</v>
      </c>
      <c r="P433" t="str">
        <f t="shared" si="26"/>
        <v>Duplicate ID</v>
      </c>
      <c r="Q433" t="str">
        <f t="shared" si="27"/>
        <v>15,000-19,999</v>
      </c>
      <c r="R433" s="6">
        <f>IF(COUNTIF($A$2:A433,A433)=1,1,0)</f>
        <v>0</v>
      </c>
    </row>
    <row r="434" spans="1:18" x14ac:dyDescent="0.25">
      <c r="A434" s="6">
        <v>1133</v>
      </c>
      <c r="B434" s="7">
        <v>44626</v>
      </c>
      <c r="C434" t="s">
        <v>32</v>
      </c>
      <c r="D434" s="6">
        <v>2016</v>
      </c>
      <c r="E434" s="8">
        <v>12974</v>
      </c>
      <c r="F434" s="8">
        <v>15000</v>
      </c>
      <c r="G434" s="8">
        <f t="shared" si="24"/>
        <v>2026</v>
      </c>
      <c r="H434" s="6">
        <v>40000</v>
      </c>
      <c r="I434" t="s">
        <v>41</v>
      </c>
      <c r="J434" t="s">
        <v>35</v>
      </c>
      <c r="K434" t="s">
        <v>36</v>
      </c>
      <c r="L434" t="s">
        <v>48</v>
      </c>
      <c r="M434" t="s">
        <v>98</v>
      </c>
      <c r="N434" s="6">
        <v>0</v>
      </c>
      <c r="O434" t="str">
        <f t="shared" si="25"/>
        <v>Normal</v>
      </c>
      <c r="P434" t="str">
        <f t="shared" si="26"/>
        <v>Duplicate ID</v>
      </c>
      <c r="Q434" t="str">
        <f t="shared" si="27"/>
        <v>10,000-14,999</v>
      </c>
      <c r="R434" s="6">
        <f>IF(COUNTIF($A$2:A434,A434)=1,1,0)</f>
        <v>0</v>
      </c>
    </row>
    <row r="435" spans="1:18" x14ac:dyDescent="0.25">
      <c r="A435" s="6">
        <v>1480</v>
      </c>
      <c r="B435" s="7">
        <v>44318</v>
      </c>
      <c r="C435" t="s">
        <v>57</v>
      </c>
      <c r="D435" s="6">
        <v>2015</v>
      </c>
      <c r="E435" s="8">
        <v>1794</v>
      </c>
      <c r="F435" s="8">
        <v>7000</v>
      </c>
      <c r="G435" s="8">
        <f t="shared" si="24"/>
        <v>5206</v>
      </c>
      <c r="H435" s="6">
        <v>120000</v>
      </c>
      <c r="I435" t="s">
        <v>41</v>
      </c>
      <c r="J435" t="s">
        <v>35</v>
      </c>
      <c r="K435" t="s">
        <v>36</v>
      </c>
      <c r="L435" t="s">
        <v>100</v>
      </c>
      <c r="M435" t="s">
        <v>90</v>
      </c>
      <c r="N435" s="6">
        <v>1</v>
      </c>
      <c r="O435" t="str">
        <f t="shared" si="25"/>
        <v>Normal</v>
      </c>
      <c r="P435" t="str">
        <f t="shared" si="26"/>
        <v>Duplicate ID</v>
      </c>
      <c r="Q435" t="str">
        <f t="shared" si="27"/>
        <v>0-4,999</v>
      </c>
      <c r="R435" s="6">
        <f>IF(COUNTIF($A$2:A435,A435)=1,1,0)</f>
        <v>1</v>
      </c>
    </row>
    <row r="436" spans="1:18" x14ac:dyDescent="0.25">
      <c r="A436" s="6">
        <v>1356</v>
      </c>
      <c r="B436" s="7">
        <v>45384</v>
      </c>
      <c r="C436" t="s">
        <v>79</v>
      </c>
      <c r="D436" s="6">
        <v>2014</v>
      </c>
      <c r="E436" s="8">
        <v>5728</v>
      </c>
      <c r="F436" s="8">
        <v>9000</v>
      </c>
      <c r="G436" s="8">
        <f t="shared" si="24"/>
        <v>3272</v>
      </c>
      <c r="H436" s="6">
        <v>25000</v>
      </c>
      <c r="I436" t="s">
        <v>58</v>
      </c>
      <c r="J436" t="s">
        <v>1647</v>
      </c>
      <c r="K436" t="s">
        <v>1647</v>
      </c>
      <c r="L436" t="s">
        <v>73</v>
      </c>
      <c r="M436" t="s">
        <v>126</v>
      </c>
      <c r="N436" s="6" t="s">
        <v>1647</v>
      </c>
      <c r="O436" t="str">
        <f t="shared" si="25"/>
        <v>Normal</v>
      </c>
      <c r="P436" t="str">
        <f t="shared" si="26"/>
        <v>Duplicate ID</v>
      </c>
      <c r="Q436" t="str">
        <f t="shared" si="27"/>
        <v>5,000-9,999</v>
      </c>
      <c r="R436" s="6">
        <f>IF(COUNTIF($A$2:A436,A436)=1,1,0)</f>
        <v>0</v>
      </c>
    </row>
    <row r="437" spans="1:18" x14ac:dyDescent="0.25">
      <c r="A437" s="6">
        <v>1175</v>
      </c>
      <c r="B437" s="7">
        <v>44774</v>
      </c>
      <c r="C437" t="s">
        <v>40</v>
      </c>
      <c r="D437" s="6">
        <v>2022</v>
      </c>
      <c r="E437" s="8">
        <v>12431</v>
      </c>
      <c r="F437" s="8">
        <v>15000</v>
      </c>
      <c r="G437" s="8">
        <f t="shared" si="24"/>
        <v>2569</v>
      </c>
      <c r="H437" s="6">
        <v>120000</v>
      </c>
      <c r="I437" t="s">
        <v>41</v>
      </c>
      <c r="J437" t="s">
        <v>35</v>
      </c>
      <c r="K437" t="s">
        <v>1647</v>
      </c>
      <c r="L437" t="s">
        <v>48</v>
      </c>
      <c r="M437" t="s">
        <v>45</v>
      </c>
      <c r="N437" s="6" t="s">
        <v>1647</v>
      </c>
      <c r="O437" t="str">
        <f t="shared" si="25"/>
        <v>Normal</v>
      </c>
      <c r="P437" t="str">
        <f t="shared" si="26"/>
        <v>Duplicate ID</v>
      </c>
      <c r="Q437" t="str">
        <f t="shared" si="27"/>
        <v>10,000-14,999</v>
      </c>
      <c r="R437" s="6">
        <f>IF(COUNTIF($A$2:A437,A437)=1,1,0)</f>
        <v>0</v>
      </c>
    </row>
    <row r="438" spans="1:18" x14ac:dyDescent="0.25">
      <c r="A438" s="6">
        <v>1434</v>
      </c>
      <c r="B438" s="7">
        <v>44974</v>
      </c>
      <c r="C438" t="s">
        <v>57</v>
      </c>
      <c r="D438" s="6">
        <v>2021</v>
      </c>
      <c r="E438" s="8">
        <v>5094</v>
      </c>
      <c r="F438" s="8">
        <v>9000</v>
      </c>
      <c r="G438" s="8">
        <f t="shared" si="24"/>
        <v>3906</v>
      </c>
      <c r="H438" s="6">
        <v>25000</v>
      </c>
      <c r="I438" t="s">
        <v>69</v>
      </c>
      <c r="J438" t="s">
        <v>35</v>
      </c>
      <c r="K438" t="s">
        <v>96</v>
      </c>
      <c r="L438" t="s">
        <v>73</v>
      </c>
      <c r="M438" t="s">
        <v>1647</v>
      </c>
      <c r="N438" s="6">
        <v>1</v>
      </c>
      <c r="O438" t="str">
        <f t="shared" si="25"/>
        <v>Normal</v>
      </c>
      <c r="P438" t="str">
        <f t="shared" si="26"/>
        <v>Duplicate ID</v>
      </c>
      <c r="Q438" t="str">
        <f t="shared" si="27"/>
        <v>5,000-9,999</v>
      </c>
      <c r="R438" s="6">
        <f>IF(COUNTIF($A$2:A438,A438)=1,1,0)</f>
        <v>0</v>
      </c>
    </row>
    <row r="439" spans="1:18" x14ac:dyDescent="0.25">
      <c r="A439" s="6">
        <v>1084</v>
      </c>
      <c r="B439" s="7">
        <v>44280</v>
      </c>
      <c r="C439" t="s">
        <v>1648</v>
      </c>
      <c r="D439" s="6">
        <v>2019</v>
      </c>
      <c r="E439" s="8">
        <v>11085</v>
      </c>
      <c r="F439" s="8">
        <v>18000</v>
      </c>
      <c r="G439" s="8">
        <f t="shared" si="24"/>
        <v>6915</v>
      </c>
      <c r="H439" s="6">
        <v>80000</v>
      </c>
      <c r="I439" t="s">
        <v>69</v>
      </c>
      <c r="J439" t="s">
        <v>72</v>
      </c>
      <c r="K439" t="s">
        <v>36</v>
      </c>
      <c r="L439" t="s">
        <v>1647</v>
      </c>
      <c r="M439" t="s">
        <v>98</v>
      </c>
      <c r="N439" s="6">
        <v>2</v>
      </c>
      <c r="O439" t="str">
        <f t="shared" si="25"/>
        <v>Normal</v>
      </c>
      <c r="P439" t="str">
        <f t="shared" si="26"/>
        <v>Duplicate ID</v>
      </c>
      <c r="Q439" t="str">
        <f t="shared" si="27"/>
        <v>10,000-14,999</v>
      </c>
      <c r="R439" s="6">
        <f>IF(COUNTIF($A$2:A439,A439)=1,1,0)</f>
        <v>1</v>
      </c>
    </row>
    <row r="440" spans="1:18" x14ac:dyDescent="0.25">
      <c r="A440" s="6">
        <v>1183</v>
      </c>
      <c r="B440" s="7">
        <v>44949</v>
      </c>
      <c r="C440" t="s">
        <v>1648</v>
      </c>
      <c r="D440" s="6">
        <v>2017</v>
      </c>
      <c r="E440" s="8">
        <v>2437</v>
      </c>
      <c r="F440" s="8">
        <v>9000</v>
      </c>
      <c r="G440" s="8">
        <f t="shared" si="24"/>
        <v>6563</v>
      </c>
      <c r="H440" s="6">
        <v>60000</v>
      </c>
      <c r="I440" t="s">
        <v>34</v>
      </c>
      <c r="J440" t="s">
        <v>72</v>
      </c>
      <c r="K440" t="s">
        <v>1647</v>
      </c>
      <c r="L440" t="s">
        <v>73</v>
      </c>
      <c r="M440" t="s">
        <v>126</v>
      </c>
      <c r="N440" s="6">
        <v>1</v>
      </c>
      <c r="O440" t="str">
        <f t="shared" si="25"/>
        <v>Normal</v>
      </c>
      <c r="P440" t="str">
        <f t="shared" si="26"/>
        <v>Duplicate ID</v>
      </c>
      <c r="Q440" t="str">
        <f t="shared" si="27"/>
        <v>0-4,999</v>
      </c>
      <c r="R440" s="6">
        <f>IF(COUNTIF($A$2:A440,A440)=1,1,0)</f>
        <v>0</v>
      </c>
    </row>
    <row r="441" spans="1:18" x14ac:dyDescent="0.25">
      <c r="A441" s="6">
        <v>1372</v>
      </c>
      <c r="B441" s="7">
        <v>44329</v>
      </c>
      <c r="C441" t="s">
        <v>79</v>
      </c>
      <c r="D441" s="6">
        <v>2020</v>
      </c>
      <c r="E441" s="8">
        <v>6618</v>
      </c>
      <c r="F441" s="8">
        <v>9000</v>
      </c>
      <c r="G441" s="8">
        <f t="shared" si="24"/>
        <v>2382</v>
      </c>
      <c r="H441" s="6">
        <v>120000</v>
      </c>
      <c r="I441" t="s">
        <v>34</v>
      </c>
      <c r="J441" t="s">
        <v>35</v>
      </c>
      <c r="K441" t="s">
        <v>36</v>
      </c>
      <c r="L441" t="s">
        <v>48</v>
      </c>
      <c r="M441" t="s">
        <v>98</v>
      </c>
      <c r="N441" s="6">
        <v>2</v>
      </c>
      <c r="O441" t="str">
        <f t="shared" si="25"/>
        <v>Normal</v>
      </c>
      <c r="P441" t="str">
        <f t="shared" si="26"/>
        <v>Duplicate ID</v>
      </c>
      <c r="Q441" t="str">
        <f t="shared" si="27"/>
        <v>5,000-9,999</v>
      </c>
      <c r="R441" s="6">
        <f>IF(COUNTIF($A$2:A441,A441)=1,1,0)</f>
        <v>0</v>
      </c>
    </row>
    <row r="442" spans="1:18" x14ac:dyDescent="0.25">
      <c r="A442" s="6">
        <v>1496</v>
      </c>
      <c r="B442" s="7">
        <v>45025</v>
      </c>
      <c r="C442" t="s">
        <v>119</v>
      </c>
      <c r="D442" s="6">
        <v>2018</v>
      </c>
      <c r="E442" s="8">
        <v>21103</v>
      </c>
      <c r="F442" s="8">
        <v>26000</v>
      </c>
      <c r="G442" s="8">
        <f t="shared" si="24"/>
        <v>4897</v>
      </c>
      <c r="H442" s="6">
        <v>40000</v>
      </c>
      <c r="I442" t="s">
        <v>41</v>
      </c>
      <c r="J442" t="s">
        <v>72</v>
      </c>
      <c r="K442" t="s">
        <v>96</v>
      </c>
      <c r="L442" t="s">
        <v>48</v>
      </c>
      <c r="M442" t="s">
        <v>90</v>
      </c>
      <c r="N442" s="6">
        <v>1</v>
      </c>
      <c r="O442" t="str">
        <f t="shared" si="25"/>
        <v>Normal</v>
      </c>
      <c r="P442" t="str">
        <f t="shared" si="26"/>
        <v>Duplicate ID</v>
      </c>
      <c r="Q442" t="str">
        <f t="shared" si="27"/>
        <v>20,000-24,999</v>
      </c>
      <c r="R442" s="6">
        <f>IF(COUNTIF($A$2:A442,A442)=1,1,0)</f>
        <v>1</v>
      </c>
    </row>
    <row r="443" spans="1:18" x14ac:dyDescent="0.25">
      <c r="A443" s="6">
        <v>1183</v>
      </c>
      <c r="B443" s="7">
        <v>44251</v>
      </c>
      <c r="C443" t="s">
        <v>40</v>
      </c>
      <c r="D443" s="6">
        <v>2015</v>
      </c>
      <c r="E443" s="8">
        <v>1920</v>
      </c>
      <c r="F443" s="8">
        <v>7000</v>
      </c>
      <c r="G443" s="8">
        <f t="shared" si="24"/>
        <v>5080</v>
      </c>
      <c r="H443" s="6">
        <v>15000</v>
      </c>
      <c r="I443" t="s">
        <v>41</v>
      </c>
      <c r="J443" t="s">
        <v>35</v>
      </c>
      <c r="K443" t="s">
        <v>1647</v>
      </c>
      <c r="L443" t="s">
        <v>48</v>
      </c>
      <c r="M443" t="s">
        <v>98</v>
      </c>
      <c r="N443" s="6">
        <v>1</v>
      </c>
      <c r="O443" t="str">
        <f t="shared" si="25"/>
        <v>Normal</v>
      </c>
      <c r="P443" t="str">
        <f t="shared" si="26"/>
        <v>Duplicate ID</v>
      </c>
      <c r="Q443" t="str">
        <f t="shared" si="27"/>
        <v>0-4,999</v>
      </c>
      <c r="R443" s="6">
        <f>IF(COUNTIF($A$2:A443,A443)=1,1,0)</f>
        <v>0</v>
      </c>
    </row>
    <row r="444" spans="1:18" x14ac:dyDescent="0.25">
      <c r="A444" s="6">
        <v>1555</v>
      </c>
      <c r="B444" s="7">
        <v>44732</v>
      </c>
      <c r="C444" t="s">
        <v>51</v>
      </c>
      <c r="D444" s="6">
        <v>2018</v>
      </c>
      <c r="E444" s="8">
        <v>25865</v>
      </c>
      <c r="F444" s="8">
        <v>31000</v>
      </c>
      <c r="G444" s="8">
        <f t="shared" si="24"/>
        <v>5135</v>
      </c>
      <c r="H444" s="6">
        <v>60000</v>
      </c>
      <c r="I444" t="s">
        <v>41</v>
      </c>
      <c r="J444" t="s">
        <v>72</v>
      </c>
      <c r="K444" t="s">
        <v>36</v>
      </c>
      <c r="L444" t="s">
        <v>48</v>
      </c>
      <c r="M444" t="s">
        <v>98</v>
      </c>
      <c r="N444" s="6">
        <v>2</v>
      </c>
      <c r="O444" t="str">
        <f t="shared" si="25"/>
        <v>Normal</v>
      </c>
      <c r="P444" t="str">
        <f t="shared" si="26"/>
        <v>Duplicate ID</v>
      </c>
      <c r="Q444" t="str">
        <f t="shared" si="27"/>
        <v>25,000-30,000</v>
      </c>
      <c r="R444" s="6">
        <f>IF(COUNTIF($A$2:A444,A444)=1,1,0)</f>
        <v>1</v>
      </c>
    </row>
    <row r="445" spans="1:18" x14ac:dyDescent="0.25">
      <c r="A445" s="6">
        <v>1570</v>
      </c>
      <c r="B445" s="7">
        <v>44559</v>
      </c>
      <c r="C445" t="s">
        <v>79</v>
      </c>
      <c r="D445" s="6">
        <v>2021</v>
      </c>
      <c r="E445" s="8">
        <v>29731</v>
      </c>
      <c r="F445" s="8">
        <v>31000</v>
      </c>
      <c r="G445" s="8">
        <f t="shared" si="24"/>
        <v>1269</v>
      </c>
      <c r="H445" s="6">
        <v>15000</v>
      </c>
      <c r="I445" t="s">
        <v>58</v>
      </c>
      <c r="J445" t="s">
        <v>72</v>
      </c>
      <c r="K445" t="s">
        <v>96</v>
      </c>
      <c r="L445" t="s">
        <v>100</v>
      </c>
      <c r="M445" t="s">
        <v>45</v>
      </c>
      <c r="N445" s="6">
        <v>3</v>
      </c>
      <c r="O445" t="str">
        <f t="shared" si="25"/>
        <v>Normal</v>
      </c>
      <c r="P445" t="str">
        <f t="shared" si="26"/>
        <v>Duplicate ID</v>
      </c>
      <c r="Q445" t="str">
        <f t="shared" si="27"/>
        <v>25,000-30,000</v>
      </c>
      <c r="R445" s="6">
        <f>IF(COUNTIF($A$2:A445,A445)=1,1,0)</f>
        <v>0</v>
      </c>
    </row>
    <row r="446" spans="1:18" x14ac:dyDescent="0.25">
      <c r="A446" s="6">
        <v>1585</v>
      </c>
      <c r="B446" s="7">
        <v>45301</v>
      </c>
      <c r="C446" t="s">
        <v>1648</v>
      </c>
      <c r="D446" s="6">
        <v>2015</v>
      </c>
      <c r="E446" s="8">
        <v>25464</v>
      </c>
      <c r="F446" s="8">
        <v>31000</v>
      </c>
      <c r="G446" s="8">
        <f t="shared" si="24"/>
        <v>5536</v>
      </c>
      <c r="H446" s="6">
        <v>120000</v>
      </c>
      <c r="I446" t="s">
        <v>41</v>
      </c>
      <c r="J446" t="s">
        <v>72</v>
      </c>
      <c r="K446" t="s">
        <v>96</v>
      </c>
      <c r="L446" t="s">
        <v>48</v>
      </c>
      <c r="M446" t="s">
        <v>98</v>
      </c>
      <c r="N446" s="6" t="s">
        <v>1647</v>
      </c>
      <c r="O446" t="str">
        <f t="shared" si="25"/>
        <v>Normal</v>
      </c>
      <c r="P446" t="str">
        <f t="shared" si="26"/>
        <v>Duplicate ID</v>
      </c>
      <c r="Q446" t="str">
        <f t="shared" si="27"/>
        <v>25,000-30,000</v>
      </c>
      <c r="R446" s="6">
        <f>IF(COUNTIF($A$2:A446,A446)=1,1,0)</f>
        <v>0</v>
      </c>
    </row>
    <row r="447" spans="1:18" x14ac:dyDescent="0.25">
      <c r="A447" s="6">
        <v>1131</v>
      </c>
      <c r="B447" s="7">
        <v>44289</v>
      </c>
      <c r="C447" t="s">
        <v>79</v>
      </c>
      <c r="D447" s="6">
        <v>2018</v>
      </c>
      <c r="E447" s="8">
        <v>20770</v>
      </c>
      <c r="F447" s="8">
        <v>22000</v>
      </c>
      <c r="G447" s="8">
        <f t="shared" si="24"/>
        <v>1230</v>
      </c>
      <c r="H447" s="6">
        <v>15000</v>
      </c>
      <c r="I447" t="s">
        <v>41</v>
      </c>
      <c r="J447" t="s">
        <v>72</v>
      </c>
      <c r="K447" t="s">
        <v>96</v>
      </c>
      <c r="L447" t="s">
        <v>73</v>
      </c>
      <c r="M447" t="s">
        <v>98</v>
      </c>
      <c r="N447" s="6">
        <v>2</v>
      </c>
      <c r="O447" t="str">
        <f t="shared" si="25"/>
        <v>Normal</v>
      </c>
      <c r="P447" t="str">
        <f t="shared" si="26"/>
        <v>Duplicate ID</v>
      </c>
      <c r="Q447" t="str">
        <f t="shared" si="27"/>
        <v>20,000-24,999</v>
      </c>
      <c r="R447" s="6">
        <f>IF(COUNTIF($A$2:A447,A447)=1,1,0)</f>
        <v>0</v>
      </c>
    </row>
    <row r="448" spans="1:18" x14ac:dyDescent="0.25">
      <c r="A448" s="6">
        <v>1253</v>
      </c>
      <c r="B448" s="7">
        <v>44697</v>
      </c>
      <c r="C448" t="s">
        <v>79</v>
      </c>
      <c r="D448" s="6">
        <v>2020</v>
      </c>
      <c r="E448" s="8">
        <v>15584</v>
      </c>
      <c r="F448" s="8">
        <v>22000</v>
      </c>
      <c r="G448" s="8">
        <f t="shared" si="24"/>
        <v>6416</v>
      </c>
      <c r="H448" s="6">
        <v>15000</v>
      </c>
      <c r="I448" t="s">
        <v>41</v>
      </c>
      <c r="J448" t="s">
        <v>72</v>
      </c>
      <c r="K448" t="s">
        <v>36</v>
      </c>
      <c r="L448" t="s">
        <v>54</v>
      </c>
      <c r="M448" t="s">
        <v>90</v>
      </c>
      <c r="N448" s="6">
        <v>0</v>
      </c>
      <c r="O448" t="str">
        <f t="shared" si="25"/>
        <v>Normal</v>
      </c>
      <c r="P448" t="str">
        <f t="shared" si="26"/>
        <v>Duplicate ID</v>
      </c>
      <c r="Q448" t="str">
        <f t="shared" si="27"/>
        <v>15,000-19,999</v>
      </c>
      <c r="R448" s="6">
        <f>IF(COUNTIF($A$2:A448,A448)=1,1,0)</f>
        <v>1</v>
      </c>
    </row>
    <row r="449" spans="1:18" x14ac:dyDescent="0.25">
      <c r="A449" s="6">
        <v>1527</v>
      </c>
      <c r="B449" s="7">
        <v>45360</v>
      </c>
      <c r="C449" t="s">
        <v>51</v>
      </c>
      <c r="D449" s="6">
        <v>2014</v>
      </c>
      <c r="E449" s="8">
        <v>26540</v>
      </c>
      <c r="F449" s="8">
        <v>31000</v>
      </c>
      <c r="G449" s="8">
        <f t="shared" si="24"/>
        <v>4460</v>
      </c>
      <c r="H449" s="6">
        <v>120000</v>
      </c>
      <c r="I449" t="s">
        <v>41</v>
      </c>
      <c r="J449" t="s">
        <v>72</v>
      </c>
      <c r="K449" t="s">
        <v>96</v>
      </c>
      <c r="L449" t="s">
        <v>48</v>
      </c>
      <c r="M449" t="s">
        <v>45</v>
      </c>
      <c r="N449" s="6" t="s">
        <v>1647</v>
      </c>
      <c r="O449" t="str">
        <f t="shared" si="25"/>
        <v>Normal</v>
      </c>
      <c r="P449" t="str">
        <f t="shared" si="26"/>
        <v>Duplicate ID</v>
      </c>
      <c r="Q449" t="str">
        <f t="shared" si="27"/>
        <v>25,000-30,000</v>
      </c>
      <c r="R449" s="6">
        <f>IF(COUNTIF($A$2:A449,A449)=1,1,0)</f>
        <v>1</v>
      </c>
    </row>
    <row r="450" spans="1:18" x14ac:dyDescent="0.25">
      <c r="A450" s="6">
        <v>1344</v>
      </c>
      <c r="B450" s="7">
        <v>44618</v>
      </c>
      <c r="C450" t="s">
        <v>32</v>
      </c>
      <c r="D450" s="6">
        <v>2021</v>
      </c>
      <c r="E450" s="8">
        <v>2470</v>
      </c>
      <c r="F450" s="8">
        <v>9000</v>
      </c>
      <c r="G450" s="8">
        <f t="shared" ref="G450:G513" si="28">IF(OR(F450="",E450=""),"",F450-E450)</f>
        <v>6530</v>
      </c>
      <c r="H450" s="6">
        <v>120000</v>
      </c>
      <c r="I450" t="s">
        <v>58</v>
      </c>
      <c r="J450" t="s">
        <v>1647</v>
      </c>
      <c r="K450" t="s">
        <v>96</v>
      </c>
      <c r="L450" t="s">
        <v>54</v>
      </c>
      <c r="M450" t="s">
        <v>98</v>
      </c>
      <c r="N450" s="6">
        <v>1</v>
      </c>
      <c r="O450" t="str">
        <f t="shared" ref="O450:O513" si="29">IF(E450&lt;1000,"Outlier","Normal")</f>
        <v>Normal</v>
      </c>
      <c r="P450" t="str">
        <f t="shared" ref="P450:P513" si="30">IF(COUNTIF($A$2:$A$2501,A450)&gt;1,"Duplicate ID","Unique ID")</f>
        <v>Duplicate ID</v>
      </c>
      <c r="Q450" t="str">
        <f t="shared" ref="Q450:Q513" si="31">IF(E450&lt;5000,"0-4,999",IF(E450&lt;10000,"5,000-9,999",IF(E450&lt;15000,"10,000-14,999",IF(E450&lt;20000,"15,000-19,999",IF(E450&lt;25000,"20,000-24,999","25,000-30,000")))))</f>
        <v>0-4,999</v>
      </c>
      <c r="R450" s="6">
        <f>IF(COUNTIF($A$2:A450,A450)=1,1,0)</f>
        <v>1</v>
      </c>
    </row>
    <row r="451" spans="1:18" x14ac:dyDescent="0.25">
      <c r="A451" s="6">
        <v>1271</v>
      </c>
      <c r="B451" s="7">
        <v>44785</v>
      </c>
      <c r="C451" t="s">
        <v>1648</v>
      </c>
      <c r="D451" s="6">
        <v>2018</v>
      </c>
      <c r="E451" s="8">
        <v>6247</v>
      </c>
      <c r="F451" s="8">
        <v>9000</v>
      </c>
      <c r="G451" s="8">
        <f t="shared" si="28"/>
        <v>2753</v>
      </c>
      <c r="H451" s="6">
        <v>80000</v>
      </c>
      <c r="I451" t="s">
        <v>58</v>
      </c>
      <c r="J451" t="s">
        <v>1647</v>
      </c>
      <c r="K451" t="s">
        <v>36</v>
      </c>
      <c r="L451" t="s">
        <v>73</v>
      </c>
      <c r="M451" t="s">
        <v>45</v>
      </c>
      <c r="N451" s="6">
        <v>2</v>
      </c>
      <c r="O451" t="str">
        <f t="shared" si="29"/>
        <v>Normal</v>
      </c>
      <c r="P451" t="str">
        <f t="shared" si="30"/>
        <v>Duplicate ID</v>
      </c>
      <c r="Q451" t="str">
        <f t="shared" si="31"/>
        <v>5,000-9,999</v>
      </c>
      <c r="R451" s="6">
        <f>IF(COUNTIF($A$2:A451,A451)=1,1,0)</f>
        <v>1</v>
      </c>
    </row>
    <row r="452" spans="1:18" x14ac:dyDescent="0.25">
      <c r="A452" s="6">
        <v>1078</v>
      </c>
      <c r="B452" s="7">
        <v>44908</v>
      </c>
      <c r="C452" t="s">
        <v>40</v>
      </c>
      <c r="D452" s="6"/>
      <c r="E452" s="8">
        <v>28282</v>
      </c>
      <c r="F452" s="8">
        <v>31000</v>
      </c>
      <c r="G452" s="8">
        <f t="shared" si="28"/>
        <v>2718</v>
      </c>
      <c r="H452" s="6">
        <v>60000</v>
      </c>
      <c r="I452" t="s">
        <v>34</v>
      </c>
      <c r="J452" t="s">
        <v>1647</v>
      </c>
      <c r="K452" t="s">
        <v>96</v>
      </c>
      <c r="L452" t="s">
        <v>100</v>
      </c>
      <c r="M452" t="s">
        <v>98</v>
      </c>
      <c r="N452" s="6">
        <v>3</v>
      </c>
      <c r="O452" t="str">
        <f t="shared" si="29"/>
        <v>Normal</v>
      </c>
      <c r="P452" t="str">
        <f t="shared" si="30"/>
        <v>Duplicate ID</v>
      </c>
      <c r="Q452" t="str">
        <f t="shared" si="31"/>
        <v>25,000-30,000</v>
      </c>
      <c r="R452" s="6">
        <f>IF(COUNTIF($A$2:A452,A452)=1,1,0)</f>
        <v>1</v>
      </c>
    </row>
    <row r="453" spans="1:18" x14ac:dyDescent="0.25">
      <c r="A453" s="6">
        <v>1019</v>
      </c>
      <c r="B453" s="7">
        <v>44566</v>
      </c>
      <c r="C453" t="s">
        <v>119</v>
      </c>
      <c r="D453" s="6"/>
      <c r="E453" s="8">
        <v>25515</v>
      </c>
      <c r="F453" s="8">
        <v>31000</v>
      </c>
      <c r="G453" s="8">
        <f t="shared" si="28"/>
        <v>5485</v>
      </c>
      <c r="H453" s="6">
        <v>120000</v>
      </c>
      <c r="I453" t="s">
        <v>1647</v>
      </c>
      <c r="J453" t="s">
        <v>35</v>
      </c>
      <c r="K453" t="s">
        <v>96</v>
      </c>
      <c r="L453" t="s">
        <v>54</v>
      </c>
      <c r="M453" t="s">
        <v>1647</v>
      </c>
      <c r="N453" s="6" t="s">
        <v>1647</v>
      </c>
      <c r="O453" t="str">
        <f t="shared" si="29"/>
        <v>Normal</v>
      </c>
      <c r="P453" t="str">
        <f t="shared" si="30"/>
        <v>Duplicate ID</v>
      </c>
      <c r="Q453" t="str">
        <f t="shared" si="31"/>
        <v>25,000-30,000</v>
      </c>
      <c r="R453" s="6">
        <f>IF(COUNTIF($A$2:A453,A453)=1,1,0)</f>
        <v>0</v>
      </c>
    </row>
    <row r="454" spans="1:18" x14ac:dyDescent="0.25">
      <c r="A454" s="6">
        <v>1473</v>
      </c>
      <c r="B454" s="7">
        <v>44943</v>
      </c>
      <c r="C454" t="s">
        <v>1648</v>
      </c>
      <c r="D454" s="6"/>
      <c r="E454" s="8">
        <v>4357</v>
      </c>
      <c r="F454" s="8">
        <v>7000</v>
      </c>
      <c r="G454" s="8">
        <f t="shared" si="28"/>
        <v>2643</v>
      </c>
      <c r="H454" s="6">
        <v>80000</v>
      </c>
      <c r="I454" t="s">
        <v>69</v>
      </c>
      <c r="J454" t="s">
        <v>72</v>
      </c>
      <c r="K454" t="s">
        <v>96</v>
      </c>
      <c r="L454" t="s">
        <v>54</v>
      </c>
      <c r="M454" t="s">
        <v>126</v>
      </c>
      <c r="N454" s="6">
        <v>1</v>
      </c>
      <c r="O454" t="str">
        <f t="shared" si="29"/>
        <v>Normal</v>
      </c>
      <c r="P454" t="str">
        <f t="shared" si="30"/>
        <v>Duplicate ID</v>
      </c>
      <c r="Q454" t="str">
        <f t="shared" si="31"/>
        <v>0-4,999</v>
      </c>
      <c r="R454" s="6">
        <f>IF(COUNTIF($A$2:A454,A454)=1,1,0)</f>
        <v>1</v>
      </c>
    </row>
    <row r="455" spans="1:18" x14ac:dyDescent="0.25">
      <c r="A455" s="6">
        <v>1241</v>
      </c>
      <c r="B455" s="7">
        <v>44722</v>
      </c>
      <c r="C455" t="s">
        <v>1648</v>
      </c>
      <c r="D455" s="6">
        <v>2018</v>
      </c>
      <c r="E455" s="8">
        <v>15685</v>
      </c>
      <c r="F455" s="8">
        <v>18000</v>
      </c>
      <c r="G455" s="8">
        <f t="shared" si="28"/>
        <v>2315</v>
      </c>
      <c r="H455" s="6">
        <v>120000</v>
      </c>
      <c r="I455" t="s">
        <v>58</v>
      </c>
      <c r="J455" t="s">
        <v>72</v>
      </c>
      <c r="K455" t="s">
        <v>96</v>
      </c>
      <c r="L455" t="s">
        <v>48</v>
      </c>
      <c r="M455" t="s">
        <v>1647</v>
      </c>
      <c r="N455" s="6">
        <v>3</v>
      </c>
      <c r="O455" t="str">
        <f t="shared" si="29"/>
        <v>Normal</v>
      </c>
      <c r="P455" t="str">
        <f t="shared" si="30"/>
        <v>Duplicate ID</v>
      </c>
      <c r="Q455" t="str">
        <f t="shared" si="31"/>
        <v>15,000-19,999</v>
      </c>
      <c r="R455" s="6">
        <f>IF(COUNTIF($A$2:A455,A455)=1,1,0)</f>
        <v>0</v>
      </c>
    </row>
    <row r="456" spans="1:18" x14ac:dyDescent="0.25">
      <c r="A456" s="6">
        <v>1139</v>
      </c>
      <c r="B456" s="7">
        <v>44755</v>
      </c>
      <c r="C456" t="s">
        <v>1648</v>
      </c>
      <c r="D456" s="6">
        <v>2018</v>
      </c>
      <c r="E456" s="8">
        <v>4695</v>
      </c>
      <c r="F456" s="8">
        <v>7000</v>
      </c>
      <c r="G456" s="8">
        <f t="shared" si="28"/>
        <v>2305</v>
      </c>
      <c r="H456" s="6">
        <v>25000</v>
      </c>
      <c r="I456" t="s">
        <v>58</v>
      </c>
      <c r="J456" t="s">
        <v>35</v>
      </c>
      <c r="K456" t="s">
        <v>96</v>
      </c>
      <c r="L456" t="s">
        <v>73</v>
      </c>
      <c r="M456" t="s">
        <v>126</v>
      </c>
      <c r="N456" s="6">
        <v>0</v>
      </c>
      <c r="O456" t="str">
        <f t="shared" si="29"/>
        <v>Normal</v>
      </c>
      <c r="P456" t="str">
        <f t="shared" si="30"/>
        <v>Duplicate ID</v>
      </c>
      <c r="Q456" t="str">
        <f t="shared" si="31"/>
        <v>0-4,999</v>
      </c>
      <c r="R456" s="6">
        <f>IF(COUNTIF($A$2:A456,A456)=1,1,0)</f>
        <v>0</v>
      </c>
    </row>
    <row r="457" spans="1:18" x14ac:dyDescent="0.25">
      <c r="A457" s="6">
        <v>1092</v>
      </c>
      <c r="B457" s="7">
        <v>44941</v>
      </c>
      <c r="C457" t="s">
        <v>51</v>
      </c>
      <c r="D457" s="6"/>
      <c r="E457" s="8">
        <v>13666</v>
      </c>
      <c r="F457" s="8">
        <v>18000</v>
      </c>
      <c r="G457" s="8">
        <f t="shared" si="28"/>
        <v>4334</v>
      </c>
      <c r="H457" s="6">
        <v>15000</v>
      </c>
      <c r="I457" t="s">
        <v>58</v>
      </c>
      <c r="J457" t="s">
        <v>35</v>
      </c>
      <c r="K457" t="s">
        <v>1647</v>
      </c>
      <c r="L457" t="s">
        <v>1647</v>
      </c>
      <c r="M457" t="s">
        <v>126</v>
      </c>
      <c r="N457" s="6" t="s">
        <v>1647</v>
      </c>
      <c r="O457" t="str">
        <f t="shared" si="29"/>
        <v>Normal</v>
      </c>
      <c r="P457" t="str">
        <f t="shared" si="30"/>
        <v>Duplicate ID</v>
      </c>
      <c r="Q457" t="str">
        <f t="shared" si="31"/>
        <v>10,000-14,999</v>
      </c>
      <c r="R457" s="6">
        <f>IF(COUNTIF($A$2:A457,A457)=1,1,0)</f>
        <v>0</v>
      </c>
    </row>
    <row r="458" spans="1:18" x14ac:dyDescent="0.25">
      <c r="A458" s="6">
        <v>1320</v>
      </c>
      <c r="B458" s="7">
        <v>44447</v>
      </c>
      <c r="C458" t="s">
        <v>119</v>
      </c>
      <c r="D458" s="6">
        <v>2021</v>
      </c>
      <c r="E458" s="8">
        <v>3087</v>
      </c>
      <c r="F458" s="8">
        <v>9000</v>
      </c>
      <c r="G458" s="8">
        <f t="shared" si="28"/>
        <v>5913</v>
      </c>
      <c r="H458" s="6">
        <v>25000</v>
      </c>
      <c r="I458" t="s">
        <v>58</v>
      </c>
      <c r="J458" t="s">
        <v>72</v>
      </c>
      <c r="K458" t="s">
        <v>36</v>
      </c>
      <c r="L458" t="s">
        <v>100</v>
      </c>
      <c r="M458" t="s">
        <v>126</v>
      </c>
      <c r="N458" s="6">
        <v>1</v>
      </c>
      <c r="O458" t="str">
        <f t="shared" si="29"/>
        <v>Normal</v>
      </c>
      <c r="P458" t="str">
        <f t="shared" si="30"/>
        <v>Duplicate ID</v>
      </c>
      <c r="Q458" t="str">
        <f t="shared" si="31"/>
        <v>0-4,999</v>
      </c>
      <c r="R458" s="6">
        <f>IF(COUNTIF($A$2:A458,A458)=1,1,0)</f>
        <v>1</v>
      </c>
    </row>
    <row r="459" spans="1:18" x14ac:dyDescent="0.25">
      <c r="A459" s="6">
        <v>1502</v>
      </c>
      <c r="B459" s="7">
        <v>44311</v>
      </c>
      <c r="C459" t="s">
        <v>57</v>
      </c>
      <c r="D459" s="6">
        <v>2018</v>
      </c>
      <c r="E459" s="8">
        <v>27917</v>
      </c>
      <c r="F459" s="8">
        <v>31000</v>
      </c>
      <c r="G459" s="8">
        <f t="shared" si="28"/>
        <v>3083</v>
      </c>
      <c r="H459" s="6">
        <v>60000</v>
      </c>
      <c r="I459" t="s">
        <v>34</v>
      </c>
      <c r="J459" t="s">
        <v>72</v>
      </c>
      <c r="K459" t="s">
        <v>36</v>
      </c>
      <c r="L459" t="s">
        <v>54</v>
      </c>
      <c r="M459" t="s">
        <v>90</v>
      </c>
      <c r="N459" s="6">
        <v>2</v>
      </c>
      <c r="O459" t="str">
        <f t="shared" si="29"/>
        <v>Normal</v>
      </c>
      <c r="P459" t="str">
        <f t="shared" si="30"/>
        <v>Duplicate ID</v>
      </c>
      <c r="Q459" t="str">
        <f t="shared" si="31"/>
        <v>25,000-30,000</v>
      </c>
      <c r="R459" s="6">
        <f>IF(COUNTIF($A$2:A459,A459)=1,1,0)</f>
        <v>0</v>
      </c>
    </row>
    <row r="460" spans="1:18" x14ac:dyDescent="0.25">
      <c r="A460" s="6">
        <v>1055</v>
      </c>
      <c r="B460" s="7">
        <v>44268</v>
      </c>
      <c r="C460" t="s">
        <v>1648</v>
      </c>
      <c r="D460" s="6">
        <v>2019</v>
      </c>
      <c r="E460" s="8">
        <v>11713</v>
      </c>
      <c r="F460" s="8">
        <v>18000</v>
      </c>
      <c r="G460" s="8">
        <f t="shared" si="28"/>
        <v>6287</v>
      </c>
      <c r="H460" s="6">
        <v>15000</v>
      </c>
      <c r="I460" t="s">
        <v>34</v>
      </c>
      <c r="J460" t="s">
        <v>72</v>
      </c>
      <c r="K460" t="s">
        <v>96</v>
      </c>
      <c r="L460" t="s">
        <v>73</v>
      </c>
      <c r="M460" t="s">
        <v>1647</v>
      </c>
      <c r="N460" s="6">
        <v>1</v>
      </c>
      <c r="O460" t="str">
        <f t="shared" si="29"/>
        <v>Normal</v>
      </c>
      <c r="P460" t="str">
        <f t="shared" si="30"/>
        <v>Duplicate ID</v>
      </c>
      <c r="Q460" t="str">
        <f t="shared" si="31"/>
        <v>10,000-14,999</v>
      </c>
      <c r="R460" s="6">
        <f>IF(COUNTIF($A$2:A460,A460)=1,1,0)</f>
        <v>0</v>
      </c>
    </row>
    <row r="461" spans="1:18" x14ac:dyDescent="0.25">
      <c r="A461" s="6">
        <v>1092</v>
      </c>
      <c r="B461" s="7">
        <v>44813</v>
      </c>
      <c r="C461" t="s">
        <v>1648</v>
      </c>
      <c r="D461" s="6">
        <v>2020</v>
      </c>
      <c r="E461" s="8">
        <v>3907</v>
      </c>
      <c r="F461" s="8">
        <v>7000</v>
      </c>
      <c r="G461" s="8">
        <f t="shared" si="28"/>
        <v>3093</v>
      </c>
      <c r="H461" s="6">
        <v>60000</v>
      </c>
      <c r="I461" t="s">
        <v>58</v>
      </c>
      <c r="J461" t="s">
        <v>72</v>
      </c>
      <c r="K461" t="s">
        <v>96</v>
      </c>
      <c r="L461" t="s">
        <v>48</v>
      </c>
      <c r="M461" t="s">
        <v>126</v>
      </c>
      <c r="N461" s="6">
        <v>2</v>
      </c>
      <c r="O461" t="str">
        <f t="shared" si="29"/>
        <v>Normal</v>
      </c>
      <c r="P461" t="str">
        <f t="shared" si="30"/>
        <v>Duplicate ID</v>
      </c>
      <c r="Q461" t="str">
        <f t="shared" si="31"/>
        <v>0-4,999</v>
      </c>
      <c r="R461" s="6">
        <f>IF(COUNTIF($A$2:A461,A461)=1,1,0)</f>
        <v>0</v>
      </c>
    </row>
    <row r="462" spans="1:18" x14ac:dyDescent="0.25">
      <c r="A462" s="6">
        <v>1432</v>
      </c>
      <c r="B462" s="7">
        <v>44878</v>
      </c>
      <c r="C462" t="s">
        <v>40</v>
      </c>
      <c r="D462" s="6">
        <v>2021</v>
      </c>
      <c r="E462" s="8">
        <v>26618</v>
      </c>
      <c r="F462" s="8">
        <v>31000</v>
      </c>
      <c r="G462" s="8">
        <f t="shared" si="28"/>
        <v>4382</v>
      </c>
      <c r="H462" s="6">
        <v>120000</v>
      </c>
      <c r="I462" t="s">
        <v>69</v>
      </c>
      <c r="J462" t="s">
        <v>1647</v>
      </c>
      <c r="K462" t="s">
        <v>36</v>
      </c>
      <c r="L462" t="s">
        <v>54</v>
      </c>
      <c r="M462" t="s">
        <v>98</v>
      </c>
      <c r="N462" s="6" t="s">
        <v>1647</v>
      </c>
      <c r="O462" t="str">
        <f t="shared" si="29"/>
        <v>Normal</v>
      </c>
      <c r="P462" t="str">
        <f t="shared" si="30"/>
        <v>Duplicate ID</v>
      </c>
      <c r="Q462" t="str">
        <f t="shared" si="31"/>
        <v>25,000-30,000</v>
      </c>
      <c r="R462" s="6">
        <f>IF(COUNTIF($A$2:A462,A462)=1,1,0)</f>
        <v>0</v>
      </c>
    </row>
    <row r="463" spans="1:18" x14ac:dyDescent="0.25">
      <c r="A463" s="6">
        <v>1454</v>
      </c>
      <c r="B463" s="7">
        <v>44573</v>
      </c>
      <c r="C463" t="s">
        <v>51</v>
      </c>
      <c r="D463" s="6">
        <v>2021</v>
      </c>
      <c r="E463" s="8">
        <v>746</v>
      </c>
      <c r="F463" s="8">
        <v>7000</v>
      </c>
      <c r="G463" s="8">
        <f t="shared" si="28"/>
        <v>6254</v>
      </c>
      <c r="H463" s="6">
        <v>15000</v>
      </c>
      <c r="I463" t="s">
        <v>69</v>
      </c>
      <c r="J463" t="s">
        <v>72</v>
      </c>
      <c r="K463" t="s">
        <v>1647</v>
      </c>
      <c r="L463" t="s">
        <v>73</v>
      </c>
      <c r="M463" t="s">
        <v>126</v>
      </c>
      <c r="N463" s="6">
        <v>1</v>
      </c>
      <c r="O463" t="str">
        <f t="shared" si="29"/>
        <v>Outlier</v>
      </c>
      <c r="P463" t="str">
        <f t="shared" si="30"/>
        <v>Duplicate ID</v>
      </c>
      <c r="Q463" t="str">
        <f t="shared" si="31"/>
        <v>0-4,999</v>
      </c>
      <c r="R463" s="6">
        <f>IF(COUNTIF($A$2:A463,A463)=1,1,0)</f>
        <v>0</v>
      </c>
    </row>
    <row r="464" spans="1:18" x14ac:dyDescent="0.25">
      <c r="A464" s="6">
        <v>1327</v>
      </c>
      <c r="B464" s="7">
        <v>45037</v>
      </c>
      <c r="C464" t="s">
        <v>119</v>
      </c>
      <c r="D464" s="6">
        <v>2022</v>
      </c>
      <c r="E464" s="8">
        <v>5383</v>
      </c>
      <c r="F464" s="8">
        <v>12000</v>
      </c>
      <c r="G464" s="8">
        <f t="shared" si="28"/>
        <v>6617</v>
      </c>
      <c r="H464" s="6">
        <v>80000</v>
      </c>
      <c r="I464" t="s">
        <v>58</v>
      </c>
      <c r="J464" t="s">
        <v>1647</v>
      </c>
      <c r="K464" t="s">
        <v>96</v>
      </c>
      <c r="L464" t="s">
        <v>54</v>
      </c>
      <c r="M464" t="s">
        <v>90</v>
      </c>
      <c r="N464" s="6">
        <v>0</v>
      </c>
      <c r="O464" t="str">
        <f t="shared" si="29"/>
        <v>Normal</v>
      </c>
      <c r="P464" t="str">
        <f t="shared" si="30"/>
        <v>Duplicate ID</v>
      </c>
      <c r="Q464" t="str">
        <f t="shared" si="31"/>
        <v>5,000-9,999</v>
      </c>
      <c r="R464" s="6">
        <f>IF(COUNTIF($A$2:A464,A464)=1,1,0)</f>
        <v>1</v>
      </c>
    </row>
    <row r="465" spans="1:18" x14ac:dyDescent="0.25">
      <c r="A465" s="6">
        <v>1229</v>
      </c>
      <c r="B465" s="7">
        <v>45365</v>
      </c>
      <c r="C465" t="s">
        <v>1648</v>
      </c>
      <c r="D465" s="6">
        <v>2019</v>
      </c>
      <c r="E465" s="8">
        <v>7909</v>
      </c>
      <c r="F465" s="8">
        <v>12000</v>
      </c>
      <c r="G465" s="8">
        <f t="shared" si="28"/>
        <v>4091</v>
      </c>
      <c r="H465" s="6">
        <v>60000</v>
      </c>
      <c r="I465" t="s">
        <v>58</v>
      </c>
      <c r="J465" t="s">
        <v>35</v>
      </c>
      <c r="K465" t="s">
        <v>96</v>
      </c>
      <c r="L465" t="s">
        <v>100</v>
      </c>
      <c r="M465" t="s">
        <v>45</v>
      </c>
      <c r="N465" s="6">
        <v>1</v>
      </c>
      <c r="O465" t="str">
        <f t="shared" si="29"/>
        <v>Normal</v>
      </c>
      <c r="P465" t="str">
        <f t="shared" si="30"/>
        <v>Duplicate ID</v>
      </c>
      <c r="Q465" t="str">
        <f t="shared" si="31"/>
        <v>5,000-9,999</v>
      </c>
      <c r="R465" s="6">
        <f>IF(COUNTIF($A$2:A465,A465)=1,1,0)</f>
        <v>1</v>
      </c>
    </row>
    <row r="466" spans="1:18" x14ac:dyDescent="0.25">
      <c r="A466" s="6">
        <v>1091</v>
      </c>
      <c r="B466" s="7">
        <v>44502</v>
      </c>
      <c r="C466" t="s">
        <v>40</v>
      </c>
      <c r="D466" s="6">
        <v>2020</v>
      </c>
      <c r="E466" s="8">
        <v>22869</v>
      </c>
      <c r="F466" s="8">
        <v>26000</v>
      </c>
      <c r="G466" s="8">
        <f t="shared" si="28"/>
        <v>3131</v>
      </c>
      <c r="H466" s="6">
        <v>80000</v>
      </c>
      <c r="I466" t="s">
        <v>41</v>
      </c>
      <c r="J466" t="s">
        <v>1647</v>
      </c>
      <c r="K466" t="s">
        <v>96</v>
      </c>
      <c r="L466" t="s">
        <v>48</v>
      </c>
      <c r="M466" t="s">
        <v>98</v>
      </c>
      <c r="N466" s="6">
        <v>0</v>
      </c>
      <c r="O466" t="str">
        <f t="shared" si="29"/>
        <v>Normal</v>
      </c>
      <c r="P466" t="str">
        <f t="shared" si="30"/>
        <v>Duplicate ID</v>
      </c>
      <c r="Q466" t="str">
        <f t="shared" si="31"/>
        <v>20,000-24,999</v>
      </c>
      <c r="R466" s="6">
        <f>IF(COUNTIF($A$2:A466,A466)=1,1,0)</f>
        <v>1</v>
      </c>
    </row>
    <row r="467" spans="1:18" x14ac:dyDescent="0.25">
      <c r="A467" s="6">
        <v>1391</v>
      </c>
      <c r="B467" s="7">
        <v>45209</v>
      </c>
      <c r="C467" t="s">
        <v>119</v>
      </c>
      <c r="D467" s="6">
        <v>2017</v>
      </c>
      <c r="E467" s="8">
        <v>11642</v>
      </c>
      <c r="F467" s="8">
        <v>15000</v>
      </c>
      <c r="G467" s="8">
        <f t="shared" si="28"/>
        <v>3358</v>
      </c>
      <c r="H467" s="6">
        <v>40000</v>
      </c>
      <c r="I467" t="s">
        <v>69</v>
      </c>
      <c r="J467" t="s">
        <v>35</v>
      </c>
      <c r="K467" t="s">
        <v>96</v>
      </c>
      <c r="L467" t="s">
        <v>100</v>
      </c>
      <c r="M467" t="s">
        <v>98</v>
      </c>
      <c r="N467" s="6">
        <v>1</v>
      </c>
      <c r="O467" t="str">
        <f t="shared" si="29"/>
        <v>Normal</v>
      </c>
      <c r="P467" t="str">
        <f t="shared" si="30"/>
        <v>Duplicate ID</v>
      </c>
      <c r="Q467" t="str">
        <f t="shared" si="31"/>
        <v>10,000-14,999</v>
      </c>
      <c r="R467" s="6">
        <f>IF(COUNTIF($A$2:A467,A467)=1,1,0)</f>
        <v>0</v>
      </c>
    </row>
    <row r="468" spans="1:18" x14ac:dyDescent="0.25">
      <c r="A468" s="6">
        <v>1254</v>
      </c>
      <c r="B468" s="7">
        <v>45120</v>
      </c>
      <c r="C468" t="s">
        <v>40</v>
      </c>
      <c r="D468" s="6">
        <v>2018</v>
      </c>
      <c r="E468" s="8">
        <v>11940</v>
      </c>
      <c r="F468" s="8">
        <v>18000</v>
      </c>
      <c r="G468" s="8">
        <f t="shared" si="28"/>
        <v>6060</v>
      </c>
      <c r="H468" s="6">
        <v>25000</v>
      </c>
      <c r="I468" t="s">
        <v>41</v>
      </c>
      <c r="J468" t="s">
        <v>72</v>
      </c>
      <c r="K468" t="s">
        <v>36</v>
      </c>
      <c r="L468" t="s">
        <v>54</v>
      </c>
      <c r="M468" t="s">
        <v>98</v>
      </c>
      <c r="N468" s="6">
        <v>1</v>
      </c>
      <c r="O468" t="str">
        <f t="shared" si="29"/>
        <v>Normal</v>
      </c>
      <c r="P468" t="str">
        <f t="shared" si="30"/>
        <v>Duplicate ID</v>
      </c>
      <c r="Q468" t="str">
        <f t="shared" si="31"/>
        <v>10,000-14,999</v>
      </c>
      <c r="R468" s="6">
        <f>IF(COUNTIF($A$2:A468,A468)=1,1,0)</f>
        <v>0</v>
      </c>
    </row>
    <row r="469" spans="1:18" x14ac:dyDescent="0.25">
      <c r="A469" s="6">
        <v>1060</v>
      </c>
      <c r="B469" s="7">
        <v>45337</v>
      </c>
      <c r="C469" t="s">
        <v>79</v>
      </c>
      <c r="D469" s="6">
        <v>2020</v>
      </c>
      <c r="E469" s="8">
        <v>16220</v>
      </c>
      <c r="F469" s="8">
        <v>18000</v>
      </c>
      <c r="G469" s="8">
        <f t="shared" si="28"/>
        <v>1780</v>
      </c>
      <c r="H469" s="6">
        <v>15000</v>
      </c>
      <c r="I469" t="s">
        <v>69</v>
      </c>
      <c r="J469" t="s">
        <v>1647</v>
      </c>
      <c r="K469" t="s">
        <v>1647</v>
      </c>
      <c r="L469" t="s">
        <v>73</v>
      </c>
      <c r="M469" t="s">
        <v>126</v>
      </c>
      <c r="N469" s="6">
        <v>2</v>
      </c>
      <c r="O469" t="str">
        <f t="shared" si="29"/>
        <v>Normal</v>
      </c>
      <c r="P469" t="str">
        <f t="shared" si="30"/>
        <v>Duplicate ID</v>
      </c>
      <c r="Q469" t="str">
        <f t="shared" si="31"/>
        <v>15,000-19,999</v>
      </c>
      <c r="R469" s="6">
        <f>IF(COUNTIF($A$2:A469,A469)=1,1,0)</f>
        <v>0</v>
      </c>
    </row>
    <row r="470" spans="1:18" x14ac:dyDescent="0.25">
      <c r="A470" s="6">
        <v>1572</v>
      </c>
      <c r="B470" s="7">
        <v>44467</v>
      </c>
      <c r="C470" t="s">
        <v>79</v>
      </c>
      <c r="D470" s="6">
        <v>2018</v>
      </c>
      <c r="E470" s="8">
        <v>21962</v>
      </c>
      <c r="F470" s="8">
        <v>26000</v>
      </c>
      <c r="G470" s="8">
        <f t="shared" si="28"/>
        <v>4038</v>
      </c>
      <c r="H470" s="6">
        <v>120000</v>
      </c>
      <c r="I470" t="s">
        <v>1647</v>
      </c>
      <c r="J470" t="s">
        <v>72</v>
      </c>
      <c r="K470" t="s">
        <v>96</v>
      </c>
      <c r="L470" t="s">
        <v>100</v>
      </c>
      <c r="M470" t="s">
        <v>126</v>
      </c>
      <c r="N470" s="6">
        <v>2</v>
      </c>
      <c r="O470" t="str">
        <f t="shared" si="29"/>
        <v>Normal</v>
      </c>
      <c r="P470" t="str">
        <f t="shared" si="30"/>
        <v>Duplicate ID</v>
      </c>
      <c r="Q470" t="str">
        <f t="shared" si="31"/>
        <v>20,000-24,999</v>
      </c>
      <c r="R470" s="6">
        <f>IF(COUNTIF($A$2:A470,A470)=1,1,0)</f>
        <v>0</v>
      </c>
    </row>
    <row r="471" spans="1:18" x14ac:dyDescent="0.25">
      <c r="A471" s="6">
        <v>1130</v>
      </c>
      <c r="B471" s="7">
        <v>44287</v>
      </c>
      <c r="C471" t="s">
        <v>1648</v>
      </c>
      <c r="D471" s="6">
        <v>2016</v>
      </c>
      <c r="E471" s="8">
        <v>14434</v>
      </c>
      <c r="F471" s="8">
        <v>18000</v>
      </c>
      <c r="G471" s="8">
        <f t="shared" si="28"/>
        <v>3566</v>
      </c>
      <c r="H471" s="6">
        <v>15000</v>
      </c>
      <c r="I471" t="s">
        <v>69</v>
      </c>
      <c r="J471" t="s">
        <v>72</v>
      </c>
      <c r="K471" t="s">
        <v>96</v>
      </c>
      <c r="L471" t="s">
        <v>54</v>
      </c>
      <c r="M471" t="s">
        <v>45</v>
      </c>
      <c r="N471" s="6" t="s">
        <v>1647</v>
      </c>
      <c r="O471" t="str">
        <f t="shared" si="29"/>
        <v>Normal</v>
      </c>
      <c r="P471" t="str">
        <f t="shared" si="30"/>
        <v>Duplicate ID</v>
      </c>
      <c r="Q471" t="str">
        <f t="shared" si="31"/>
        <v>10,000-14,999</v>
      </c>
      <c r="R471" s="6">
        <f>IF(COUNTIF($A$2:A471,A471)=1,1,0)</f>
        <v>0</v>
      </c>
    </row>
    <row r="472" spans="1:18" x14ac:dyDescent="0.25">
      <c r="A472" s="6">
        <v>1569</v>
      </c>
      <c r="B472" s="7">
        <v>44506</v>
      </c>
      <c r="C472" t="s">
        <v>51</v>
      </c>
      <c r="D472" s="6">
        <v>2020</v>
      </c>
      <c r="E472" s="8">
        <v>6976</v>
      </c>
      <c r="F472" s="8">
        <v>12000</v>
      </c>
      <c r="G472" s="8">
        <f t="shared" si="28"/>
        <v>5024</v>
      </c>
      <c r="H472" s="6">
        <v>40000</v>
      </c>
      <c r="I472" t="s">
        <v>41</v>
      </c>
      <c r="J472" t="s">
        <v>35</v>
      </c>
      <c r="K472" t="s">
        <v>36</v>
      </c>
      <c r="L472" t="s">
        <v>73</v>
      </c>
      <c r="M472" t="s">
        <v>90</v>
      </c>
      <c r="N472" s="6">
        <v>1</v>
      </c>
      <c r="O472" t="str">
        <f t="shared" si="29"/>
        <v>Normal</v>
      </c>
      <c r="P472" t="str">
        <f t="shared" si="30"/>
        <v>Duplicate ID</v>
      </c>
      <c r="Q472" t="str">
        <f t="shared" si="31"/>
        <v>5,000-9,999</v>
      </c>
      <c r="R472" s="6">
        <f>IF(COUNTIF($A$2:A472,A472)=1,1,0)</f>
        <v>0</v>
      </c>
    </row>
    <row r="473" spans="1:18" x14ac:dyDescent="0.25">
      <c r="A473" s="6">
        <v>1446</v>
      </c>
      <c r="B473" s="7">
        <v>45153</v>
      </c>
      <c r="C473" t="s">
        <v>40</v>
      </c>
      <c r="D473" s="6">
        <v>2021</v>
      </c>
      <c r="E473" s="8">
        <v>11217</v>
      </c>
      <c r="F473" s="8">
        <v>18000</v>
      </c>
      <c r="G473" s="8">
        <f t="shared" si="28"/>
        <v>6783</v>
      </c>
      <c r="H473" s="6">
        <v>25000</v>
      </c>
      <c r="I473" t="s">
        <v>1647</v>
      </c>
      <c r="J473" t="s">
        <v>72</v>
      </c>
      <c r="K473" t="s">
        <v>1647</v>
      </c>
      <c r="L473" t="s">
        <v>48</v>
      </c>
      <c r="M473" t="s">
        <v>98</v>
      </c>
      <c r="N473" s="6">
        <v>3</v>
      </c>
      <c r="O473" t="str">
        <f t="shared" si="29"/>
        <v>Normal</v>
      </c>
      <c r="P473" t="str">
        <f t="shared" si="30"/>
        <v>Duplicate ID</v>
      </c>
      <c r="Q473" t="str">
        <f t="shared" si="31"/>
        <v>10,000-14,999</v>
      </c>
      <c r="R473" s="6">
        <f>IF(COUNTIF($A$2:A473,A473)=1,1,0)</f>
        <v>1</v>
      </c>
    </row>
    <row r="474" spans="1:18" x14ac:dyDescent="0.25">
      <c r="A474" s="6">
        <v>1290</v>
      </c>
      <c r="B474" s="7">
        <v>44614</v>
      </c>
      <c r="C474" t="s">
        <v>32</v>
      </c>
      <c r="D474" s="6">
        <v>2016</v>
      </c>
      <c r="E474" s="8">
        <v>7234</v>
      </c>
      <c r="F474" s="8">
        <v>9000</v>
      </c>
      <c r="G474" s="8">
        <f t="shared" si="28"/>
        <v>1766</v>
      </c>
      <c r="H474" s="6">
        <v>40000</v>
      </c>
      <c r="I474" t="s">
        <v>69</v>
      </c>
      <c r="J474" t="s">
        <v>1647</v>
      </c>
      <c r="K474" t="s">
        <v>1647</v>
      </c>
      <c r="L474" t="s">
        <v>100</v>
      </c>
      <c r="M474" t="s">
        <v>126</v>
      </c>
      <c r="N474" s="6" t="s">
        <v>1647</v>
      </c>
      <c r="O474" t="str">
        <f t="shared" si="29"/>
        <v>Normal</v>
      </c>
      <c r="P474" t="str">
        <f t="shared" si="30"/>
        <v>Duplicate ID</v>
      </c>
      <c r="Q474" t="str">
        <f t="shared" si="31"/>
        <v>5,000-9,999</v>
      </c>
      <c r="R474" s="6">
        <f>IF(COUNTIF($A$2:A474,A474)=1,1,0)</f>
        <v>0</v>
      </c>
    </row>
    <row r="475" spans="1:18" x14ac:dyDescent="0.25">
      <c r="A475" s="6">
        <v>1336</v>
      </c>
      <c r="B475" s="7">
        <v>44390</v>
      </c>
      <c r="C475" t="s">
        <v>57</v>
      </c>
      <c r="D475" s="6">
        <v>2020</v>
      </c>
      <c r="E475" s="8">
        <v>3920</v>
      </c>
      <c r="F475" s="8">
        <v>9000</v>
      </c>
      <c r="G475" s="8">
        <f t="shared" si="28"/>
        <v>5080</v>
      </c>
      <c r="H475" s="6">
        <v>25000</v>
      </c>
      <c r="I475" t="s">
        <v>34</v>
      </c>
      <c r="J475" t="s">
        <v>72</v>
      </c>
      <c r="K475" t="s">
        <v>1647</v>
      </c>
      <c r="L475" t="s">
        <v>73</v>
      </c>
      <c r="M475" t="s">
        <v>45</v>
      </c>
      <c r="N475" s="6">
        <v>1</v>
      </c>
      <c r="O475" t="str">
        <f t="shared" si="29"/>
        <v>Normal</v>
      </c>
      <c r="P475" t="str">
        <f t="shared" si="30"/>
        <v>Duplicate ID</v>
      </c>
      <c r="Q475" t="str">
        <f t="shared" si="31"/>
        <v>0-4,999</v>
      </c>
      <c r="R475" s="6">
        <f>IF(COUNTIF($A$2:A475,A475)=1,1,0)</f>
        <v>0</v>
      </c>
    </row>
    <row r="476" spans="1:18" x14ac:dyDescent="0.25">
      <c r="A476" s="6">
        <v>1464</v>
      </c>
      <c r="B476" s="7">
        <v>45179</v>
      </c>
      <c r="C476" t="s">
        <v>40</v>
      </c>
      <c r="D476" s="6">
        <v>2015</v>
      </c>
      <c r="E476" s="8">
        <v>24598</v>
      </c>
      <c r="F476" s="8">
        <v>31000</v>
      </c>
      <c r="G476" s="8">
        <f t="shared" si="28"/>
        <v>6402</v>
      </c>
      <c r="H476" s="6">
        <v>120000</v>
      </c>
      <c r="I476" t="s">
        <v>69</v>
      </c>
      <c r="J476" t="s">
        <v>35</v>
      </c>
      <c r="K476" t="s">
        <v>1647</v>
      </c>
      <c r="L476" t="s">
        <v>48</v>
      </c>
      <c r="M476" t="s">
        <v>45</v>
      </c>
      <c r="N476" s="6" t="s">
        <v>1647</v>
      </c>
      <c r="O476" t="str">
        <f t="shared" si="29"/>
        <v>Normal</v>
      </c>
      <c r="P476" t="str">
        <f t="shared" si="30"/>
        <v>Duplicate ID</v>
      </c>
      <c r="Q476" t="str">
        <f t="shared" si="31"/>
        <v>20,000-24,999</v>
      </c>
      <c r="R476" s="6">
        <f>IF(COUNTIF($A$2:A476,A476)=1,1,0)</f>
        <v>0</v>
      </c>
    </row>
    <row r="477" spans="1:18" x14ac:dyDescent="0.25">
      <c r="A477" s="6">
        <v>1056</v>
      </c>
      <c r="B477" s="7">
        <v>44858</v>
      </c>
      <c r="C477" t="s">
        <v>32</v>
      </c>
      <c r="D477" s="6">
        <v>2017</v>
      </c>
      <c r="E477" s="8">
        <v>3683</v>
      </c>
      <c r="F477" s="8">
        <v>7000</v>
      </c>
      <c r="G477" s="8">
        <f t="shared" si="28"/>
        <v>3317</v>
      </c>
      <c r="H477" s="6">
        <v>120000</v>
      </c>
      <c r="I477" t="s">
        <v>41</v>
      </c>
      <c r="J477" t="s">
        <v>72</v>
      </c>
      <c r="K477" t="s">
        <v>96</v>
      </c>
      <c r="L477" t="s">
        <v>100</v>
      </c>
      <c r="M477" t="s">
        <v>90</v>
      </c>
      <c r="N477" s="6">
        <v>3</v>
      </c>
      <c r="O477" t="str">
        <f t="shared" si="29"/>
        <v>Normal</v>
      </c>
      <c r="P477" t="str">
        <f t="shared" si="30"/>
        <v>Duplicate ID</v>
      </c>
      <c r="Q477" t="str">
        <f t="shared" si="31"/>
        <v>0-4,999</v>
      </c>
      <c r="R477" s="6">
        <f>IF(COUNTIF($A$2:A477,A477)=1,1,0)</f>
        <v>0</v>
      </c>
    </row>
    <row r="478" spans="1:18" x14ac:dyDescent="0.25">
      <c r="A478" s="6">
        <v>1291</v>
      </c>
      <c r="B478" s="7">
        <v>45021</v>
      </c>
      <c r="C478" t="s">
        <v>40</v>
      </c>
      <c r="D478" s="6">
        <v>2014</v>
      </c>
      <c r="E478" s="8">
        <v>10818</v>
      </c>
      <c r="F478" s="8">
        <v>15000</v>
      </c>
      <c r="G478" s="8">
        <f t="shared" si="28"/>
        <v>4182</v>
      </c>
      <c r="H478" s="6">
        <v>25000</v>
      </c>
      <c r="I478" t="s">
        <v>69</v>
      </c>
      <c r="J478" t="s">
        <v>72</v>
      </c>
      <c r="K478" t="s">
        <v>96</v>
      </c>
      <c r="L478" t="s">
        <v>54</v>
      </c>
      <c r="M478" t="s">
        <v>90</v>
      </c>
      <c r="N478" s="6">
        <v>2</v>
      </c>
      <c r="O478" t="str">
        <f t="shared" si="29"/>
        <v>Normal</v>
      </c>
      <c r="P478" t="str">
        <f t="shared" si="30"/>
        <v>Duplicate ID</v>
      </c>
      <c r="Q478" t="str">
        <f t="shared" si="31"/>
        <v>10,000-14,999</v>
      </c>
      <c r="R478" s="6">
        <f>IF(COUNTIF($A$2:A478,A478)=1,1,0)</f>
        <v>0</v>
      </c>
    </row>
    <row r="479" spans="1:18" x14ac:dyDescent="0.25">
      <c r="A479" s="6">
        <v>1487</v>
      </c>
      <c r="B479" s="7">
        <v>44991</v>
      </c>
      <c r="C479" t="s">
        <v>32</v>
      </c>
      <c r="D479" s="6">
        <v>2019</v>
      </c>
      <c r="E479" s="8">
        <v>10351</v>
      </c>
      <c r="F479" s="8">
        <v>15000</v>
      </c>
      <c r="G479" s="8">
        <f t="shared" si="28"/>
        <v>4649</v>
      </c>
      <c r="H479" s="6">
        <v>60000</v>
      </c>
      <c r="I479" t="s">
        <v>34</v>
      </c>
      <c r="J479" t="s">
        <v>72</v>
      </c>
      <c r="K479" t="s">
        <v>1647</v>
      </c>
      <c r="L479" t="s">
        <v>100</v>
      </c>
      <c r="M479" t="s">
        <v>98</v>
      </c>
      <c r="N479" s="6">
        <v>3</v>
      </c>
      <c r="O479" t="str">
        <f t="shared" si="29"/>
        <v>Normal</v>
      </c>
      <c r="P479" t="str">
        <f t="shared" si="30"/>
        <v>Unique ID</v>
      </c>
      <c r="Q479" t="str">
        <f t="shared" si="31"/>
        <v>10,000-14,999</v>
      </c>
      <c r="R479" s="6">
        <f>IF(COUNTIF($A$2:A479,A479)=1,1,0)</f>
        <v>1</v>
      </c>
    </row>
    <row r="480" spans="1:18" x14ac:dyDescent="0.25">
      <c r="A480" s="6">
        <v>1158</v>
      </c>
      <c r="B480" s="7">
        <v>44656</v>
      </c>
      <c r="C480" t="s">
        <v>40</v>
      </c>
      <c r="D480" s="6">
        <v>2014</v>
      </c>
      <c r="E480" s="8">
        <v>15459</v>
      </c>
      <c r="F480" s="8">
        <v>22000</v>
      </c>
      <c r="G480" s="8">
        <f t="shared" si="28"/>
        <v>6541</v>
      </c>
      <c r="H480" s="6">
        <v>60000</v>
      </c>
      <c r="I480" t="s">
        <v>41</v>
      </c>
      <c r="J480" t="s">
        <v>72</v>
      </c>
      <c r="K480" t="s">
        <v>96</v>
      </c>
      <c r="L480" t="s">
        <v>48</v>
      </c>
      <c r="M480" t="s">
        <v>126</v>
      </c>
      <c r="N480" s="6">
        <v>3</v>
      </c>
      <c r="O480" t="str">
        <f t="shared" si="29"/>
        <v>Normal</v>
      </c>
      <c r="P480" t="str">
        <f t="shared" si="30"/>
        <v>Duplicate ID</v>
      </c>
      <c r="Q480" t="str">
        <f t="shared" si="31"/>
        <v>15,000-19,999</v>
      </c>
      <c r="R480" s="6">
        <f>IF(COUNTIF($A$2:A480,A480)=1,1,0)</f>
        <v>1</v>
      </c>
    </row>
    <row r="481" spans="1:18" x14ac:dyDescent="0.25">
      <c r="A481" s="6">
        <v>1535</v>
      </c>
      <c r="B481" s="7">
        <v>44706</v>
      </c>
      <c r="C481" t="s">
        <v>51</v>
      </c>
      <c r="D481" s="6">
        <v>2016</v>
      </c>
      <c r="E481" s="8">
        <v>8540</v>
      </c>
      <c r="F481" s="8">
        <v>12000</v>
      </c>
      <c r="G481" s="8">
        <f t="shared" si="28"/>
        <v>3460</v>
      </c>
      <c r="H481" s="6">
        <v>120000</v>
      </c>
      <c r="I481" t="s">
        <v>41</v>
      </c>
      <c r="J481" t="s">
        <v>1647</v>
      </c>
      <c r="K481" t="s">
        <v>36</v>
      </c>
      <c r="L481" t="s">
        <v>1647</v>
      </c>
      <c r="M481" t="s">
        <v>98</v>
      </c>
      <c r="N481" s="6">
        <v>3</v>
      </c>
      <c r="O481" t="str">
        <f t="shared" si="29"/>
        <v>Normal</v>
      </c>
      <c r="P481" t="str">
        <f t="shared" si="30"/>
        <v>Duplicate ID</v>
      </c>
      <c r="Q481" t="str">
        <f t="shared" si="31"/>
        <v>5,000-9,999</v>
      </c>
      <c r="R481" s="6">
        <f>IF(COUNTIF($A$2:A481,A481)=1,1,0)</f>
        <v>1</v>
      </c>
    </row>
    <row r="482" spans="1:18" x14ac:dyDescent="0.25">
      <c r="A482" s="6">
        <v>1083</v>
      </c>
      <c r="B482" s="7">
        <v>45396</v>
      </c>
      <c r="C482" t="s">
        <v>32</v>
      </c>
      <c r="D482" s="6">
        <v>2021</v>
      </c>
      <c r="E482" s="8">
        <v>14913</v>
      </c>
      <c r="F482" s="8">
        <v>18000</v>
      </c>
      <c r="G482" s="8">
        <f t="shared" si="28"/>
        <v>3087</v>
      </c>
      <c r="H482" s="6">
        <v>40000</v>
      </c>
      <c r="I482" t="s">
        <v>1647</v>
      </c>
      <c r="J482" t="s">
        <v>35</v>
      </c>
      <c r="K482" t="s">
        <v>36</v>
      </c>
      <c r="L482" t="s">
        <v>48</v>
      </c>
      <c r="M482" t="s">
        <v>126</v>
      </c>
      <c r="N482" s="6">
        <v>0</v>
      </c>
      <c r="O482" t="str">
        <f t="shared" si="29"/>
        <v>Normal</v>
      </c>
      <c r="P482" t="str">
        <f t="shared" si="30"/>
        <v>Duplicate ID</v>
      </c>
      <c r="Q482" t="str">
        <f t="shared" si="31"/>
        <v>10,000-14,999</v>
      </c>
      <c r="R482" s="6">
        <f>IF(COUNTIF($A$2:A482,A482)=1,1,0)</f>
        <v>1</v>
      </c>
    </row>
    <row r="483" spans="1:18" x14ac:dyDescent="0.25">
      <c r="A483" s="6">
        <v>1460</v>
      </c>
      <c r="B483" s="7">
        <v>45128</v>
      </c>
      <c r="C483" t="s">
        <v>1648</v>
      </c>
      <c r="D483" s="6">
        <v>2018</v>
      </c>
      <c r="E483" s="8">
        <v>15069</v>
      </c>
      <c r="F483" s="8">
        <v>22000</v>
      </c>
      <c r="G483" s="8">
        <f t="shared" si="28"/>
        <v>6931</v>
      </c>
      <c r="H483" s="6">
        <v>80000</v>
      </c>
      <c r="I483" t="s">
        <v>58</v>
      </c>
      <c r="J483" t="s">
        <v>35</v>
      </c>
      <c r="K483" t="s">
        <v>36</v>
      </c>
      <c r="L483" t="s">
        <v>73</v>
      </c>
      <c r="M483" t="s">
        <v>45</v>
      </c>
      <c r="N483" s="6">
        <v>0</v>
      </c>
      <c r="O483" t="str">
        <f t="shared" si="29"/>
        <v>Normal</v>
      </c>
      <c r="P483" t="str">
        <f t="shared" si="30"/>
        <v>Duplicate ID</v>
      </c>
      <c r="Q483" t="str">
        <f t="shared" si="31"/>
        <v>15,000-19,999</v>
      </c>
      <c r="R483" s="6">
        <f>IF(COUNTIF($A$2:A483,A483)=1,1,0)</f>
        <v>1</v>
      </c>
    </row>
    <row r="484" spans="1:18" x14ac:dyDescent="0.25">
      <c r="A484" s="6">
        <v>1013</v>
      </c>
      <c r="B484" s="7">
        <v>44435</v>
      </c>
      <c r="C484" t="s">
        <v>1648</v>
      </c>
      <c r="D484" s="6">
        <v>2022</v>
      </c>
      <c r="E484" s="8">
        <v>2765</v>
      </c>
      <c r="F484" s="8">
        <v>7000</v>
      </c>
      <c r="G484" s="8">
        <f t="shared" si="28"/>
        <v>4235</v>
      </c>
      <c r="H484" s="6">
        <v>15000</v>
      </c>
      <c r="I484" t="s">
        <v>1647</v>
      </c>
      <c r="J484" t="s">
        <v>72</v>
      </c>
      <c r="K484" t="s">
        <v>1647</v>
      </c>
      <c r="L484" t="s">
        <v>54</v>
      </c>
      <c r="M484" t="s">
        <v>98</v>
      </c>
      <c r="N484" s="6">
        <v>2</v>
      </c>
      <c r="O484" t="str">
        <f t="shared" si="29"/>
        <v>Normal</v>
      </c>
      <c r="P484" t="str">
        <f t="shared" si="30"/>
        <v>Duplicate ID</v>
      </c>
      <c r="Q484" t="str">
        <f t="shared" si="31"/>
        <v>0-4,999</v>
      </c>
      <c r="R484" s="6">
        <f>IF(COUNTIF($A$2:A484,A484)=1,1,0)</f>
        <v>1</v>
      </c>
    </row>
    <row r="485" spans="1:18" x14ac:dyDescent="0.25">
      <c r="A485" s="6">
        <v>1016</v>
      </c>
      <c r="B485" s="7">
        <v>44426</v>
      </c>
      <c r="C485" t="s">
        <v>40</v>
      </c>
      <c r="D485" s="6">
        <v>2016</v>
      </c>
      <c r="E485" s="8">
        <v>9437</v>
      </c>
      <c r="F485" s="8">
        <v>12000</v>
      </c>
      <c r="G485" s="8">
        <f t="shared" si="28"/>
        <v>2563</v>
      </c>
      <c r="H485" s="6">
        <v>15000</v>
      </c>
      <c r="I485" t="s">
        <v>1647</v>
      </c>
      <c r="J485" t="s">
        <v>35</v>
      </c>
      <c r="K485" t="s">
        <v>36</v>
      </c>
      <c r="L485" t="s">
        <v>48</v>
      </c>
      <c r="M485" t="s">
        <v>1647</v>
      </c>
      <c r="N485" s="6">
        <v>1</v>
      </c>
      <c r="O485" t="str">
        <f t="shared" si="29"/>
        <v>Normal</v>
      </c>
      <c r="P485" t="str">
        <f t="shared" si="30"/>
        <v>Duplicate ID</v>
      </c>
      <c r="Q485" t="str">
        <f t="shared" si="31"/>
        <v>5,000-9,999</v>
      </c>
      <c r="R485" s="6">
        <f>IF(COUNTIF($A$2:A485,A485)=1,1,0)</f>
        <v>0</v>
      </c>
    </row>
    <row r="486" spans="1:18" x14ac:dyDescent="0.25">
      <c r="A486" s="6">
        <v>1022</v>
      </c>
      <c r="B486" s="7">
        <v>45061</v>
      </c>
      <c r="C486" t="s">
        <v>40</v>
      </c>
      <c r="D486" s="6">
        <v>2018</v>
      </c>
      <c r="E486" s="8">
        <v>26118</v>
      </c>
      <c r="F486" s="8">
        <v>31000</v>
      </c>
      <c r="G486" s="8">
        <f t="shared" si="28"/>
        <v>4882</v>
      </c>
      <c r="H486" s="6">
        <v>25000</v>
      </c>
      <c r="I486" t="s">
        <v>1647</v>
      </c>
      <c r="J486" t="s">
        <v>72</v>
      </c>
      <c r="K486" t="s">
        <v>96</v>
      </c>
      <c r="L486" t="s">
        <v>73</v>
      </c>
      <c r="M486" t="s">
        <v>98</v>
      </c>
      <c r="N486" s="6" t="s">
        <v>1647</v>
      </c>
      <c r="O486" t="str">
        <f t="shared" si="29"/>
        <v>Normal</v>
      </c>
      <c r="P486" t="str">
        <f t="shared" si="30"/>
        <v>Duplicate ID</v>
      </c>
      <c r="Q486" t="str">
        <f t="shared" si="31"/>
        <v>25,000-30,000</v>
      </c>
      <c r="R486" s="6">
        <f>IF(COUNTIF($A$2:A486,A486)=1,1,0)</f>
        <v>1</v>
      </c>
    </row>
    <row r="487" spans="1:18" x14ac:dyDescent="0.25">
      <c r="A487" s="6">
        <v>1341</v>
      </c>
      <c r="B487" s="7">
        <v>44301</v>
      </c>
      <c r="C487" t="s">
        <v>119</v>
      </c>
      <c r="D487" s="6">
        <v>2017</v>
      </c>
      <c r="E487" s="8">
        <v>13791</v>
      </c>
      <c r="F487" s="8">
        <v>18000</v>
      </c>
      <c r="G487" s="8">
        <f t="shared" si="28"/>
        <v>4209</v>
      </c>
      <c r="H487" s="6">
        <v>80000</v>
      </c>
      <c r="I487" t="s">
        <v>34</v>
      </c>
      <c r="J487" t="s">
        <v>72</v>
      </c>
      <c r="K487" t="s">
        <v>1647</v>
      </c>
      <c r="L487" t="s">
        <v>1647</v>
      </c>
      <c r="M487" t="s">
        <v>45</v>
      </c>
      <c r="N487" s="6">
        <v>0</v>
      </c>
      <c r="O487" t="str">
        <f t="shared" si="29"/>
        <v>Normal</v>
      </c>
      <c r="P487" t="str">
        <f t="shared" si="30"/>
        <v>Duplicate ID</v>
      </c>
      <c r="Q487" t="str">
        <f t="shared" si="31"/>
        <v>10,000-14,999</v>
      </c>
      <c r="R487" s="6">
        <f>IF(COUNTIF($A$2:A487,A487)=1,1,0)</f>
        <v>0</v>
      </c>
    </row>
    <row r="488" spans="1:18" x14ac:dyDescent="0.25">
      <c r="A488" s="6">
        <v>1237</v>
      </c>
      <c r="B488" s="7">
        <v>45196</v>
      </c>
      <c r="C488" t="s">
        <v>1648</v>
      </c>
      <c r="D488" s="6">
        <v>2020</v>
      </c>
      <c r="E488" s="8">
        <v>25159</v>
      </c>
      <c r="F488" s="8">
        <v>31000</v>
      </c>
      <c r="G488" s="8">
        <f t="shared" si="28"/>
        <v>5841</v>
      </c>
      <c r="H488" s="6">
        <v>80000</v>
      </c>
      <c r="I488" t="s">
        <v>69</v>
      </c>
      <c r="J488" t="s">
        <v>1647</v>
      </c>
      <c r="K488" t="s">
        <v>36</v>
      </c>
      <c r="L488" t="s">
        <v>54</v>
      </c>
      <c r="M488" t="s">
        <v>98</v>
      </c>
      <c r="N488" s="6">
        <v>3</v>
      </c>
      <c r="O488" t="str">
        <f t="shared" si="29"/>
        <v>Normal</v>
      </c>
      <c r="P488" t="str">
        <f t="shared" si="30"/>
        <v>Duplicate ID</v>
      </c>
      <c r="Q488" t="str">
        <f t="shared" si="31"/>
        <v>25,000-30,000</v>
      </c>
      <c r="R488" s="6">
        <f>IF(COUNTIF($A$2:A488,A488)=1,1,0)</f>
        <v>0</v>
      </c>
    </row>
    <row r="489" spans="1:18" x14ac:dyDescent="0.25">
      <c r="A489" s="6">
        <v>1021</v>
      </c>
      <c r="B489" s="7">
        <v>45090</v>
      </c>
      <c r="C489" t="s">
        <v>32</v>
      </c>
      <c r="D489" s="6">
        <v>2021</v>
      </c>
      <c r="E489" s="8">
        <v>15286</v>
      </c>
      <c r="F489" s="8">
        <v>22000</v>
      </c>
      <c r="G489" s="8">
        <f t="shared" si="28"/>
        <v>6714</v>
      </c>
      <c r="H489" s="6">
        <v>60000</v>
      </c>
      <c r="I489" t="s">
        <v>1647</v>
      </c>
      <c r="J489" t="s">
        <v>35</v>
      </c>
      <c r="K489" t="s">
        <v>1647</v>
      </c>
      <c r="L489" t="s">
        <v>100</v>
      </c>
      <c r="M489" t="s">
        <v>45</v>
      </c>
      <c r="N489" s="6" t="s">
        <v>1647</v>
      </c>
      <c r="O489" t="str">
        <f t="shared" si="29"/>
        <v>Normal</v>
      </c>
      <c r="P489" t="str">
        <f t="shared" si="30"/>
        <v>Duplicate ID</v>
      </c>
      <c r="Q489" t="str">
        <f t="shared" si="31"/>
        <v>15,000-19,999</v>
      </c>
      <c r="R489" s="6">
        <f>IF(COUNTIF($A$2:A489,A489)=1,1,0)</f>
        <v>1</v>
      </c>
    </row>
    <row r="490" spans="1:18" x14ac:dyDescent="0.25">
      <c r="A490" s="6">
        <v>1426</v>
      </c>
      <c r="B490" s="7">
        <v>44996</v>
      </c>
      <c r="C490" t="s">
        <v>1648</v>
      </c>
      <c r="D490" s="6">
        <v>2016</v>
      </c>
      <c r="E490" s="8">
        <v>11173</v>
      </c>
      <c r="F490" s="8">
        <v>18000</v>
      </c>
      <c r="G490" s="8">
        <f t="shared" si="28"/>
        <v>6827</v>
      </c>
      <c r="H490" s="6">
        <v>120000</v>
      </c>
      <c r="I490" t="s">
        <v>1647</v>
      </c>
      <c r="J490" t="s">
        <v>35</v>
      </c>
      <c r="K490" t="s">
        <v>1647</v>
      </c>
      <c r="L490" t="s">
        <v>100</v>
      </c>
      <c r="M490" t="s">
        <v>45</v>
      </c>
      <c r="N490" s="6">
        <v>0</v>
      </c>
      <c r="O490" t="str">
        <f t="shared" si="29"/>
        <v>Normal</v>
      </c>
      <c r="P490" t="str">
        <f t="shared" si="30"/>
        <v>Duplicate ID</v>
      </c>
      <c r="Q490" t="str">
        <f t="shared" si="31"/>
        <v>10,000-14,999</v>
      </c>
      <c r="R490" s="6">
        <f>IF(COUNTIF($A$2:A490,A490)=1,1,0)</f>
        <v>1</v>
      </c>
    </row>
    <row r="491" spans="1:18" x14ac:dyDescent="0.25">
      <c r="A491" s="6">
        <v>1103</v>
      </c>
      <c r="B491" s="7">
        <v>45204</v>
      </c>
      <c r="C491" t="s">
        <v>1648</v>
      </c>
      <c r="D491" s="6">
        <v>2016</v>
      </c>
      <c r="E491" s="8">
        <v>9720</v>
      </c>
      <c r="F491" s="8">
        <v>12000</v>
      </c>
      <c r="G491" s="8">
        <f t="shared" si="28"/>
        <v>2280</v>
      </c>
      <c r="H491" s="6">
        <v>25000</v>
      </c>
      <c r="I491" t="s">
        <v>58</v>
      </c>
      <c r="J491" t="s">
        <v>35</v>
      </c>
      <c r="K491" t="s">
        <v>1647</v>
      </c>
      <c r="L491" t="s">
        <v>73</v>
      </c>
      <c r="M491" t="s">
        <v>126</v>
      </c>
      <c r="N491" s="6">
        <v>2</v>
      </c>
      <c r="O491" t="str">
        <f t="shared" si="29"/>
        <v>Normal</v>
      </c>
      <c r="P491" t="str">
        <f t="shared" si="30"/>
        <v>Duplicate ID</v>
      </c>
      <c r="Q491" t="str">
        <f t="shared" si="31"/>
        <v>5,000-9,999</v>
      </c>
      <c r="R491" s="6">
        <f>IF(COUNTIF($A$2:A491,A491)=1,1,0)</f>
        <v>0</v>
      </c>
    </row>
    <row r="492" spans="1:18" x14ac:dyDescent="0.25">
      <c r="A492" s="6">
        <v>1065</v>
      </c>
      <c r="B492" s="7">
        <v>44262</v>
      </c>
      <c r="C492" t="s">
        <v>119</v>
      </c>
      <c r="D492" s="6">
        <v>2019</v>
      </c>
      <c r="E492" s="8">
        <v>6876</v>
      </c>
      <c r="F492" s="8">
        <v>12000</v>
      </c>
      <c r="G492" s="8">
        <f t="shared" si="28"/>
        <v>5124</v>
      </c>
      <c r="H492" s="6">
        <v>25000</v>
      </c>
      <c r="I492" t="s">
        <v>58</v>
      </c>
      <c r="J492" t="s">
        <v>72</v>
      </c>
      <c r="K492" t="s">
        <v>96</v>
      </c>
      <c r="L492" t="s">
        <v>54</v>
      </c>
      <c r="M492" t="s">
        <v>45</v>
      </c>
      <c r="N492" s="6">
        <v>0</v>
      </c>
      <c r="O492" t="str">
        <f t="shared" si="29"/>
        <v>Normal</v>
      </c>
      <c r="P492" t="str">
        <f t="shared" si="30"/>
        <v>Duplicate ID</v>
      </c>
      <c r="Q492" t="str">
        <f t="shared" si="31"/>
        <v>5,000-9,999</v>
      </c>
      <c r="R492" s="6">
        <f>IF(COUNTIF($A$2:A492,A492)=1,1,0)</f>
        <v>0</v>
      </c>
    </row>
    <row r="493" spans="1:18" x14ac:dyDescent="0.25">
      <c r="A493" s="6">
        <v>1468</v>
      </c>
      <c r="B493" s="7">
        <v>45093</v>
      </c>
      <c r="C493" t="s">
        <v>119</v>
      </c>
      <c r="D493" s="6">
        <v>2016</v>
      </c>
      <c r="E493" s="8">
        <v>7587</v>
      </c>
      <c r="F493" s="8">
        <v>9000</v>
      </c>
      <c r="G493" s="8">
        <f t="shared" si="28"/>
        <v>1413</v>
      </c>
      <c r="H493" s="6">
        <v>120000</v>
      </c>
      <c r="I493" t="s">
        <v>41</v>
      </c>
      <c r="J493" t="s">
        <v>1647</v>
      </c>
      <c r="K493" t="s">
        <v>36</v>
      </c>
      <c r="L493" t="s">
        <v>1647</v>
      </c>
      <c r="M493" t="s">
        <v>126</v>
      </c>
      <c r="N493" s="6">
        <v>1</v>
      </c>
      <c r="O493" t="str">
        <f t="shared" si="29"/>
        <v>Normal</v>
      </c>
      <c r="P493" t="str">
        <f t="shared" si="30"/>
        <v>Duplicate ID</v>
      </c>
      <c r="Q493" t="str">
        <f t="shared" si="31"/>
        <v>5,000-9,999</v>
      </c>
      <c r="R493" s="6">
        <f>IF(COUNTIF($A$2:A493,A493)=1,1,0)</f>
        <v>0</v>
      </c>
    </row>
    <row r="494" spans="1:18" x14ac:dyDescent="0.25">
      <c r="A494" s="6">
        <v>1452</v>
      </c>
      <c r="B494" s="7">
        <v>44795</v>
      </c>
      <c r="C494" t="s">
        <v>32</v>
      </c>
      <c r="D494" s="6">
        <v>2017</v>
      </c>
      <c r="E494" s="8">
        <v>15034</v>
      </c>
      <c r="F494" s="8">
        <v>22000</v>
      </c>
      <c r="G494" s="8">
        <f t="shared" si="28"/>
        <v>6966</v>
      </c>
      <c r="H494" s="6">
        <v>25000</v>
      </c>
      <c r="I494" t="s">
        <v>58</v>
      </c>
      <c r="J494" t="s">
        <v>72</v>
      </c>
      <c r="K494" t="s">
        <v>96</v>
      </c>
      <c r="L494" t="s">
        <v>100</v>
      </c>
      <c r="M494" t="s">
        <v>126</v>
      </c>
      <c r="N494" s="6">
        <v>1</v>
      </c>
      <c r="O494" t="str">
        <f t="shared" si="29"/>
        <v>Normal</v>
      </c>
      <c r="P494" t="str">
        <f t="shared" si="30"/>
        <v>Duplicate ID</v>
      </c>
      <c r="Q494" t="str">
        <f t="shared" si="31"/>
        <v>15,000-19,999</v>
      </c>
      <c r="R494" s="6">
        <f>IF(COUNTIF($A$2:A494,A494)=1,1,0)</f>
        <v>0</v>
      </c>
    </row>
    <row r="495" spans="1:18" x14ac:dyDescent="0.25">
      <c r="A495" s="6">
        <v>1293</v>
      </c>
      <c r="B495" s="7">
        <v>44896</v>
      </c>
      <c r="C495" t="s">
        <v>1648</v>
      </c>
      <c r="D495" s="6">
        <v>2020</v>
      </c>
      <c r="E495" s="8">
        <v>2120</v>
      </c>
      <c r="F495" s="8">
        <v>7000</v>
      </c>
      <c r="G495" s="8">
        <f t="shared" si="28"/>
        <v>4880</v>
      </c>
      <c r="H495" s="6">
        <v>25000</v>
      </c>
      <c r="I495" t="s">
        <v>34</v>
      </c>
      <c r="J495" t="s">
        <v>72</v>
      </c>
      <c r="K495" t="s">
        <v>36</v>
      </c>
      <c r="L495" t="s">
        <v>100</v>
      </c>
      <c r="M495" t="s">
        <v>1647</v>
      </c>
      <c r="N495" s="6">
        <v>3</v>
      </c>
      <c r="O495" t="str">
        <f t="shared" si="29"/>
        <v>Normal</v>
      </c>
      <c r="P495" t="str">
        <f t="shared" si="30"/>
        <v>Duplicate ID</v>
      </c>
      <c r="Q495" t="str">
        <f t="shared" si="31"/>
        <v>0-4,999</v>
      </c>
      <c r="R495" s="6">
        <f>IF(COUNTIF($A$2:A495,A495)=1,1,0)</f>
        <v>0</v>
      </c>
    </row>
    <row r="496" spans="1:18" x14ac:dyDescent="0.25">
      <c r="A496" s="6">
        <v>1528</v>
      </c>
      <c r="B496" s="7">
        <v>45136</v>
      </c>
      <c r="C496" t="s">
        <v>119</v>
      </c>
      <c r="D496" s="6">
        <v>2016</v>
      </c>
      <c r="E496" s="8">
        <v>21647</v>
      </c>
      <c r="F496" s="8">
        <v>26000</v>
      </c>
      <c r="G496" s="8">
        <f t="shared" si="28"/>
        <v>4353</v>
      </c>
      <c r="H496" s="6">
        <v>60000</v>
      </c>
      <c r="I496" t="s">
        <v>58</v>
      </c>
      <c r="J496" t="s">
        <v>35</v>
      </c>
      <c r="K496" t="s">
        <v>1647</v>
      </c>
      <c r="L496" t="s">
        <v>73</v>
      </c>
      <c r="M496" t="s">
        <v>126</v>
      </c>
      <c r="N496" s="6">
        <v>2</v>
      </c>
      <c r="O496" t="str">
        <f t="shared" si="29"/>
        <v>Normal</v>
      </c>
      <c r="P496" t="str">
        <f t="shared" si="30"/>
        <v>Duplicate ID</v>
      </c>
      <c r="Q496" t="str">
        <f t="shared" si="31"/>
        <v>20,000-24,999</v>
      </c>
      <c r="R496" s="6">
        <f>IF(COUNTIF($A$2:A496,A496)=1,1,0)</f>
        <v>0</v>
      </c>
    </row>
    <row r="497" spans="1:18" x14ac:dyDescent="0.25">
      <c r="A497" s="6">
        <v>1037</v>
      </c>
      <c r="B497" s="7">
        <v>45002</v>
      </c>
      <c r="C497" t="s">
        <v>51</v>
      </c>
      <c r="D497" s="6">
        <v>2020</v>
      </c>
      <c r="E497" s="8">
        <v>10497</v>
      </c>
      <c r="F497" s="8">
        <v>12000</v>
      </c>
      <c r="G497" s="8">
        <f t="shared" si="28"/>
        <v>1503</v>
      </c>
      <c r="H497" s="6">
        <v>60000</v>
      </c>
      <c r="I497" t="s">
        <v>41</v>
      </c>
      <c r="J497" t="s">
        <v>1647</v>
      </c>
      <c r="K497" t="s">
        <v>96</v>
      </c>
      <c r="L497" t="s">
        <v>48</v>
      </c>
      <c r="M497" t="s">
        <v>98</v>
      </c>
      <c r="N497" s="6" t="s">
        <v>1647</v>
      </c>
      <c r="O497" t="str">
        <f t="shared" si="29"/>
        <v>Normal</v>
      </c>
      <c r="P497" t="str">
        <f t="shared" si="30"/>
        <v>Duplicate ID</v>
      </c>
      <c r="Q497" t="str">
        <f t="shared" si="31"/>
        <v>10,000-14,999</v>
      </c>
      <c r="R497" s="6">
        <f>IF(COUNTIF($A$2:A497,A497)=1,1,0)</f>
        <v>1</v>
      </c>
    </row>
    <row r="498" spans="1:18" x14ac:dyDescent="0.25">
      <c r="A498" s="6">
        <v>1150</v>
      </c>
      <c r="B498" s="7">
        <v>45277</v>
      </c>
      <c r="C498" t="s">
        <v>51</v>
      </c>
      <c r="D498" s="6">
        <v>2019</v>
      </c>
      <c r="E498" s="8">
        <v>18709</v>
      </c>
      <c r="F498" s="8">
        <v>22000</v>
      </c>
      <c r="G498" s="8">
        <f t="shared" si="28"/>
        <v>3291</v>
      </c>
      <c r="H498" s="6">
        <v>15000</v>
      </c>
      <c r="I498" t="s">
        <v>1647</v>
      </c>
      <c r="J498" t="s">
        <v>72</v>
      </c>
      <c r="K498" t="s">
        <v>96</v>
      </c>
      <c r="L498" t="s">
        <v>100</v>
      </c>
      <c r="M498" t="s">
        <v>45</v>
      </c>
      <c r="N498" s="6">
        <v>0</v>
      </c>
      <c r="O498" t="str">
        <f t="shared" si="29"/>
        <v>Normal</v>
      </c>
      <c r="P498" t="str">
        <f t="shared" si="30"/>
        <v>Duplicate ID</v>
      </c>
      <c r="Q498" t="str">
        <f t="shared" si="31"/>
        <v>15,000-19,999</v>
      </c>
      <c r="R498" s="6">
        <f>IF(COUNTIF($A$2:A498,A498)=1,1,0)</f>
        <v>1</v>
      </c>
    </row>
    <row r="499" spans="1:18" x14ac:dyDescent="0.25">
      <c r="A499" s="6">
        <v>1532</v>
      </c>
      <c r="B499" s="7">
        <v>44455</v>
      </c>
      <c r="C499" t="s">
        <v>40</v>
      </c>
      <c r="D499" s="6">
        <v>2022</v>
      </c>
      <c r="E499" s="8">
        <v>15060</v>
      </c>
      <c r="F499" s="8">
        <v>22000</v>
      </c>
      <c r="G499" s="8">
        <f t="shared" si="28"/>
        <v>6940</v>
      </c>
      <c r="H499" s="6">
        <v>60000</v>
      </c>
      <c r="I499" t="s">
        <v>69</v>
      </c>
      <c r="J499" t="s">
        <v>1647</v>
      </c>
      <c r="K499" t="s">
        <v>96</v>
      </c>
      <c r="L499" t="s">
        <v>100</v>
      </c>
      <c r="M499" t="s">
        <v>126</v>
      </c>
      <c r="N499" s="6">
        <v>0</v>
      </c>
      <c r="O499" t="str">
        <f t="shared" si="29"/>
        <v>Normal</v>
      </c>
      <c r="P499" t="str">
        <f t="shared" si="30"/>
        <v>Duplicate ID</v>
      </c>
      <c r="Q499" t="str">
        <f t="shared" si="31"/>
        <v>15,000-19,999</v>
      </c>
      <c r="R499" s="6">
        <f>IF(COUNTIF($A$2:A499,A499)=1,1,0)</f>
        <v>1</v>
      </c>
    </row>
    <row r="500" spans="1:18" x14ac:dyDescent="0.25">
      <c r="A500" s="6">
        <v>1113</v>
      </c>
      <c r="B500" s="7">
        <v>45231</v>
      </c>
      <c r="C500" t="s">
        <v>119</v>
      </c>
      <c r="D500" s="6">
        <v>2017</v>
      </c>
      <c r="E500" s="8">
        <v>13537</v>
      </c>
      <c r="F500" s="8">
        <v>18000</v>
      </c>
      <c r="G500" s="8">
        <f t="shared" si="28"/>
        <v>4463</v>
      </c>
      <c r="H500" s="6">
        <v>120000</v>
      </c>
      <c r="I500" t="s">
        <v>69</v>
      </c>
      <c r="J500" t="s">
        <v>35</v>
      </c>
      <c r="K500" t="s">
        <v>36</v>
      </c>
      <c r="L500" t="s">
        <v>73</v>
      </c>
      <c r="M500" t="s">
        <v>98</v>
      </c>
      <c r="N500" s="6">
        <v>2</v>
      </c>
      <c r="O500" t="str">
        <f t="shared" si="29"/>
        <v>Normal</v>
      </c>
      <c r="P500" t="str">
        <f t="shared" si="30"/>
        <v>Duplicate ID</v>
      </c>
      <c r="Q500" t="str">
        <f t="shared" si="31"/>
        <v>10,000-14,999</v>
      </c>
      <c r="R500" s="6">
        <f>IF(COUNTIF($A$2:A500,A500)=1,1,0)</f>
        <v>0</v>
      </c>
    </row>
    <row r="501" spans="1:18" x14ac:dyDescent="0.25">
      <c r="A501" s="6">
        <v>1546</v>
      </c>
      <c r="B501" s="7">
        <v>45355</v>
      </c>
      <c r="C501" t="s">
        <v>40</v>
      </c>
      <c r="D501" s="6">
        <v>2021</v>
      </c>
      <c r="E501" s="8">
        <v>16236</v>
      </c>
      <c r="F501" s="8">
        <v>22000</v>
      </c>
      <c r="G501" s="8">
        <f t="shared" si="28"/>
        <v>5764</v>
      </c>
      <c r="H501" s="6">
        <v>25000</v>
      </c>
      <c r="I501" t="s">
        <v>58</v>
      </c>
      <c r="J501" t="s">
        <v>72</v>
      </c>
      <c r="K501" t="s">
        <v>1647</v>
      </c>
      <c r="L501" t="s">
        <v>100</v>
      </c>
      <c r="M501" t="s">
        <v>126</v>
      </c>
      <c r="N501" s="6">
        <v>2</v>
      </c>
      <c r="O501" t="str">
        <f t="shared" si="29"/>
        <v>Normal</v>
      </c>
      <c r="P501" t="str">
        <f t="shared" si="30"/>
        <v>Duplicate ID</v>
      </c>
      <c r="Q501" t="str">
        <f t="shared" si="31"/>
        <v>15,000-19,999</v>
      </c>
      <c r="R501" s="6">
        <f>IF(COUNTIF($A$2:A501,A501)=1,1,0)</f>
        <v>0</v>
      </c>
    </row>
    <row r="502" spans="1:18" x14ac:dyDescent="0.25">
      <c r="A502" s="6">
        <v>1421</v>
      </c>
      <c r="B502" s="7">
        <v>45068</v>
      </c>
      <c r="C502" t="s">
        <v>57</v>
      </c>
      <c r="D502" s="6">
        <v>2019</v>
      </c>
      <c r="E502" s="8">
        <v>28800</v>
      </c>
      <c r="F502" s="8">
        <v>31000</v>
      </c>
      <c r="G502" s="8">
        <f t="shared" si="28"/>
        <v>2200</v>
      </c>
      <c r="H502" s="6">
        <v>15000</v>
      </c>
      <c r="I502" t="s">
        <v>1647</v>
      </c>
      <c r="J502" t="s">
        <v>35</v>
      </c>
      <c r="K502" t="s">
        <v>96</v>
      </c>
      <c r="L502" t="s">
        <v>73</v>
      </c>
      <c r="M502" t="s">
        <v>45</v>
      </c>
      <c r="N502" s="6" t="s">
        <v>1647</v>
      </c>
      <c r="O502" t="str">
        <f t="shared" si="29"/>
        <v>Normal</v>
      </c>
      <c r="P502" t="str">
        <f t="shared" si="30"/>
        <v>Duplicate ID</v>
      </c>
      <c r="Q502" t="str">
        <f t="shared" si="31"/>
        <v>25,000-30,000</v>
      </c>
      <c r="R502" s="6">
        <f>IF(COUNTIF($A$2:A502,A502)=1,1,0)</f>
        <v>1</v>
      </c>
    </row>
    <row r="503" spans="1:18" x14ac:dyDescent="0.25">
      <c r="A503" s="6">
        <v>1433</v>
      </c>
      <c r="B503" s="7">
        <v>45218</v>
      </c>
      <c r="C503" t="s">
        <v>79</v>
      </c>
      <c r="D503" s="6"/>
      <c r="E503" s="8">
        <v>20214</v>
      </c>
      <c r="F503" s="8">
        <v>26000</v>
      </c>
      <c r="G503" s="8">
        <f t="shared" si="28"/>
        <v>5786</v>
      </c>
      <c r="H503" s="6">
        <v>40000</v>
      </c>
      <c r="I503" t="s">
        <v>34</v>
      </c>
      <c r="J503" t="s">
        <v>35</v>
      </c>
      <c r="K503" t="s">
        <v>36</v>
      </c>
      <c r="L503" t="s">
        <v>1647</v>
      </c>
      <c r="M503" t="s">
        <v>90</v>
      </c>
      <c r="N503" s="6">
        <v>3</v>
      </c>
      <c r="O503" t="str">
        <f t="shared" si="29"/>
        <v>Normal</v>
      </c>
      <c r="P503" t="str">
        <f t="shared" si="30"/>
        <v>Duplicate ID</v>
      </c>
      <c r="Q503" t="str">
        <f t="shared" si="31"/>
        <v>20,000-24,999</v>
      </c>
      <c r="R503" s="6">
        <f>IF(COUNTIF($A$2:A503,A503)=1,1,0)</f>
        <v>0</v>
      </c>
    </row>
    <row r="504" spans="1:18" x14ac:dyDescent="0.25">
      <c r="A504" s="6">
        <v>1484</v>
      </c>
      <c r="B504" s="7">
        <v>45129</v>
      </c>
      <c r="C504" t="s">
        <v>1648</v>
      </c>
      <c r="D504" s="6">
        <v>2016</v>
      </c>
      <c r="E504" s="8">
        <v>6259</v>
      </c>
      <c r="F504" s="8">
        <v>9000</v>
      </c>
      <c r="G504" s="8">
        <f t="shared" si="28"/>
        <v>2741</v>
      </c>
      <c r="H504" s="6">
        <v>120000</v>
      </c>
      <c r="I504" t="s">
        <v>41</v>
      </c>
      <c r="J504" t="s">
        <v>1647</v>
      </c>
      <c r="K504" t="s">
        <v>96</v>
      </c>
      <c r="L504" t="s">
        <v>73</v>
      </c>
      <c r="M504" t="s">
        <v>126</v>
      </c>
      <c r="N504" s="6">
        <v>2</v>
      </c>
      <c r="O504" t="str">
        <f t="shared" si="29"/>
        <v>Normal</v>
      </c>
      <c r="P504" t="str">
        <f t="shared" si="30"/>
        <v>Duplicate ID</v>
      </c>
      <c r="Q504" t="str">
        <f t="shared" si="31"/>
        <v>5,000-9,999</v>
      </c>
      <c r="R504" s="6">
        <f>IF(COUNTIF($A$2:A504,A504)=1,1,0)</f>
        <v>0</v>
      </c>
    </row>
    <row r="505" spans="1:18" x14ac:dyDescent="0.25">
      <c r="A505" s="6">
        <v>1383</v>
      </c>
      <c r="B505" s="7">
        <v>44821</v>
      </c>
      <c r="C505" t="s">
        <v>51</v>
      </c>
      <c r="D505" s="6">
        <v>2014</v>
      </c>
      <c r="E505" s="8">
        <v>7957</v>
      </c>
      <c r="F505" s="8">
        <v>12000</v>
      </c>
      <c r="G505" s="8">
        <f t="shared" si="28"/>
        <v>4043</v>
      </c>
      <c r="H505" s="6">
        <v>15000</v>
      </c>
      <c r="I505" t="s">
        <v>58</v>
      </c>
      <c r="J505" t="s">
        <v>1647</v>
      </c>
      <c r="K505" t="s">
        <v>96</v>
      </c>
      <c r="L505" t="s">
        <v>73</v>
      </c>
      <c r="M505" t="s">
        <v>45</v>
      </c>
      <c r="N505" s="6">
        <v>2</v>
      </c>
      <c r="O505" t="str">
        <f t="shared" si="29"/>
        <v>Normal</v>
      </c>
      <c r="P505" t="str">
        <f t="shared" si="30"/>
        <v>Duplicate ID</v>
      </c>
      <c r="Q505" t="str">
        <f t="shared" si="31"/>
        <v>5,000-9,999</v>
      </c>
      <c r="R505" s="6">
        <f>IF(COUNTIF($A$2:A505,A505)=1,1,0)</f>
        <v>1</v>
      </c>
    </row>
    <row r="506" spans="1:18" x14ac:dyDescent="0.25">
      <c r="A506" s="6">
        <v>1357</v>
      </c>
      <c r="B506" s="7">
        <v>45318</v>
      </c>
      <c r="C506" t="s">
        <v>57</v>
      </c>
      <c r="D506" s="6">
        <v>2016</v>
      </c>
      <c r="E506" s="8">
        <v>28998</v>
      </c>
      <c r="F506" s="8">
        <v>31000</v>
      </c>
      <c r="G506" s="8">
        <f t="shared" si="28"/>
        <v>2002</v>
      </c>
      <c r="H506" s="6">
        <v>15000</v>
      </c>
      <c r="I506" t="s">
        <v>69</v>
      </c>
      <c r="J506" t="s">
        <v>1647</v>
      </c>
      <c r="K506" t="s">
        <v>96</v>
      </c>
      <c r="L506" t="s">
        <v>54</v>
      </c>
      <c r="M506" t="s">
        <v>98</v>
      </c>
      <c r="N506" s="6">
        <v>3</v>
      </c>
      <c r="O506" t="str">
        <f t="shared" si="29"/>
        <v>Normal</v>
      </c>
      <c r="P506" t="str">
        <f t="shared" si="30"/>
        <v>Duplicate ID</v>
      </c>
      <c r="Q506" t="str">
        <f t="shared" si="31"/>
        <v>25,000-30,000</v>
      </c>
      <c r="R506" s="6">
        <f>IF(COUNTIF($A$2:A506,A506)=1,1,0)</f>
        <v>1</v>
      </c>
    </row>
    <row r="507" spans="1:18" x14ac:dyDescent="0.25">
      <c r="A507" s="6">
        <v>1152</v>
      </c>
      <c r="B507" s="7">
        <v>45116</v>
      </c>
      <c r="C507" t="s">
        <v>32</v>
      </c>
      <c r="D507" s="6">
        <v>2016</v>
      </c>
      <c r="E507" s="8">
        <v>24535</v>
      </c>
      <c r="F507" s="8">
        <v>31000</v>
      </c>
      <c r="G507" s="8">
        <f t="shared" si="28"/>
        <v>6465</v>
      </c>
      <c r="H507" s="6">
        <v>60000</v>
      </c>
      <c r="I507" t="s">
        <v>34</v>
      </c>
      <c r="J507" t="s">
        <v>72</v>
      </c>
      <c r="K507" t="s">
        <v>36</v>
      </c>
      <c r="L507" t="s">
        <v>48</v>
      </c>
      <c r="M507" t="s">
        <v>45</v>
      </c>
      <c r="N507" s="6" t="s">
        <v>1647</v>
      </c>
      <c r="O507" t="str">
        <f t="shared" si="29"/>
        <v>Normal</v>
      </c>
      <c r="P507" t="str">
        <f t="shared" si="30"/>
        <v>Duplicate ID</v>
      </c>
      <c r="Q507" t="str">
        <f t="shared" si="31"/>
        <v>20,000-24,999</v>
      </c>
      <c r="R507" s="6">
        <f>IF(COUNTIF($A$2:A507,A507)=1,1,0)</f>
        <v>1</v>
      </c>
    </row>
    <row r="508" spans="1:18" x14ac:dyDescent="0.25">
      <c r="A508" s="6">
        <v>1169</v>
      </c>
      <c r="B508" s="7">
        <v>44378</v>
      </c>
      <c r="C508" t="s">
        <v>40</v>
      </c>
      <c r="D508" s="6">
        <v>2018</v>
      </c>
      <c r="E508" s="8">
        <v>27728</v>
      </c>
      <c r="F508" s="8">
        <v>31000</v>
      </c>
      <c r="G508" s="8">
        <f t="shared" si="28"/>
        <v>3272</v>
      </c>
      <c r="H508" s="6">
        <v>120000</v>
      </c>
      <c r="I508" t="s">
        <v>69</v>
      </c>
      <c r="J508" t="s">
        <v>1647</v>
      </c>
      <c r="K508" t="s">
        <v>36</v>
      </c>
      <c r="L508" t="s">
        <v>1647</v>
      </c>
      <c r="M508" t="s">
        <v>126</v>
      </c>
      <c r="N508" s="6">
        <v>1</v>
      </c>
      <c r="O508" t="str">
        <f t="shared" si="29"/>
        <v>Normal</v>
      </c>
      <c r="P508" t="str">
        <f t="shared" si="30"/>
        <v>Duplicate ID</v>
      </c>
      <c r="Q508" t="str">
        <f t="shared" si="31"/>
        <v>25,000-30,000</v>
      </c>
      <c r="R508" s="6">
        <f>IF(COUNTIF($A$2:A508,A508)=1,1,0)</f>
        <v>1</v>
      </c>
    </row>
    <row r="509" spans="1:18" x14ac:dyDescent="0.25">
      <c r="A509" s="6">
        <v>1123</v>
      </c>
      <c r="B509" s="7">
        <v>44235</v>
      </c>
      <c r="C509" t="s">
        <v>40</v>
      </c>
      <c r="D509" s="6"/>
      <c r="E509" s="8">
        <v>9883</v>
      </c>
      <c r="F509" s="8">
        <v>15000</v>
      </c>
      <c r="G509" s="8">
        <f t="shared" si="28"/>
        <v>5117</v>
      </c>
      <c r="H509" s="6">
        <v>60000</v>
      </c>
      <c r="I509" t="s">
        <v>69</v>
      </c>
      <c r="J509" t="s">
        <v>35</v>
      </c>
      <c r="K509" t="s">
        <v>36</v>
      </c>
      <c r="L509" t="s">
        <v>48</v>
      </c>
      <c r="M509" t="s">
        <v>126</v>
      </c>
      <c r="N509" s="6" t="s">
        <v>1647</v>
      </c>
      <c r="O509" t="str">
        <f t="shared" si="29"/>
        <v>Normal</v>
      </c>
      <c r="P509" t="str">
        <f t="shared" si="30"/>
        <v>Duplicate ID</v>
      </c>
      <c r="Q509" t="str">
        <f t="shared" si="31"/>
        <v>5,000-9,999</v>
      </c>
      <c r="R509" s="6">
        <f>IF(COUNTIF($A$2:A509,A509)=1,1,0)</f>
        <v>1</v>
      </c>
    </row>
    <row r="510" spans="1:18" x14ac:dyDescent="0.25">
      <c r="A510" s="6">
        <v>1447</v>
      </c>
      <c r="B510" s="7">
        <v>44893</v>
      </c>
      <c r="C510" t="s">
        <v>51</v>
      </c>
      <c r="D510" s="6">
        <v>2020</v>
      </c>
      <c r="E510" s="8">
        <v>5810</v>
      </c>
      <c r="F510" s="8">
        <v>7000</v>
      </c>
      <c r="G510" s="8">
        <f t="shared" si="28"/>
        <v>1190</v>
      </c>
      <c r="H510" s="6">
        <v>60000</v>
      </c>
      <c r="I510" t="s">
        <v>34</v>
      </c>
      <c r="J510" t="s">
        <v>72</v>
      </c>
      <c r="K510" t="s">
        <v>36</v>
      </c>
      <c r="L510" t="s">
        <v>73</v>
      </c>
      <c r="M510" t="s">
        <v>126</v>
      </c>
      <c r="N510" s="6" t="s">
        <v>1647</v>
      </c>
      <c r="O510" t="str">
        <f t="shared" si="29"/>
        <v>Normal</v>
      </c>
      <c r="P510" t="str">
        <f t="shared" si="30"/>
        <v>Duplicate ID</v>
      </c>
      <c r="Q510" t="str">
        <f t="shared" si="31"/>
        <v>5,000-9,999</v>
      </c>
      <c r="R510" s="6">
        <f>IF(COUNTIF($A$2:A510,A510)=1,1,0)</f>
        <v>0</v>
      </c>
    </row>
    <row r="511" spans="1:18" x14ac:dyDescent="0.25">
      <c r="A511" s="6">
        <v>1157</v>
      </c>
      <c r="B511" s="7">
        <v>44380</v>
      </c>
      <c r="C511" t="s">
        <v>57</v>
      </c>
      <c r="D511" s="6">
        <v>2018</v>
      </c>
      <c r="E511" s="8">
        <v>8907</v>
      </c>
      <c r="F511" s="8">
        <v>12000</v>
      </c>
      <c r="G511" s="8">
        <f t="shared" si="28"/>
        <v>3093</v>
      </c>
      <c r="H511" s="6">
        <v>25000</v>
      </c>
      <c r="I511" t="s">
        <v>69</v>
      </c>
      <c r="J511" t="s">
        <v>35</v>
      </c>
      <c r="K511" t="s">
        <v>36</v>
      </c>
      <c r="L511" t="s">
        <v>73</v>
      </c>
      <c r="M511" t="s">
        <v>45</v>
      </c>
      <c r="N511" s="6">
        <v>3</v>
      </c>
      <c r="O511" t="str">
        <f t="shared" si="29"/>
        <v>Normal</v>
      </c>
      <c r="P511" t="str">
        <f t="shared" si="30"/>
        <v>Duplicate ID</v>
      </c>
      <c r="Q511" t="str">
        <f t="shared" si="31"/>
        <v>5,000-9,999</v>
      </c>
      <c r="R511" s="6">
        <f>IF(COUNTIF($A$2:A511,A511)=1,1,0)</f>
        <v>1</v>
      </c>
    </row>
    <row r="512" spans="1:18" x14ac:dyDescent="0.25">
      <c r="A512" s="6">
        <v>1384</v>
      </c>
      <c r="B512" s="7">
        <v>44725</v>
      </c>
      <c r="C512" t="s">
        <v>32</v>
      </c>
      <c r="D512" s="6">
        <v>2019</v>
      </c>
      <c r="E512" s="8">
        <v>8345</v>
      </c>
      <c r="F512" s="8">
        <v>12000</v>
      </c>
      <c r="G512" s="8">
        <f t="shared" si="28"/>
        <v>3655</v>
      </c>
      <c r="H512" s="6">
        <v>60000</v>
      </c>
      <c r="I512" t="s">
        <v>58</v>
      </c>
      <c r="J512" t="s">
        <v>1647</v>
      </c>
      <c r="K512" t="s">
        <v>1647</v>
      </c>
      <c r="L512" t="s">
        <v>100</v>
      </c>
      <c r="M512" t="s">
        <v>98</v>
      </c>
      <c r="N512" s="6" t="s">
        <v>1647</v>
      </c>
      <c r="O512" t="str">
        <f t="shared" si="29"/>
        <v>Normal</v>
      </c>
      <c r="P512" t="str">
        <f t="shared" si="30"/>
        <v>Duplicate ID</v>
      </c>
      <c r="Q512" t="str">
        <f t="shared" si="31"/>
        <v>5,000-9,999</v>
      </c>
      <c r="R512" s="6">
        <f>IF(COUNTIF($A$2:A512,A512)=1,1,0)</f>
        <v>0</v>
      </c>
    </row>
    <row r="513" spans="1:18" x14ac:dyDescent="0.25">
      <c r="A513" s="6">
        <v>1566</v>
      </c>
      <c r="B513" s="7">
        <v>45148</v>
      </c>
      <c r="C513" t="s">
        <v>79</v>
      </c>
      <c r="D513" s="6">
        <v>2015</v>
      </c>
      <c r="E513" s="8">
        <v>14393</v>
      </c>
      <c r="F513" s="8">
        <v>18000</v>
      </c>
      <c r="G513" s="8">
        <f t="shared" si="28"/>
        <v>3607</v>
      </c>
      <c r="H513" s="6">
        <v>15000</v>
      </c>
      <c r="I513" t="s">
        <v>58</v>
      </c>
      <c r="J513" t="s">
        <v>35</v>
      </c>
      <c r="K513" t="s">
        <v>96</v>
      </c>
      <c r="L513" t="s">
        <v>1647</v>
      </c>
      <c r="M513" t="s">
        <v>126</v>
      </c>
      <c r="N513" s="6">
        <v>1</v>
      </c>
      <c r="O513" t="str">
        <f t="shared" si="29"/>
        <v>Normal</v>
      </c>
      <c r="P513" t="str">
        <f t="shared" si="30"/>
        <v>Duplicate ID</v>
      </c>
      <c r="Q513" t="str">
        <f t="shared" si="31"/>
        <v>10,000-14,999</v>
      </c>
      <c r="R513" s="6">
        <f>IF(COUNTIF($A$2:A513,A513)=1,1,0)</f>
        <v>1</v>
      </c>
    </row>
    <row r="514" spans="1:18" x14ac:dyDescent="0.25">
      <c r="A514" s="6">
        <v>1208</v>
      </c>
      <c r="B514" s="7">
        <v>45221</v>
      </c>
      <c r="C514" t="s">
        <v>32</v>
      </c>
      <c r="D514" s="6">
        <v>2018</v>
      </c>
      <c r="E514" s="8">
        <v>24313</v>
      </c>
      <c r="F514" s="8">
        <v>26000</v>
      </c>
      <c r="G514" s="8">
        <f t="shared" ref="G514:G577" si="32">IF(OR(F514="",E514=""),"",F514-E514)</f>
        <v>1687</v>
      </c>
      <c r="H514" s="6">
        <v>60000</v>
      </c>
      <c r="I514" t="s">
        <v>58</v>
      </c>
      <c r="J514" t="s">
        <v>35</v>
      </c>
      <c r="K514" t="s">
        <v>1647</v>
      </c>
      <c r="L514" t="s">
        <v>48</v>
      </c>
      <c r="M514" t="s">
        <v>1647</v>
      </c>
      <c r="N514" s="6">
        <v>3</v>
      </c>
      <c r="O514" t="str">
        <f t="shared" ref="O514:O577" si="33">IF(E514&lt;1000,"Outlier","Normal")</f>
        <v>Normal</v>
      </c>
      <c r="P514" t="str">
        <f t="shared" ref="P514:P577" si="34">IF(COUNTIF($A$2:$A$2501,A514)&gt;1,"Duplicate ID","Unique ID")</f>
        <v>Duplicate ID</v>
      </c>
      <c r="Q514" t="str">
        <f t="shared" ref="Q514:Q577" si="35">IF(E514&lt;5000,"0-4,999",IF(E514&lt;10000,"5,000-9,999",IF(E514&lt;15000,"10,000-14,999",IF(E514&lt;20000,"15,000-19,999",IF(E514&lt;25000,"20,000-24,999","25,000-30,000")))))</f>
        <v>20,000-24,999</v>
      </c>
      <c r="R514" s="6">
        <f>IF(COUNTIF($A$2:A514,A514)=1,1,0)</f>
        <v>0</v>
      </c>
    </row>
    <row r="515" spans="1:18" x14ac:dyDescent="0.25">
      <c r="A515" s="6">
        <v>1000</v>
      </c>
      <c r="B515" s="7">
        <v>44539</v>
      </c>
      <c r="C515" t="s">
        <v>40</v>
      </c>
      <c r="D515" s="6">
        <v>2014</v>
      </c>
      <c r="E515" s="8">
        <v>27631</v>
      </c>
      <c r="F515" s="8">
        <v>31000</v>
      </c>
      <c r="G515" s="8">
        <f t="shared" si="32"/>
        <v>3369</v>
      </c>
      <c r="H515" s="6">
        <v>80000</v>
      </c>
      <c r="I515" t="s">
        <v>69</v>
      </c>
      <c r="J515" t="s">
        <v>72</v>
      </c>
      <c r="K515" t="s">
        <v>96</v>
      </c>
      <c r="L515" t="s">
        <v>100</v>
      </c>
      <c r="M515" t="s">
        <v>1647</v>
      </c>
      <c r="N515" s="6">
        <v>2</v>
      </c>
      <c r="O515" t="str">
        <f t="shared" si="33"/>
        <v>Normal</v>
      </c>
      <c r="P515" t="str">
        <f t="shared" si="34"/>
        <v>Duplicate ID</v>
      </c>
      <c r="Q515" t="str">
        <f t="shared" si="35"/>
        <v>25,000-30,000</v>
      </c>
      <c r="R515" s="6">
        <f>IF(COUNTIF($A$2:A515,A515)=1,1,0)</f>
        <v>0</v>
      </c>
    </row>
    <row r="516" spans="1:18" x14ac:dyDescent="0.25">
      <c r="A516" s="6">
        <v>1125</v>
      </c>
      <c r="B516" s="7">
        <v>45006</v>
      </c>
      <c r="C516" t="s">
        <v>40</v>
      </c>
      <c r="D516" s="6">
        <v>2016</v>
      </c>
      <c r="E516" s="8">
        <v>7266</v>
      </c>
      <c r="F516" s="8">
        <v>9000</v>
      </c>
      <c r="G516" s="8">
        <f t="shared" si="32"/>
        <v>1734</v>
      </c>
      <c r="H516" s="6">
        <v>40000</v>
      </c>
      <c r="I516" t="s">
        <v>34</v>
      </c>
      <c r="J516" t="s">
        <v>35</v>
      </c>
      <c r="K516" t="s">
        <v>1647</v>
      </c>
      <c r="L516" t="s">
        <v>1647</v>
      </c>
      <c r="M516" t="s">
        <v>45</v>
      </c>
      <c r="N516" s="6">
        <v>2</v>
      </c>
      <c r="O516" t="str">
        <f t="shared" si="33"/>
        <v>Normal</v>
      </c>
      <c r="P516" t="str">
        <f t="shared" si="34"/>
        <v>Duplicate ID</v>
      </c>
      <c r="Q516" t="str">
        <f t="shared" si="35"/>
        <v>5,000-9,999</v>
      </c>
      <c r="R516" s="6">
        <f>IF(COUNTIF($A$2:A516,A516)=1,1,0)</f>
        <v>1</v>
      </c>
    </row>
    <row r="517" spans="1:18" x14ac:dyDescent="0.25">
      <c r="A517" s="6">
        <v>1349</v>
      </c>
      <c r="B517" s="7">
        <v>44855</v>
      </c>
      <c r="C517" t="s">
        <v>119</v>
      </c>
      <c r="D517" s="6">
        <v>2021</v>
      </c>
      <c r="E517" s="8">
        <v>11575</v>
      </c>
      <c r="F517" s="8">
        <v>18000</v>
      </c>
      <c r="G517" s="8">
        <f t="shared" si="32"/>
        <v>6425</v>
      </c>
      <c r="H517" s="6">
        <v>25000</v>
      </c>
      <c r="I517" t="s">
        <v>58</v>
      </c>
      <c r="J517" t="s">
        <v>35</v>
      </c>
      <c r="K517" t="s">
        <v>1647</v>
      </c>
      <c r="L517" t="s">
        <v>48</v>
      </c>
      <c r="M517" t="s">
        <v>126</v>
      </c>
      <c r="N517" s="6">
        <v>0</v>
      </c>
      <c r="O517" t="str">
        <f t="shared" si="33"/>
        <v>Normal</v>
      </c>
      <c r="P517" t="str">
        <f t="shared" si="34"/>
        <v>Duplicate ID</v>
      </c>
      <c r="Q517" t="str">
        <f t="shared" si="35"/>
        <v>10,000-14,999</v>
      </c>
      <c r="R517" s="6">
        <f>IF(COUNTIF($A$2:A517,A517)=1,1,0)</f>
        <v>0</v>
      </c>
    </row>
    <row r="518" spans="1:18" x14ac:dyDescent="0.25">
      <c r="A518" s="6">
        <v>1079</v>
      </c>
      <c r="B518" s="7">
        <v>44363</v>
      </c>
      <c r="C518" t="s">
        <v>57</v>
      </c>
      <c r="D518" s="6">
        <v>2020</v>
      </c>
      <c r="E518" s="8">
        <v>25592</v>
      </c>
      <c r="F518" s="8">
        <v>31000</v>
      </c>
      <c r="G518" s="8">
        <f t="shared" si="32"/>
        <v>5408</v>
      </c>
      <c r="H518" s="6">
        <v>60000</v>
      </c>
      <c r="I518" t="s">
        <v>1647</v>
      </c>
      <c r="J518" t="s">
        <v>35</v>
      </c>
      <c r="K518" t="s">
        <v>96</v>
      </c>
      <c r="L518" t="s">
        <v>48</v>
      </c>
      <c r="M518" t="s">
        <v>45</v>
      </c>
      <c r="N518" s="6">
        <v>3</v>
      </c>
      <c r="O518" t="str">
        <f t="shared" si="33"/>
        <v>Normal</v>
      </c>
      <c r="P518" t="str">
        <f t="shared" si="34"/>
        <v>Duplicate ID</v>
      </c>
      <c r="Q518" t="str">
        <f t="shared" si="35"/>
        <v>25,000-30,000</v>
      </c>
      <c r="R518" s="6">
        <f>IF(COUNTIF($A$2:A518,A518)=1,1,0)</f>
        <v>1</v>
      </c>
    </row>
    <row r="519" spans="1:18" x14ac:dyDescent="0.25">
      <c r="A519" s="6">
        <v>1455</v>
      </c>
      <c r="B519" s="7">
        <v>44592</v>
      </c>
      <c r="C519" t="s">
        <v>57</v>
      </c>
      <c r="D519" s="6">
        <v>2014</v>
      </c>
      <c r="E519" s="8">
        <v>4966</v>
      </c>
      <c r="F519" s="8">
        <v>9000</v>
      </c>
      <c r="G519" s="8">
        <f t="shared" si="32"/>
        <v>4034</v>
      </c>
      <c r="H519" s="6">
        <v>60000</v>
      </c>
      <c r="I519" t="s">
        <v>69</v>
      </c>
      <c r="J519" t="s">
        <v>35</v>
      </c>
      <c r="K519" t="s">
        <v>36</v>
      </c>
      <c r="L519" t="s">
        <v>54</v>
      </c>
      <c r="M519" t="s">
        <v>90</v>
      </c>
      <c r="N519" s="6">
        <v>1</v>
      </c>
      <c r="O519" t="str">
        <f t="shared" si="33"/>
        <v>Normal</v>
      </c>
      <c r="P519" t="str">
        <f t="shared" si="34"/>
        <v>Duplicate ID</v>
      </c>
      <c r="Q519" t="str">
        <f t="shared" si="35"/>
        <v>0-4,999</v>
      </c>
      <c r="R519" s="6">
        <f>IF(COUNTIF($A$2:A519,A519)=1,1,0)</f>
        <v>0</v>
      </c>
    </row>
    <row r="520" spans="1:18" x14ac:dyDescent="0.25">
      <c r="A520" s="6">
        <v>1007</v>
      </c>
      <c r="B520" s="7">
        <v>44625</v>
      </c>
      <c r="C520" t="s">
        <v>1648</v>
      </c>
      <c r="D520" s="6">
        <v>2019</v>
      </c>
      <c r="E520" s="8">
        <v>1963</v>
      </c>
      <c r="F520" s="8">
        <v>7000</v>
      </c>
      <c r="G520" s="8">
        <f t="shared" si="32"/>
        <v>5037</v>
      </c>
      <c r="H520" s="6">
        <v>40000</v>
      </c>
      <c r="I520" t="s">
        <v>69</v>
      </c>
      <c r="J520" t="s">
        <v>1647</v>
      </c>
      <c r="K520" t="s">
        <v>1647</v>
      </c>
      <c r="L520" t="s">
        <v>48</v>
      </c>
      <c r="M520" t="s">
        <v>90</v>
      </c>
      <c r="N520" s="6" t="s">
        <v>1647</v>
      </c>
      <c r="O520" t="str">
        <f t="shared" si="33"/>
        <v>Normal</v>
      </c>
      <c r="P520" t="str">
        <f t="shared" si="34"/>
        <v>Duplicate ID</v>
      </c>
      <c r="Q520" t="str">
        <f t="shared" si="35"/>
        <v>0-4,999</v>
      </c>
      <c r="R520" s="6">
        <f>IF(COUNTIF($A$2:A520,A520)=1,1,0)</f>
        <v>0</v>
      </c>
    </row>
    <row r="521" spans="1:18" x14ac:dyDescent="0.25">
      <c r="A521" s="6">
        <v>1066</v>
      </c>
      <c r="B521" s="7">
        <v>44459</v>
      </c>
      <c r="C521" t="s">
        <v>57</v>
      </c>
      <c r="D521" s="6">
        <v>2018</v>
      </c>
      <c r="E521" s="8">
        <v>6182</v>
      </c>
      <c r="F521" s="8">
        <v>12000</v>
      </c>
      <c r="G521" s="8">
        <f t="shared" si="32"/>
        <v>5818</v>
      </c>
      <c r="H521" s="6">
        <v>15000</v>
      </c>
      <c r="I521" t="s">
        <v>69</v>
      </c>
      <c r="J521" t="s">
        <v>35</v>
      </c>
      <c r="K521" t="s">
        <v>36</v>
      </c>
      <c r="L521" t="s">
        <v>1647</v>
      </c>
      <c r="M521" t="s">
        <v>45</v>
      </c>
      <c r="N521" s="6" t="s">
        <v>1647</v>
      </c>
      <c r="O521" t="str">
        <f t="shared" si="33"/>
        <v>Normal</v>
      </c>
      <c r="P521" t="str">
        <f t="shared" si="34"/>
        <v>Duplicate ID</v>
      </c>
      <c r="Q521" t="str">
        <f t="shared" si="35"/>
        <v>5,000-9,999</v>
      </c>
      <c r="R521" s="6">
        <f>IF(COUNTIF($A$2:A521,A521)=1,1,0)</f>
        <v>1</v>
      </c>
    </row>
    <row r="522" spans="1:18" x14ac:dyDescent="0.25">
      <c r="A522" s="6">
        <v>1330</v>
      </c>
      <c r="B522" s="7">
        <v>44303</v>
      </c>
      <c r="C522" t="s">
        <v>1648</v>
      </c>
      <c r="D522" s="6">
        <v>2014</v>
      </c>
      <c r="E522" s="8">
        <v>19486</v>
      </c>
      <c r="F522" s="8">
        <v>26000</v>
      </c>
      <c r="G522" s="8">
        <f t="shared" si="32"/>
        <v>6514</v>
      </c>
      <c r="H522" s="6">
        <v>120000</v>
      </c>
      <c r="I522" t="s">
        <v>1647</v>
      </c>
      <c r="J522" t="s">
        <v>72</v>
      </c>
      <c r="K522" t="s">
        <v>96</v>
      </c>
      <c r="L522" t="s">
        <v>1647</v>
      </c>
      <c r="M522" t="s">
        <v>126</v>
      </c>
      <c r="N522" s="6">
        <v>1</v>
      </c>
      <c r="O522" t="str">
        <f t="shared" si="33"/>
        <v>Normal</v>
      </c>
      <c r="P522" t="str">
        <f t="shared" si="34"/>
        <v>Duplicate ID</v>
      </c>
      <c r="Q522" t="str">
        <f t="shared" si="35"/>
        <v>15,000-19,999</v>
      </c>
      <c r="R522" s="6">
        <f>IF(COUNTIF($A$2:A522,A522)=1,1,0)</f>
        <v>1</v>
      </c>
    </row>
    <row r="523" spans="1:18" x14ac:dyDescent="0.25">
      <c r="A523" s="6">
        <v>1005</v>
      </c>
      <c r="B523" s="7">
        <v>44844</v>
      </c>
      <c r="C523" t="s">
        <v>40</v>
      </c>
      <c r="D523" s="6">
        <v>2018</v>
      </c>
      <c r="E523" s="8">
        <v>21323</v>
      </c>
      <c r="F523" s="8">
        <v>26000</v>
      </c>
      <c r="G523" s="8">
        <f t="shared" si="32"/>
        <v>4677</v>
      </c>
      <c r="H523" s="6">
        <v>80000</v>
      </c>
      <c r="I523" t="s">
        <v>41</v>
      </c>
      <c r="J523" t="s">
        <v>35</v>
      </c>
      <c r="K523" t="s">
        <v>96</v>
      </c>
      <c r="L523" t="s">
        <v>73</v>
      </c>
      <c r="M523" t="s">
        <v>90</v>
      </c>
      <c r="N523" s="6">
        <v>1</v>
      </c>
      <c r="O523" t="str">
        <f t="shared" si="33"/>
        <v>Normal</v>
      </c>
      <c r="P523" t="str">
        <f t="shared" si="34"/>
        <v>Duplicate ID</v>
      </c>
      <c r="Q523" t="str">
        <f t="shared" si="35"/>
        <v>20,000-24,999</v>
      </c>
      <c r="R523" s="6">
        <f>IF(COUNTIF($A$2:A523,A523)=1,1,0)</f>
        <v>0</v>
      </c>
    </row>
    <row r="524" spans="1:18" x14ac:dyDescent="0.25">
      <c r="A524" s="6">
        <v>1028</v>
      </c>
      <c r="B524" s="7">
        <v>44395</v>
      </c>
      <c r="C524" t="s">
        <v>57</v>
      </c>
      <c r="D524" s="6">
        <v>2019</v>
      </c>
      <c r="E524" s="8">
        <v>11872</v>
      </c>
      <c r="F524" s="8">
        <v>18000</v>
      </c>
      <c r="G524" s="8">
        <f t="shared" si="32"/>
        <v>6128</v>
      </c>
      <c r="H524" s="6">
        <v>15000</v>
      </c>
      <c r="I524" t="s">
        <v>69</v>
      </c>
      <c r="J524" t="s">
        <v>72</v>
      </c>
      <c r="K524" t="s">
        <v>36</v>
      </c>
      <c r="L524" t="s">
        <v>73</v>
      </c>
      <c r="M524" t="s">
        <v>98</v>
      </c>
      <c r="N524" s="6">
        <v>1</v>
      </c>
      <c r="O524" t="str">
        <f t="shared" si="33"/>
        <v>Normal</v>
      </c>
      <c r="P524" t="str">
        <f t="shared" si="34"/>
        <v>Duplicate ID</v>
      </c>
      <c r="Q524" t="str">
        <f t="shared" si="35"/>
        <v>10,000-14,999</v>
      </c>
      <c r="R524" s="6">
        <f>IF(COUNTIF($A$2:A524,A524)=1,1,0)</f>
        <v>0</v>
      </c>
    </row>
    <row r="525" spans="1:18" x14ac:dyDescent="0.25">
      <c r="A525" s="6">
        <v>1449</v>
      </c>
      <c r="B525" s="7">
        <v>44346</v>
      </c>
      <c r="C525" t="s">
        <v>51</v>
      </c>
      <c r="D525" s="6">
        <v>2014</v>
      </c>
      <c r="E525" s="8">
        <v>19061</v>
      </c>
      <c r="F525" s="8">
        <v>22000</v>
      </c>
      <c r="G525" s="8">
        <f t="shared" si="32"/>
        <v>2939</v>
      </c>
      <c r="H525" s="6">
        <v>80000</v>
      </c>
      <c r="I525" t="s">
        <v>41</v>
      </c>
      <c r="J525" t="s">
        <v>35</v>
      </c>
      <c r="K525" t="s">
        <v>36</v>
      </c>
      <c r="L525" t="s">
        <v>48</v>
      </c>
      <c r="M525" t="s">
        <v>45</v>
      </c>
      <c r="N525" s="6">
        <v>0</v>
      </c>
      <c r="O525" t="str">
        <f t="shared" si="33"/>
        <v>Normal</v>
      </c>
      <c r="P525" t="str">
        <f t="shared" si="34"/>
        <v>Duplicate ID</v>
      </c>
      <c r="Q525" t="str">
        <f t="shared" si="35"/>
        <v>15,000-19,999</v>
      </c>
      <c r="R525" s="6">
        <f>IF(COUNTIF($A$2:A525,A525)=1,1,0)</f>
        <v>1</v>
      </c>
    </row>
    <row r="526" spans="1:18" x14ac:dyDescent="0.25">
      <c r="A526" s="6">
        <v>1067</v>
      </c>
      <c r="B526" s="7">
        <v>45081</v>
      </c>
      <c r="C526" t="s">
        <v>32</v>
      </c>
      <c r="D526" s="6">
        <v>2014</v>
      </c>
      <c r="E526" s="8">
        <v>27531</v>
      </c>
      <c r="F526" s="8">
        <v>31000</v>
      </c>
      <c r="G526" s="8">
        <f t="shared" si="32"/>
        <v>3469</v>
      </c>
      <c r="H526" s="6">
        <v>15000</v>
      </c>
      <c r="I526" t="s">
        <v>34</v>
      </c>
      <c r="J526" t="s">
        <v>72</v>
      </c>
      <c r="K526" t="s">
        <v>36</v>
      </c>
      <c r="L526" t="s">
        <v>48</v>
      </c>
      <c r="M526" t="s">
        <v>90</v>
      </c>
      <c r="N526" s="6" t="s">
        <v>1647</v>
      </c>
      <c r="O526" t="str">
        <f t="shared" si="33"/>
        <v>Normal</v>
      </c>
      <c r="P526" t="str">
        <f t="shared" si="34"/>
        <v>Duplicate ID</v>
      </c>
      <c r="Q526" t="str">
        <f t="shared" si="35"/>
        <v>25,000-30,000</v>
      </c>
      <c r="R526" s="6">
        <f>IF(COUNTIF($A$2:A526,A526)=1,1,0)</f>
        <v>1</v>
      </c>
    </row>
    <row r="527" spans="1:18" x14ac:dyDescent="0.25">
      <c r="A527" s="6">
        <v>1347</v>
      </c>
      <c r="B527" s="7">
        <v>44404</v>
      </c>
      <c r="C527" t="s">
        <v>40</v>
      </c>
      <c r="D527" s="6">
        <v>2021</v>
      </c>
      <c r="E527" s="8">
        <v>21493</v>
      </c>
      <c r="F527" s="8">
        <v>26000</v>
      </c>
      <c r="G527" s="8">
        <f t="shared" si="32"/>
        <v>4507</v>
      </c>
      <c r="H527" s="6">
        <v>60000</v>
      </c>
      <c r="I527" t="s">
        <v>69</v>
      </c>
      <c r="J527" t="s">
        <v>1647</v>
      </c>
      <c r="K527" t="s">
        <v>36</v>
      </c>
      <c r="L527" t="s">
        <v>73</v>
      </c>
      <c r="M527" t="s">
        <v>126</v>
      </c>
      <c r="N527" s="6">
        <v>0</v>
      </c>
      <c r="O527" t="str">
        <f t="shared" si="33"/>
        <v>Normal</v>
      </c>
      <c r="P527" t="str">
        <f t="shared" si="34"/>
        <v>Duplicate ID</v>
      </c>
      <c r="Q527" t="str">
        <f t="shared" si="35"/>
        <v>20,000-24,999</v>
      </c>
      <c r="R527" s="6">
        <f>IF(COUNTIF($A$2:A527,A527)=1,1,0)</f>
        <v>1</v>
      </c>
    </row>
    <row r="528" spans="1:18" x14ac:dyDescent="0.25">
      <c r="A528" s="6">
        <v>1262</v>
      </c>
      <c r="B528" s="7">
        <v>45239</v>
      </c>
      <c r="C528" t="s">
        <v>40</v>
      </c>
      <c r="D528" s="6"/>
      <c r="E528" s="8">
        <v>12968</v>
      </c>
      <c r="F528" s="8">
        <v>15000</v>
      </c>
      <c r="G528" s="8">
        <f t="shared" si="32"/>
        <v>2032</v>
      </c>
      <c r="H528" s="6">
        <v>80000</v>
      </c>
      <c r="I528" t="s">
        <v>58</v>
      </c>
      <c r="J528" t="s">
        <v>35</v>
      </c>
      <c r="K528" t="s">
        <v>36</v>
      </c>
      <c r="L528" t="s">
        <v>73</v>
      </c>
      <c r="M528" t="s">
        <v>126</v>
      </c>
      <c r="N528" s="6">
        <v>1</v>
      </c>
      <c r="O528" t="str">
        <f t="shared" si="33"/>
        <v>Normal</v>
      </c>
      <c r="P528" t="str">
        <f t="shared" si="34"/>
        <v>Duplicate ID</v>
      </c>
      <c r="Q528" t="str">
        <f t="shared" si="35"/>
        <v>10,000-14,999</v>
      </c>
      <c r="R528" s="6">
        <f>IF(COUNTIF($A$2:A528,A528)=1,1,0)</f>
        <v>1</v>
      </c>
    </row>
    <row r="529" spans="1:18" x14ac:dyDescent="0.25">
      <c r="A529" s="6">
        <v>1318</v>
      </c>
      <c r="B529" s="7">
        <v>44929</v>
      </c>
      <c r="C529" t="s">
        <v>51</v>
      </c>
      <c r="D529" s="6"/>
      <c r="E529" s="8">
        <v>19662</v>
      </c>
      <c r="F529" s="8">
        <v>26000</v>
      </c>
      <c r="G529" s="8">
        <f t="shared" si="32"/>
        <v>6338</v>
      </c>
      <c r="H529" s="6">
        <v>80000</v>
      </c>
      <c r="I529" t="s">
        <v>1647</v>
      </c>
      <c r="J529" t="s">
        <v>72</v>
      </c>
      <c r="K529" t="s">
        <v>1647</v>
      </c>
      <c r="L529" t="s">
        <v>54</v>
      </c>
      <c r="M529" t="s">
        <v>45</v>
      </c>
      <c r="N529" s="6">
        <v>2</v>
      </c>
      <c r="O529" t="str">
        <f t="shared" si="33"/>
        <v>Normal</v>
      </c>
      <c r="P529" t="str">
        <f t="shared" si="34"/>
        <v>Duplicate ID</v>
      </c>
      <c r="Q529" t="str">
        <f t="shared" si="35"/>
        <v>15,000-19,999</v>
      </c>
      <c r="R529" s="6">
        <f>IF(COUNTIF($A$2:A529,A529)=1,1,0)</f>
        <v>1</v>
      </c>
    </row>
    <row r="530" spans="1:18" x14ac:dyDescent="0.25">
      <c r="A530" s="6">
        <v>1572</v>
      </c>
      <c r="B530" s="7">
        <v>45235</v>
      </c>
      <c r="C530" t="s">
        <v>40</v>
      </c>
      <c r="D530" s="6">
        <v>2022</v>
      </c>
      <c r="E530" s="8">
        <v>9056</v>
      </c>
      <c r="F530" s="8">
        <v>12000</v>
      </c>
      <c r="G530" s="8">
        <f t="shared" si="32"/>
        <v>2944</v>
      </c>
      <c r="H530" s="6">
        <v>15000</v>
      </c>
      <c r="I530" t="s">
        <v>58</v>
      </c>
      <c r="J530" t="s">
        <v>35</v>
      </c>
      <c r="K530" t="s">
        <v>36</v>
      </c>
      <c r="L530" t="s">
        <v>54</v>
      </c>
      <c r="M530" t="s">
        <v>90</v>
      </c>
      <c r="N530" s="6">
        <v>3</v>
      </c>
      <c r="O530" t="str">
        <f t="shared" si="33"/>
        <v>Normal</v>
      </c>
      <c r="P530" t="str">
        <f t="shared" si="34"/>
        <v>Duplicate ID</v>
      </c>
      <c r="Q530" t="str">
        <f t="shared" si="35"/>
        <v>5,000-9,999</v>
      </c>
      <c r="R530" s="6">
        <f>IF(COUNTIF($A$2:A530,A530)=1,1,0)</f>
        <v>0</v>
      </c>
    </row>
    <row r="531" spans="1:18" x14ac:dyDescent="0.25">
      <c r="A531" s="6">
        <v>1306</v>
      </c>
      <c r="B531" s="7">
        <v>44884</v>
      </c>
      <c r="C531" t="s">
        <v>1648</v>
      </c>
      <c r="D531" s="6"/>
      <c r="E531" s="8">
        <v>16363</v>
      </c>
      <c r="F531" s="8">
        <v>22000</v>
      </c>
      <c r="G531" s="8">
        <f t="shared" si="32"/>
        <v>5637</v>
      </c>
      <c r="H531" s="6">
        <v>80000</v>
      </c>
      <c r="I531" t="s">
        <v>41</v>
      </c>
      <c r="J531" t="s">
        <v>72</v>
      </c>
      <c r="K531" t="s">
        <v>36</v>
      </c>
      <c r="L531" t="s">
        <v>73</v>
      </c>
      <c r="M531" t="s">
        <v>90</v>
      </c>
      <c r="N531" s="6">
        <v>1</v>
      </c>
      <c r="O531" t="str">
        <f t="shared" si="33"/>
        <v>Normal</v>
      </c>
      <c r="P531" t="str">
        <f t="shared" si="34"/>
        <v>Duplicate ID</v>
      </c>
      <c r="Q531" t="str">
        <f t="shared" si="35"/>
        <v>15,000-19,999</v>
      </c>
      <c r="R531" s="6">
        <f>IF(COUNTIF($A$2:A531,A531)=1,1,0)</f>
        <v>0</v>
      </c>
    </row>
    <row r="532" spans="1:18" x14ac:dyDescent="0.25">
      <c r="A532" s="6">
        <v>1384</v>
      </c>
      <c r="B532" s="7">
        <v>44875</v>
      </c>
      <c r="C532" t="s">
        <v>1648</v>
      </c>
      <c r="D532" s="6"/>
      <c r="E532" s="8">
        <v>10062</v>
      </c>
      <c r="F532" s="8">
        <v>15000</v>
      </c>
      <c r="G532" s="8">
        <f t="shared" si="32"/>
        <v>4938</v>
      </c>
      <c r="H532" s="6">
        <v>25000</v>
      </c>
      <c r="I532" t="s">
        <v>69</v>
      </c>
      <c r="J532" t="s">
        <v>35</v>
      </c>
      <c r="K532" t="s">
        <v>36</v>
      </c>
      <c r="L532" t="s">
        <v>54</v>
      </c>
      <c r="M532" t="s">
        <v>126</v>
      </c>
      <c r="N532" s="6" t="s">
        <v>1647</v>
      </c>
      <c r="O532" t="str">
        <f t="shared" si="33"/>
        <v>Normal</v>
      </c>
      <c r="P532" t="str">
        <f t="shared" si="34"/>
        <v>Duplicate ID</v>
      </c>
      <c r="Q532" t="str">
        <f t="shared" si="35"/>
        <v>10,000-14,999</v>
      </c>
      <c r="R532" s="6">
        <f>IF(COUNTIF($A$2:A532,A532)=1,1,0)</f>
        <v>0</v>
      </c>
    </row>
    <row r="533" spans="1:18" x14ac:dyDescent="0.25">
      <c r="A533" s="6">
        <v>1368</v>
      </c>
      <c r="B533" s="7">
        <v>45396</v>
      </c>
      <c r="C533" t="s">
        <v>32</v>
      </c>
      <c r="D533" s="6">
        <v>2016</v>
      </c>
      <c r="E533" s="8">
        <v>15408</v>
      </c>
      <c r="F533" s="8">
        <v>18000</v>
      </c>
      <c r="G533" s="8">
        <f t="shared" si="32"/>
        <v>2592</v>
      </c>
      <c r="H533" s="6">
        <v>60000</v>
      </c>
      <c r="I533" t="s">
        <v>58</v>
      </c>
      <c r="J533" t="s">
        <v>35</v>
      </c>
      <c r="K533" t="s">
        <v>96</v>
      </c>
      <c r="L533" t="s">
        <v>100</v>
      </c>
      <c r="M533" t="s">
        <v>45</v>
      </c>
      <c r="N533" s="6" t="s">
        <v>1647</v>
      </c>
      <c r="O533" t="str">
        <f t="shared" si="33"/>
        <v>Normal</v>
      </c>
      <c r="P533" t="str">
        <f t="shared" si="34"/>
        <v>Duplicate ID</v>
      </c>
      <c r="Q533" t="str">
        <f t="shared" si="35"/>
        <v>15,000-19,999</v>
      </c>
      <c r="R533" s="6">
        <f>IF(COUNTIF($A$2:A533,A533)=1,1,0)</f>
        <v>1</v>
      </c>
    </row>
    <row r="534" spans="1:18" x14ac:dyDescent="0.25">
      <c r="A534" s="6">
        <v>1103</v>
      </c>
      <c r="B534" s="7">
        <v>44733</v>
      </c>
      <c r="C534" t="s">
        <v>119</v>
      </c>
      <c r="D534" s="6">
        <v>2016</v>
      </c>
      <c r="E534" s="8">
        <v>12558</v>
      </c>
      <c r="F534" s="8">
        <v>15000</v>
      </c>
      <c r="G534" s="8">
        <f t="shared" si="32"/>
        <v>2442</v>
      </c>
      <c r="H534" s="6">
        <v>15000</v>
      </c>
      <c r="I534" t="s">
        <v>41</v>
      </c>
      <c r="J534" t="s">
        <v>72</v>
      </c>
      <c r="K534" t="s">
        <v>36</v>
      </c>
      <c r="L534" t="s">
        <v>54</v>
      </c>
      <c r="M534" t="s">
        <v>98</v>
      </c>
      <c r="N534" s="6">
        <v>1</v>
      </c>
      <c r="O534" t="str">
        <f t="shared" si="33"/>
        <v>Normal</v>
      </c>
      <c r="P534" t="str">
        <f t="shared" si="34"/>
        <v>Duplicate ID</v>
      </c>
      <c r="Q534" t="str">
        <f t="shared" si="35"/>
        <v>10,000-14,999</v>
      </c>
      <c r="R534" s="6">
        <f>IF(COUNTIF($A$2:A534,A534)=1,1,0)</f>
        <v>0</v>
      </c>
    </row>
    <row r="535" spans="1:18" x14ac:dyDescent="0.25">
      <c r="A535" s="6">
        <v>1066</v>
      </c>
      <c r="B535" s="7">
        <v>45085</v>
      </c>
      <c r="C535" t="s">
        <v>79</v>
      </c>
      <c r="D535" s="6">
        <v>2019</v>
      </c>
      <c r="E535" s="8">
        <v>5895</v>
      </c>
      <c r="F535" s="8">
        <v>12000</v>
      </c>
      <c r="G535" s="8">
        <f t="shared" si="32"/>
        <v>6105</v>
      </c>
      <c r="H535" s="6">
        <v>80000</v>
      </c>
      <c r="I535" t="s">
        <v>58</v>
      </c>
      <c r="J535" t="s">
        <v>35</v>
      </c>
      <c r="K535" t="s">
        <v>1647</v>
      </c>
      <c r="L535" t="s">
        <v>48</v>
      </c>
      <c r="M535" t="s">
        <v>45</v>
      </c>
      <c r="N535" s="6">
        <v>2</v>
      </c>
      <c r="O535" t="str">
        <f t="shared" si="33"/>
        <v>Normal</v>
      </c>
      <c r="P535" t="str">
        <f t="shared" si="34"/>
        <v>Duplicate ID</v>
      </c>
      <c r="Q535" t="str">
        <f t="shared" si="35"/>
        <v>5,000-9,999</v>
      </c>
      <c r="R535" s="6">
        <f>IF(COUNTIF($A$2:A535,A535)=1,1,0)</f>
        <v>0</v>
      </c>
    </row>
    <row r="536" spans="1:18" x14ac:dyDescent="0.25">
      <c r="A536" s="6">
        <v>1548</v>
      </c>
      <c r="B536" s="7">
        <v>44584</v>
      </c>
      <c r="C536" t="s">
        <v>1648</v>
      </c>
      <c r="D536" s="6">
        <v>2018</v>
      </c>
      <c r="E536" s="8">
        <v>8954</v>
      </c>
      <c r="F536" s="8">
        <v>15000</v>
      </c>
      <c r="G536" s="8">
        <f t="shared" si="32"/>
        <v>6046</v>
      </c>
      <c r="H536" s="6">
        <v>15000</v>
      </c>
      <c r="I536" t="s">
        <v>69</v>
      </c>
      <c r="J536" t="s">
        <v>35</v>
      </c>
      <c r="K536" t="s">
        <v>1647</v>
      </c>
      <c r="L536" t="s">
        <v>48</v>
      </c>
      <c r="M536" t="s">
        <v>90</v>
      </c>
      <c r="N536" s="6">
        <v>0</v>
      </c>
      <c r="O536" t="str">
        <f t="shared" si="33"/>
        <v>Normal</v>
      </c>
      <c r="P536" t="str">
        <f t="shared" si="34"/>
        <v>Duplicate ID</v>
      </c>
      <c r="Q536" t="str">
        <f t="shared" si="35"/>
        <v>5,000-9,999</v>
      </c>
      <c r="R536" s="6">
        <f>IF(COUNTIF($A$2:A536,A536)=1,1,0)</f>
        <v>1</v>
      </c>
    </row>
    <row r="537" spans="1:18" x14ac:dyDescent="0.25">
      <c r="A537" s="6">
        <v>1521</v>
      </c>
      <c r="B537" s="7">
        <v>44991</v>
      </c>
      <c r="C537" t="s">
        <v>1648</v>
      </c>
      <c r="D537" s="6">
        <v>2018</v>
      </c>
      <c r="E537" s="8">
        <v>3834</v>
      </c>
      <c r="F537" s="8">
        <v>9000</v>
      </c>
      <c r="G537" s="8">
        <f t="shared" si="32"/>
        <v>5166</v>
      </c>
      <c r="H537" s="6">
        <v>25000</v>
      </c>
      <c r="I537" t="s">
        <v>69</v>
      </c>
      <c r="J537" t="s">
        <v>1647</v>
      </c>
      <c r="K537" t="s">
        <v>96</v>
      </c>
      <c r="L537" t="s">
        <v>48</v>
      </c>
      <c r="M537" t="s">
        <v>98</v>
      </c>
      <c r="N537" s="6">
        <v>2</v>
      </c>
      <c r="O537" t="str">
        <f t="shared" si="33"/>
        <v>Normal</v>
      </c>
      <c r="P537" t="str">
        <f t="shared" si="34"/>
        <v>Duplicate ID</v>
      </c>
      <c r="Q537" t="str">
        <f t="shared" si="35"/>
        <v>0-4,999</v>
      </c>
      <c r="R537" s="6">
        <f>IF(COUNTIF($A$2:A537,A537)=1,1,0)</f>
        <v>1</v>
      </c>
    </row>
    <row r="538" spans="1:18" x14ac:dyDescent="0.25">
      <c r="A538" s="6">
        <v>1462</v>
      </c>
      <c r="B538" s="7">
        <v>44612</v>
      </c>
      <c r="C538" t="s">
        <v>79</v>
      </c>
      <c r="D538" s="6">
        <v>2018</v>
      </c>
      <c r="E538" s="8">
        <v>4202</v>
      </c>
      <c r="F538" s="8">
        <v>7000</v>
      </c>
      <c r="G538" s="8">
        <f t="shared" si="32"/>
        <v>2798</v>
      </c>
      <c r="H538" s="6">
        <v>25000</v>
      </c>
      <c r="I538" t="s">
        <v>34</v>
      </c>
      <c r="J538" t="s">
        <v>1647</v>
      </c>
      <c r="K538" t="s">
        <v>36</v>
      </c>
      <c r="L538" t="s">
        <v>54</v>
      </c>
      <c r="M538" t="s">
        <v>45</v>
      </c>
      <c r="N538" s="6" t="s">
        <v>1647</v>
      </c>
      <c r="O538" t="str">
        <f t="shared" si="33"/>
        <v>Normal</v>
      </c>
      <c r="P538" t="str">
        <f t="shared" si="34"/>
        <v>Duplicate ID</v>
      </c>
      <c r="Q538" t="str">
        <f t="shared" si="35"/>
        <v>0-4,999</v>
      </c>
      <c r="R538" s="6">
        <f>IF(COUNTIF($A$2:A538,A538)=1,1,0)</f>
        <v>1</v>
      </c>
    </row>
    <row r="539" spans="1:18" x14ac:dyDescent="0.25">
      <c r="A539" s="6">
        <v>1360</v>
      </c>
      <c r="B539" s="7">
        <v>45259</v>
      </c>
      <c r="C539" t="s">
        <v>40</v>
      </c>
      <c r="D539" s="6">
        <v>2016</v>
      </c>
      <c r="E539" s="8">
        <v>4359</v>
      </c>
      <c r="F539" s="8">
        <v>9000</v>
      </c>
      <c r="G539" s="8">
        <f t="shared" si="32"/>
        <v>4641</v>
      </c>
      <c r="H539" s="6">
        <v>40000</v>
      </c>
      <c r="I539" t="s">
        <v>69</v>
      </c>
      <c r="J539" t="s">
        <v>72</v>
      </c>
      <c r="K539" t="s">
        <v>96</v>
      </c>
      <c r="L539" t="s">
        <v>48</v>
      </c>
      <c r="M539" t="s">
        <v>98</v>
      </c>
      <c r="N539" s="6">
        <v>3</v>
      </c>
      <c r="O539" t="str">
        <f t="shared" si="33"/>
        <v>Normal</v>
      </c>
      <c r="P539" t="str">
        <f t="shared" si="34"/>
        <v>Duplicate ID</v>
      </c>
      <c r="Q539" t="str">
        <f t="shared" si="35"/>
        <v>0-4,999</v>
      </c>
      <c r="R539" s="6">
        <f>IF(COUNTIF($A$2:A539,A539)=1,1,0)</f>
        <v>0</v>
      </c>
    </row>
    <row r="540" spans="1:18" x14ac:dyDescent="0.25">
      <c r="A540" s="6">
        <v>1183</v>
      </c>
      <c r="B540" s="7">
        <v>44247</v>
      </c>
      <c r="C540" t="s">
        <v>79</v>
      </c>
      <c r="D540" s="6">
        <v>2021</v>
      </c>
      <c r="E540" s="8">
        <v>17868</v>
      </c>
      <c r="F540" s="8">
        <v>22000</v>
      </c>
      <c r="G540" s="8">
        <f t="shared" si="32"/>
        <v>4132</v>
      </c>
      <c r="H540" s="6">
        <v>40000</v>
      </c>
      <c r="I540" t="s">
        <v>41</v>
      </c>
      <c r="J540" t="s">
        <v>72</v>
      </c>
      <c r="K540" t="s">
        <v>1647</v>
      </c>
      <c r="L540" t="s">
        <v>1647</v>
      </c>
      <c r="M540" t="s">
        <v>1647</v>
      </c>
      <c r="N540" s="6">
        <v>0</v>
      </c>
      <c r="O540" t="str">
        <f t="shared" si="33"/>
        <v>Normal</v>
      </c>
      <c r="P540" t="str">
        <f t="shared" si="34"/>
        <v>Duplicate ID</v>
      </c>
      <c r="Q540" t="str">
        <f t="shared" si="35"/>
        <v>15,000-19,999</v>
      </c>
      <c r="R540" s="6">
        <f>IF(COUNTIF($A$2:A540,A540)=1,1,0)</f>
        <v>0</v>
      </c>
    </row>
    <row r="541" spans="1:18" x14ac:dyDescent="0.25">
      <c r="A541" s="6">
        <v>1039</v>
      </c>
      <c r="B541" s="7">
        <v>44934</v>
      </c>
      <c r="C541" t="s">
        <v>119</v>
      </c>
      <c r="D541" s="6">
        <v>2017</v>
      </c>
      <c r="E541" s="8">
        <v>7416</v>
      </c>
      <c r="F541" s="8">
        <v>9000</v>
      </c>
      <c r="G541" s="8">
        <f t="shared" si="32"/>
        <v>1584</v>
      </c>
      <c r="H541" s="6">
        <v>15000</v>
      </c>
      <c r="I541" t="s">
        <v>69</v>
      </c>
      <c r="J541" t="s">
        <v>72</v>
      </c>
      <c r="K541" t="s">
        <v>96</v>
      </c>
      <c r="L541" t="s">
        <v>100</v>
      </c>
      <c r="M541" t="s">
        <v>90</v>
      </c>
      <c r="N541" s="6" t="s">
        <v>1647</v>
      </c>
      <c r="O541" t="str">
        <f t="shared" si="33"/>
        <v>Normal</v>
      </c>
      <c r="P541" t="str">
        <f t="shared" si="34"/>
        <v>Duplicate ID</v>
      </c>
      <c r="Q541" t="str">
        <f t="shared" si="35"/>
        <v>5,000-9,999</v>
      </c>
      <c r="R541" s="6">
        <f>IF(COUNTIF($A$2:A541,A541)=1,1,0)</f>
        <v>1</v>
      </c>
    </row>
    <row r="542" spans="1:18" x14ac:dyDescent="0.25">
      <c r="A542" s="6">
        <v>1415</v>
      </c>
      <c r="B542" s="7">
        <v>45024</v>
      </c>
      <c r="C542" t="s">
        <v>119</v>
      </c>
      <c r="D542" s="6">
        <v>2014</v>
      </c>
      <c r="E542" s="8">
        <v>14161</v>
      </c>
      <c r="F542" s="8">
        <v>18000</v>
      </c>
      <c r="G542" s="8">
        <f t="shared" si="32"/>
        <v>3839</v>
      </c>
      <c r="H542" s="6">
        <v>40000</v>
      </c>
      <c r="I542" t="s">
        <v>58</v>
      </c>
      <c r="J542" t="s">
        <v>72</v>
      </c>
      <c r="K542" t="s">
        <v>36</v>
      </c>
      <c r="L542" t="s">
        <v>100</v>
      </c>
      <c r="M542" t="s">
        <v>90</v>
      </c>
      <c r="N542" s="6">
        <v>3</v>
      </c>
      <c r="O542" t="str">
        <f t="shared" si="33"/>
        <v>Normal</v>
      </c>
      <c r="P542" t="str">
        <f t="shared" si="34"/>
        <v>Duplicate ID</v>
      </c>
      <c r="Q542" t="str">
        <f t="shared" si="35"/>
        <v>10,000-14,999</v>
      </c>
      <c r="R542" s="6">
        <f>IF(COUNTIF($A$2:A542,A542)=1,1,0)</f>
        <v>1</v>
      </c>
    </row>
    <row r="543" spans="1:18" x14ac:dyDescent="0.25">
      <c r="A543" s="6">
        <v>1087</v>
      </c>
      <c r="B543" s="7">
        <v>44894</v>
      </c>
      <c r="C543" t="s">
        <v>119</v>
      </c>
      <c r="D543" s="6">
        <v>2022</v>
      </c>
      <c r="E543" s="8">
        <v>26221</v>
      </c>
      <c r="F543" s="8">
        <v>31000</v>
      </c>
      <c r="G543" s="8">
        <f t="shared" si="32"/>
        <v>4779</v>
      </c>
      <c r="H543" s="6">
        <v>120000</v>
      </c>
      <c r="I543" t="s">
        <v>34</v>
      </c>
      <c r="J543" t="s">
        <v>35</v>
      </c>
      <c r="K543" t="s">
        <v>96</v>
      </c>
      <c r="L543" t="s">
        <v>48</v>
      </c>
      <c r="M543" t="s">
        <v>1647</v>
      </c>
      <c r="N543" s="6">
        <v>0</v>
      </c>
      <c r="O543" t="str">
        <f t="shared" si="33"/>
        <v>Normal</v>
      </c>
      <c r="P543" t="str">
        <f t="shared" si="34"/>
        <v>Duplicate ID</v>
      </c>
      <c r="Q543" t="str">
        <f t="shared" si="35"/>
        <v>25,000-30,000</v>
      </c>
      <c r="R543" s="6">
        <f>IF(COUNTIF($A$2:A543,A543)=1,1,0)</f>
        <v>0</v>
      </c>
    </row>
    <row r="544" spans="1:18" x14ac:dyDescent="0.25">
      <c r="A544" s="6">
        <v>1363</v>
      </c>
      <c r="B544" s="7">
        <v>45220</v>
      </c>
      <c r="C544" t="s">
        <v>79</v>
      </c>
      <c r="D544" s="6">
        <v>2016</v>
      </c>
      <c r="E544" s="8">
        <v>10921</v>
      </c>
      <c r="F544" s="8">
        <v>12000</v>
      </c>
      <c r="G544" s="8">
        <f t="shared" si="32"/>
        <v>1079</v>
      </c>
      <c r="H544" s="6">
        <v>40000</v>
      </c>
      <c r="I544" t="s">
        <v>34</v>
      </c>
      <c r="J544" t="s">
        <v>1647</v>
      </c>
      <c r="K544" t="s">
        <v>96</v>
      </c>
      <c r="L544" t="s">
        <v>54</v>
      </c>
      <c r="M544" t="s">
        <v>126</v>
      </c>
      <c r="N544" s="6" t="s">
        <v>1647</v>
      </c>
      <c r="O544" t="str">
        <f t="shared" si="33"/>
        <v>Normal</v>
      </c>
      <c r="P544" t="str">
        <f t="shared" si="34"/>
        <v>Duplicate ID</v>
      </c>
      <c r="Q544" t="str">
        <f t="shared" si="35"/>
        <v>10,000-14,999</v>
      </c>
      <c r="R544" s="6">
        <f>IF(COUNTIF($A$2:A544,A544)=1,1,0)</f>
        <v>1</v>
      </c>
    </row>
    <row r="545" spans="1:18" x14ac:dyDescent="0.25">
      <c r="A545" s="6">
        <v>1400</v>
      </c>
      <c r="B545" s="7">
        <v>45372</v>
      </c>
      <c r="C545" t="s">
        <v>40</v>
      </c>
      <c r="D545" s="6">
        <v>2016</v>
      </c>
      <c r="E545" s="8">
        <v>6346</v>
      </c>
      <c r="F545" s="8">
        <v>12000</v>
      </c>
      <c r="G545" s="8">
        <f t="shared" si="32"/>
        <v>5654</v>
      </c>
      <c r="H545" s="6">
        <v>40000</v>
      </c>
      <c r="I545" t="s">
        <v>34</v>
      </c>
      <c r="J545" t="s">
        <v>35</v>
      </c>
      <c r="K545" t="s">
        <v>96</v>
      </c>
      <c r="L545" t="s">
        <v>73</v>
      </c>
      <c r="M545" t="s">
        <v>45</v>
      </c>
      <c r="N545" s="6" t="s">
        <v>1647</v>
      </c>
      <c r="O545" t="str">
        <f t="shared" si="33"/>
        <v>Normal</v>
      </c>
      <c r="P545" t="str">
        <f t="shared" si="34"/>
        <v>Duplicate ID</v>
      </c>
      <c r="Q545" t="str">
        <f t="shared" si="35"/>
        <v>5,000-9,999</v>
      </c>
      <c r="R545" s="6">
        <f>IF(COUNTIF($A$2:A545,A545)=1,1,0)</f>
        <v>0</v>
      </c>
    </row>
    <row r="546" spans="1:18" x14ac:dyDescent="0.25">
      <c r="A546" s="6">
        <v>1566</v>
      </c>
      <c r="B546" s="7">
        <v>44410</v>
      </c>
      <c r="C546" t="s">
        <v>1648</v>
      </c>
      <c r="D546" s="6">
        <v>2018</v>
      </c>
      <c r="E546" s="8">
        <v>15596</v>
      </c>
      <c r="F546" s="8">
        <v>18000</v>
      </c>
      <c r="G546" s="8">
        <f t="shared" si="32"/>
        <v>2404</v>
      </c>
      <c r="H546" s="6">
        <v>15000</v>
      </c>
      <c r="I546" t="s">
        <v>41</v>
      </c>
      <c r="J546" t="s">
        <v>35</v>
      </c>
      <c r="K546" t="s">
        <v>36</v>
      </c>
      <c r="L546" t="s">
        <v>73</v>
      </c>
      <c r="M546" t="s">
        <v>98</v>
      </c>
      <c r="N546" s="6">
        <v>2</v>
      </c>
      <c r="O546" t="str">
        <f t="shared" si="33"/>
        <v>Normal</v>
      </c>
      <c r="P546" t="str">
        <f t="shared" si="34"/>
        <v>Duplicate ID</v>
      </c>
      <c r="Q546" t="str">
        <f t="shared" si="35"/>
        <v>15,000-19,999</v>
      </c>
      <c r="R546" s="6">
        <f>IF(COUNTIF($A$2:A546,A546)=1,1,0)</f>
        <v>0</v>
      </c>
    </row>
    <row r="547" spans="1:18" x14ac:dyDescent="0.25">
      <c r="A547" s="6">
        <v>1465</v>
      </c>
      <c r="B547" s="7">
        <v>44340</v>
      </c>
      <c r="C547" t="s">
        <v>57</v>
      </c>
      <c r="D547" s="6">
        <v>2017</v>
      </c>
      <c r="E547" s="8">
        <v>12705</v>
      </c>
      <c r="F547" s="8">
        <v>18000</v>
      </c>
      <c r="G547" s="8">
        <f t="shared" si="32"/>
        <v>5295</v>
      </c>
      <c r="H547" s="6">
        <v>120000</v>
      </c>
      <c r="I547" t="s">
        <v>34</v>
      </c>
      <c r="J547" t="s">
        <v>72</v>
      </c>
      <c r="K547" t="s">
        <v>36</v>
      </c>
      <c r="L547" t="s">
        <v>73</v>
      </c>
      <c r="M547" t="s">
        <v>90</v>
      </c>
      <c r="N547" s="6" t="s">
        <v>1647</v>
      </c>
      <c r="O547" t="str">
        <f t="shared" si="33"/>
        <v>Normal</v>
      </c>
      <c r="P547" t="str">
        <f t="shared" si="34"/>
        <v>Duplicate ID</v>
      </c>
      <c r="Q547" t="str">
        <f t="shared" si="35"/>
        <v>10,000-14,999</v>
      </c>
      <c r="R547" s="6">
        <f>IF(COUNTIF($A$2:A547,A547)=1,1,0)</f>
        <v>1</v>
      </c>
    </row>
    <row r="548" spans="1:18" x14ac:dyDescent="0.25">
      <c r="A548" s="6">
        <v>1210</v>
      </c>
      <c r="B548" s="7">
        <v>44463</v>
      </c>
      <c r="C548" t="s">
        <v>1648</v>
      </c>
      <c r="D548" s="6">
        <v>2021</v>
      </c>
      <c r="E548" s="8">
        <v>6309</v>
      </c>
      <c r="F548" s="8">
        <v>9000</v>
      </c>
      <c r="G548" s="8">
        <f t="shared" si="32"/>
        <v>2691</v>
      </c>
      <c r="H548" s="6">
        <v>60000</v>
      </c>
      <c r="I548" t="s">
        <v>58</v>
      </c>
      <c r="J548" t="s">
        <v>1647</v>
      </c>
      <c r="K548" t="s">
        <v>1647</v>
      </c>
      <c r="L548" t="s">
        <v>54</v>
      </c>
      <c r="M548" t="s">
        <v>90</v>
      </c>
      <c r="N548" s="6" t="s">
        <v>1647</v>
      </c>
      <c r="O548" t="str">
        <f t="shared" si="33"/>
        <v>Normal</v>
      </c>
      <c r="P548" t="str">
        <f t="shared" si="34"/>
        <v>Duplicate ID</v>
      </c>
      <c r="Q548" t="str">
        <f t="shared" si="35"/>
        <v>5,000-9,999</v>
      </c>
      <c r="R548" s="6">
        <f>IF(COUNTIF($A$2:A548,A548)=1,1,0)</f>
        <v>1</v>
      </c>
    </row>
    <row r="549" spans="1:18" x14ac:dyDescent="0.25">
      <c r="A549" s="6">
        <v>1065</v>
      </c>
      <c r="B549" s="7">
        <v>45109</v>
      </c>
      <c r="C549" t="s">
        <v>1648</v>
      </c>
      <c r="D549" s="6">
        <v>2018</v>
      </c>
      <c r="E549" s="8">
        <v>12832</v>
      </c>
      <c r="F549" s="8">
        <v>15000</v>
      </c>
      <c r="G549" s="8">
        <f t="shared" si="32"/>
        <v>2168</v>
      </c>
      <c r="H549" s="6">
        <v>15000</v>
      </c>
      <c r="I549" t="s">
        <v>69</v>
      </c>
      <c r="J549" t="s">
        <v>1647</v>
      </c>
      <c r="K549" t="s">
        <v>96</v>
      </c>
      <c r="L549" t="s">
        <v>48</v>
      </c>
      <c r="M549" t="s">
        <v>98</v>
      </c>
      <c r="N549" s="6" t="s">
        <v>1647</v>
      </c>
      <c r="O549" t="str">
        <f t="shared" si="33"/>
        <v>Normal</v>
      </c>
      <c r="P549" t="str">
        <f t="shared" si="34"/>
        <v>Duplicate ID</v>
      </c>
      <c r="Q549" t="str">
        <f t="shared" si="35"/>
        <v>10,000-14,999</v>
      </c>
      <c r="R549" s="6">
        <f>IF(COUNTIF($A$2:A549,A549)=1,1,0)</f>
        <v>0</v>
      </c>
    </row>
    <row r="550" spans="1:18" x14ac:dyDescent="0.25">
      <c r="A550" s="6">
        <v>1304</v>
      </c>
      <c r="B550" s="7">
        <v>44907</v>
      </c>
      <c r="C550" t="s">
        <v>40</v>
      </c>
      <c r="D550" s="6">
        <v>2015</v>
      </c>
      <c r="E550" s="8">
        <v>13262</v>
      </c>
      <c r="F550" s="8">
        <v>18000</v>
      </c>
      <c r="G550" s="8">
        <f t="shared" si="32"/>
        <v>4738</v>
      </c>
      <c r="H550" s="6">
        <v>120000</v>
      </c>
      <c r="I550" t="s">
        <v>34</v>
      </c>
      <c r="J550" t="s">
        <v>35</v>
      </c>
      <c r="K550" t="s">
        <v>36</v>
      </c>
      <c r="L550" t="s">
        <v>48</v>
      </c>
      <c r="M550" t="s">
        <v>98</v>
      </c>
      <c r="N550" s="6">
        <v>3</v>
      </c>
      <c r="O550" t="str">
        <f t="shared" si="33"/>
        <v>Normal</v>
      </c>
      <c r="P550" t="str">
        <f t="shared" si="34"/>
        <v>Duplicate ID</v>
      </c>
      <c r="Q550" t="str">
        <f t="shared" si="35"/>
        <v>10,000-14,999</v>
      </c>
      <c r="R550" s="6">
        <f>IF(COUNTIF($A$2:A550,A550)=1,1,0)</f>
        <v>0</v>
      </c>
    </row>
    <row r="551" spans="1:18" x14ac:dyDescent="0.25">
      <c r="A551" s="6">
        <v>1245</v>
      </c>
      <c r="B551" s="7">
        <v>44286</v>
      </c>
      <c r="C551" t="s">
        <v>57</v>
      </c>
      <c r="D551" s="6"/>
      <c r="E551" s="8">
        <v>2277</v>
      </c>
      <c r="F551" s="8">
        <v>9000</v>
      </c>
      <c r="G551" s="8">
        <f t="shared" si="32"/>
        <v>6723</v>
      </c>
      <c r="H551" s="6">
        <v>60000</v>
      </c>
      <c r="I551" t="s">
        <v>69</v>
      </c>
      <c r="J551" t="s">
        <v>35</v>
      </c>
      <c r="K551" t="s">
        <v>36</v>
      </c>
      <c r="L551" t="s">
        <v>48</v>
      </c>
      <c r="M551" t="s">
        <v>98</v>
      </c>
      <c r="N551" s="6" t="s">
        <v>1647</v>
      </c>
      <c r="O551" t="str">
        <f t="shared" si="33"/>
        <v>Normal</v>
      </c>
      <c r="P551" t="str">
        <f t="shared" si="34"/>
        <v>Duplicate ID</v>
      </c>
      <c r="Q551" t="str">
        <f t="shared" si="35"/>
        <v>0-4,999</v>
      </c>
      <c r="R551" s="6">
        <f>IF(COUNTIF($A$2:A551,A551)=1,1,0)</f>
        <v>1</v>
      </c>
    </row>
    <row r="552" spans="1:18" x14ac:dyDescent="0.25">
      <c r="A552" s="6">
        <v>1419</v>
      </c>
      <c r="B552" s="7">
        <v>44864</v>
      </c>
      <c r="C552" t="s">
        <v>32</v>
      </c>
      <c r="D552" s="6">
        <v>2019</v>
      </c>
      <c r="E552" s="8">
        <v>3868</v>
      </c>
      <c r="F552" s="8">
        <v>9000</v>
      </c>
      <c r="G552" s="8">
        <f t="shared" si="32"/>
        <v>5132</v>
      </c>
      <c r="H552" s="6">
        <v>15000</v>
      </c>
      <c r="I552" t="s">
        <v>1647</v>
      </c>
      <c r="J552" t="s">
        <v>35</v>
      </c>
      <c r="K552" t="s">
        <v>36</v>
      </c>
      <c r="L552" t="s">
        <v>48</v>
      </c>
      <c r="M552" t="s">
        <v>98</v>
      </c>
      <c r="N552" s="6">
        <v>2</v>
      </c>
      <c r="O552" t="str">
        <f t="shared" si="33"/>
        <v>Normal</v>
      </c>
      <c r="P552" t="str">
        <f t="shared" si="34"/>
        <v>Duplicate ID</v>
      </c>
      <c r="Q552" t="str">
        <f t="shared" si="35"/>
        <v>0-4,999</v>
      </c>
      <c r="R552" s="6">
        <f>IF(COUNTIF($A$2:A552,A552)=1,1,0)</f>
        <v>1</v>
      </c>
    </row>
    <row r="553" spans="1:18" x14ac:dyDescent="0.25">
      <c r="A553" s="6">
        <v>1117</v>
      </c>
      <c r="B553" s="7">
        <v>44710</v>
      </c>
      <c r="C553" t="s">
        <v>79</v>
      </c>
      <c r="D553" s="6">
        <v>2017</v>
      </c>
      <c r="E553" s="8">
        <v>24913</v>
      </c>
      <c r="F553" s="8">
        <v>26000</v>
      </c>
      <c r="G553" s="8">
        <f t="shared" si="32"/>
        <v>1087</v>
      </c>
      <c r="H553" s="6">
        <v>15000</v>
      </c>
      <c r="I553" t="s">
        <v>1647</v>
      </c>
      <c r="J553" t="s">
        <v>72</v>
      </c>
      <c r="K553" t="s">
        <v>96</v>
      </c>
      <c r="L553" t="s">
        <v>73</v>
      </c>
      <c r="M553" t="s">
        <v>126</v>
      </c>
      <c r="N553" s="6" t="s">
        <v>1647</v>
      </c>
      <c r="O553" t="str">
        <f t="shared" si="33"/>
        <v>Normal</v>
      </c>
      <c r="P553" t="str">
        <f t="shared" si="34"/>
        <v>Duplicate ID</v>
      </c>
      <c r="Q553" t="str">
        <f t="shared" si="35"/>
        <v>20,000-24,999</v>
      </c>
      <c r="R553" s="6">
        <f>IF(COUNTIF($A$2:A553,A553)=1,1,0)</f>
        <v>0</v>
      </c>
    </row>
    <row r="554" spans="1:18" x14ac:dyDescent="0.25">
      <c r="A554" s="6">
        <v>1174</v>
      </c>
      <c r="B554" s="7">
        <v>44527</v>
      </c>
      <c r="C554" t="s">
        <v>119</v>
      </c>
      <c r="D554" s="6">
        <v>2021</v>
      </c>
      <c r="E554" s="8">
        <v>8714</v>
      </c>
      <c r="F554" s="8">
        <v>12000</v>
      </c>
      <c r="G554" s="8">
        <f t="shared" si="32"/>
        <v>3286</v>
      </c>
      <c r="H554" s="6">
        <v>60000</v>
      </c>
      <c r="I554" t="s">
        <v>41</v>
      </c>
      <c r="J554" t="s">
        <v>1647</v>
      </c>
      <c r="K554" t="s">
        <v>96</v>
      </c>
      <c r="L554" t="s">
        <v>100</v>
      </c>
      <c r="M554" t="s">
        <v>126</v>
      </c>
      <c r="N554" s="6">
        <v>0</v>
      </c>
      <c r="O554" t="str">
        <f t="shared" si="33"/>
        <v>Normal</v>
      </c>
      <c r="P554" t="str">
        <f t="shared" si="34"/>
        <v>Duplicate ID</v>
      </c>
      <c r="Q554" t="str">
        <f t="shared" si="35"/>
        <v>5,000-9,999</v>
      </c>
      <c r="R554" s="6">
        <f>IF(COUNTIF($A$2:A554,A554)=1,1,0)</f>
        <v>0</v>
      </c>
    </row>
    <row r="555" spans="1:18" x14ac:dyDescent="0.25">
      <c r="A555" s="6">
        <v>1035</v>
      </c>
      <c r="B555" s="7">
        <v>44640</v>
      </c>
      <c r="C555" t="s">
        <v>119</v>
      </c>
      <c r="D555" s="6">
        <v>2016</v>
      </c>
      <c r="E555" s="8">
        <v>28543</v>
      </c>
      <c r="F555" s="8">
        <v>31000</v>
      </c>
      <c r="G555" s="8">
        <f t="shared" si="32"/>
        <v>2457</v>
      </c>
      <c r="H555" s="6">
        <v>40000</v>
      </c>
      <c r="I555" t="s">
        <v>41</v>
      </c>
      <c r="J555" t="s">
        <v>1647</v>
      </c>
      <c r="K555" t="s">
        <v>36</v>
      </c>
      <c r="L555" t="s">
        <v>48</v>
      </c>
      <c r="M555" t="s">
        <v>45</v>
      </c>
      <c r="N555" s="6">
        <v>3</v>
      </c>
      <c r="O555" t="str">
        <f t="shared" si="33"/>
        <v>Normal</v>
      </c>
      <c r="P555" t="str">
        <f t="shared" si="34"/>
        <v>Duplicate ID</v>
      </c>
      <c r="Q555" t="str">
        <f t="shared" si="35"/>
        <v>25,000-30,000</v>
      </c>
      <c r="R555" s="6">
        <f>IF(COUNTIF($A$2:A555,A555)=1,1,0)</f>
        <v>1</v>
      </c>
    </row>
    <row r="556" spans="1:18" x14ac:dyDescent="0.25">
      <c r="A556" s="6">
        <v>1255</v>
      </c>
      <c r="B556" s="7">
        <v>44610</v>
      </c>
      <c r="C556" t="s">
        <v>40</v>
      </c>
      <c r="D556" s="6"/>
      <c r="E556" s="8">
        <v>2909</v>
      </c>
      <c r="F556" s="8">
        <v>7000</v>
      </c>
      <c r="G556" s="8">
        <f t="shared" si="32"/>
        <v>4091</v>
      </c>
      <c r="H556" s="6">
        <v>15000</v>
      </c>
      <c r="I556" t="s">
        <v>34</v>
      </c>
      <c r="J556" t="s">
        <v>35</v>
      </c>
      <c r="K556" t="s">
        <v>36</v>
      </c>
      <c r="L556" t="s">
        <v>54</v>
      </c>
      <c r="M556" t="s">
        <v>90</v>
      </c>
      <c r="N556" s="6">
        <v>0</v>
      </c>
      <c r="O556" t="str">
        <f t="shared" si="33"/>
        <v>Normal</v>
      </c>
      <c r="P556" t="str">
        <f t="shared" si="34"/>
        <v>Unique ID</v>
      </c>
      <c r="Q556" t="str">
        <f t="shared" si="35"/>
        <v>0-4,999</v>
      </c>
      <c r="R556" s="6">
        <f>IF(COUNTIF($A$2:A556,A556)=1,1,0)</f>
        <v>1</v>
      </c>
    </row>
    <row r="557" spans="1:18" x14ac:dyDescent="0.25">
      <c r="A557" s="6">
        <v>1425</v>
      </c>
      <c r="B557" s="7">
        <v>44287</v>
      </c>
      <c r="C557" t="s">
        <v>119</v>
      </c>
      <c r="D557" s="6">
        <v>2015</v>
      </c>
      <c r="E557" s="8">
        <v>9632</v>
      </c>
      <c r="F557" s="8">
        <v>12000</v>
      </c>
      <c r="G557" s="8">
        <f t="shared" si="32"/>
        <v>2368</v>
      </c>
      <c r="H557" s="6">
        <v>120000</v>
      </c>
      <c r="I557" t="s">
        <v>58</v>
      </c>
      <c r="J557" t="s">
        <v>1647</v>
      </c>
      <c r="K557" t="s">
        <v>36</v>
      </c>
      <c r="L557" t="s">
        <v>1647</v>
      </c>
      <c r="M557" t="s">
        <v>98</v>
      </c>
      <c r="N557" s="6">
        <v>3</v>
      </c>
      <c r="O557" t="str">
        <f t="shared" si="33"/>
        <v>Normal</v>
      </c>
      <c r="P557" t="str">
        <f t="shared" si="34"/>
        <v>Duplicate ID</v>
      </c>
      <c r="Q557" t="str">
        <f t="shared" si="35"/>
        <v>5,000-9,999</v>
      </c>
      <c r="R557" s="6">
        <f>IF(COUNTIF($A$2:A557,A557)=1,1,0)</f>
        <v>1</v>
      </c>
    </row>
    <row r="558" spans="1:18" x14ac:dyDescent="0.25">
      <c r="A558" s="6">
        <v>1177</v>
      </c>
      <c r="B558" s="7">
        <v>44859</v>
      </c>
      <c r="C558" t="s">
        <v>32</v>
      </c>
      <c r="D558" s="6">
        <v>2017</v>
      </c>
      <c r="E558" s="8">
        <v>11079</v>
      </c>
      <c r="F558" s="8">
        <v>15000</v>
      </c>
      <c r="G558" s="8">
        <f t="shared" si="32"/>
        <v>3921</v>
      </c>
      <c r="H558" s="6">
        <v>15000</v>
      </c>
      <c r="I558" t="s">
        <v>58</v>
      </c>
      <c r="J558" t="s">
        <v>72</v>
      </c>
      <c r="K558" t="s">
        <v>36</v>
      </c>
      <c r="L558" t="s">
        <v>73</v>
      </c>
      <c r="M558" t="s">
        <v>45</v>
      </c>
      <c r="N558" s="6" t="s">
        <v>1647</v>
      </c>
      <c r="O558" t="str">
        <f t="shared" si="33"/>
        <v>Normal</v>
      </c>
      <c r="P558" t="str">
        <f t="shared" si="34"/>
        <v>Duplicate ID</v>
      </c>
      <c r="Q558" t="str">
        <f t="shared" si="35"/>
        <v>10,000-14,999</v>
      </c>
      <c r="R558" s="6">
        <f>IF(COUNTIF($A$2:A558,A558)=1,1,0)</f>
        <v>0</v>
      </c>
    </row>
    <row r="559" spans="1:18" x14ac:dyDescent="0.25">
      <c r="A559" s="6">
        <v>1511</v>
      </c>
      <c r="B559" s="7">
        <v>44814</v>
      </c>
      <c r="C559" t="s">
        <v>79</v>
      </c>
      <c r="D559" s="6">
        <v>2014</v>
      </c>
      <c r="E559" s="8">
        <v>4633</v>
      </c>
      <c r="F559" s="8">
        <v>9000</v>
      </c>
      <c r="G559" s="8">
        <f t="shared" si="32"/>
        <v>4367</v>
      </c>
      <c r="H559" s="6">
        <v>25000</v>
      </c>
      <c r="I559" t="s">
        <v>58</v>
      </c>
      <c r="J559" t="s">
        <v>72</v>
      </c>
      <c r="K559" t="s">
        <v>36</v>
      </c>
      <c r="L559" t="s">
        <v>54</v>
      </c>
      <c r="M559" t="s">
        <v>98</v>
      </c>
      <c r="N559" s="6">
        <v>1</v>
      </c>
      <c r="O559" t="str">
        <f t="shared" si="33"/>
        <v>Normal</v>
      </c>
      <c r="P559" t="str">
        <f t="shared" si="34"/>
        <v>Duplicate ID</v>
      </c>
      <c r="Q559" t="str">
        <f t="shared" si="35"/>
        <v>0-4,999</v>
      </c>
      <c r="R559" s="6">
        <f>IF(COUNTIF($A$2:A559,A559)=1,1,0)</f>
        <v>1</v>
      </c>
    </row>
    <row r="560" spans="1:18" x14ac:dyDescent="0.25">
      <c r="A560" s="6">
        <v>1343</v>
      </c>
      <c r="B560" s="7">
        <v>44335</v>
      </c>
      <c r="C560" t="s">
        <v>51</v>
      </c>
      <c r="D560" s="6">
        <v>2016</v>
      </c>
      <c r="E560" s="8">
        <v>17051</v>
      </c>
      <c r="F560" s="8">
        <v>22000</v>
      </c>
      <c r="G560" s="8">
        <f t="shared" si="32"/>
        <v>4949</v>
      </c>
      <c r="H560" s="6">
        <v>120000</v>
      </c>
      <c r="I560" t="s">
        <v>58</v>
      </c>
      <c r="J560" t="s">
        <v>1647</v>
      </c>
      <c r="K560" t="s">
        <v>1647</v>
      </c>
      <c r="L560" t="s">
        <v>73</v>
      </c>
      <c r="M560" t="s">
        <v>90</v>
      </c>
      <c r="N560" s="6">
        <v>0</v>
      </c>
      <c r="O560" t="str">
        <f t="shared" si="33"/>
        <v>Normal</v>
      </c>
      <c r="P560" t="str">
        <f t="shared" si="34"/>
        <v>Unique ID</v>
      </c>
      <c r="Q560" t="str">
        <f t="shared" si="35"/>
        <v>15,000-19,999</v>
      </c>
      <c r="R560" s="6">
        <f>IF(COUNTIF($A$2:A560,A560)=1,1,0)</f>
        <v>1</v>
      </c>
    </row>
    <row r="561" spans="1:18" x14ac:dyDescent="0.25">
      <c r="A561" s="6">
        <v>1081</v>
      </c>
      <c r="B561" s="7">
        <v>44695</v>
      </c>
      <c r="C561" t="s">
        <v>32</v>
      </c>
      <c r="D561" s="6">
        <v>2018</v>
      </c>
      <c r="E561" s="8">
        <v>10490</v>
      </c>
      <c r="F561" s="8">
        <v>15000</v>
      </c>
      <c r="G561" s="8">
        <f t="shared" si="32"/>
        <v>4510</v>
      </c>
      <c r="H561" s="6">
        <v>120000</v>
      </c>
      <c r="I561" t="s">
        <v>58</v>
      </c>
      <c r="J561" t="s">
        <v>72</v>
      </c>
      <c r="K561" t="s">
        <v>36</v>
      </c>
      <c r="L561" t="s">
        <v>73</v>
      </c>
      <c r="M561" t="s">
        <v>90</v>
      </c>
      <c r="N561" s="6" t="s">
        <v>1647</v>
      </c>
      <c r="O561" t="str">
        <f t="shared" si="33"/>
        <v>Normal</v>
      </c>
      <c r="P561" t="str">
        <f t="shared" si="34"/>
        <v>Duplicate ID</v>
      </c>
      <c r="Q561" t="str">
        <f t="shared" si="35"/>
        <v>10,000-14,999</v>
      </c>
      <c r="R561" s="6">
        <f>IF(COUNTIF($A$2:A561,A561)=1,1,0)</f>
        <v>1</v>
      </c>
    </row>
    <row r="562" spans="1:18" x14ac:dyDescent="0.25">
      <c r="A562" s="6">
        <v>1533</v>
      </c>
      <c r="B562" s="7">
        <v>44278</v>
      </c>
      <c r="C562" t="s">
        <v>1648</v>
      </c>
      <c r="D562" s="6">
        <v>2019</v>
      </c>
      <c r="E562" s="8">
        <v>8399</v>
      </c>
      <c r="F562" s="8">
        <v>12000</v>
      </c>
      <c r="G562" s="8">
        <f t="shared" si="32"/>
        <v>3601</v>
      </c>
      <c r="H562" s="6">
        <v>40000</v>
      </c>
      <c r="I562" t="s">
        <v>41</v>
      </c>
      <c r="J562" t="s">
        <v>35</v>
      </c>
      <c r="K562" t="s">
        <v>96</v>
      </c>
      <c r="L562" t="s">
        <v>54</v>
      </c>
      <c r="M562" t="s">
        <v>90</v>
      </c>
      <c r="N562" s="6">
        <v>1</v>
      </c>
      <c r="O562" t="str">
        <f t="shared" si="33"/>
        <v>Normal</v>
      </c>
      <c r="P562" t="str">
        <f t="shared" si="34"/>
        <v>Duplicate ID</v>
      </c>
      <c r="Q562" t="str">
        <f t="shared" si="35"/>
        <v>5,000-9,999</v>
      </c>
      <c r="R562" s="6">
        <f>IF(COUNTIF($A$2:A562,A562)=1,1,0)</f>
        <v>0</v>
      </c>
    </row>
    <row r="563" spans="1:18" x14ac:dyDescent="0.25">
      <c r="A563" s="6">
        <v>1390</v>
      </c>
      <c r="B563" s="7">
        <v>44652</v>
      </c>
      <c r="C563" t="s">
        <v>40</v>
      </c>
      <c r="D563" s="6">
        <v>2018</v>
      </c>
      <c r="E563" s="8">
        <v>8297</v>
      </c>
      <c r="F563" s="8">
        <v>15000</v>
      </c>
      <c r="G563" s="8">
        <f t="shared" si="32"/>
        <v>6703</v>
      </c>
      <c r="H563" s="6">
        <v>120000</v>
      </c>
      <c r="I563" t="s">
        <v>41</v>
      </c>
      <c r="J563" t="s">
        <v>72</v>
      </c>
      <c r="K563" t="s">
        <v>36</v>
      </c>
      <c r="L563" t="s">
        <v>100</v>
      </c>
      <c r="M563" t="s">
        <v>126</v>
      </c>
      <c r="N563" s="6">
        <v>1</v>
      </c>
      <c r="O563" t="str">
        <f t="shared" si="33"/>
        <v>Normal</v>
      </c>
      <c r="P563" t="str">
        <f t="shared" si="34"/>
        <v>Duplicate ID</v>
      </c>
      <c r="Q563" t="str">
        <f t="shared" si="35"/>
        <v>5,000-9,999</v>
      </c>
      <c r="R563" s="6">
        <f>IF(COUNTIF($A$2:A563,A563)=1,1,0)</f>
        <v>0</v>
      </c>
    </row>
    <row r="564" spans="1:18" x14ac:dyDescent="0.25">
      <c r="A564" s="6">
        <v>1209</v>
      </c>
      <c r="B564" s="7">
        <v>45321</v>
      </c>
      <c r="C564" t="s">
        <v>57</v>
      </c>
      <c r="D564" s="6">
        <v>2016</v>
      </c>
      <c r="E564" s="8">
        <v>3146</v>
      </c>
      <c r="F564" s="8">
        <v>9000</v>
      </c>
      <c r="G564" s="8">
        <f t="shared" si="32"/>
        <v>5854</v>
      </c>
      <c r="H564" s="6">
        <v>25000</v>
      </c>
      <c r="I564" t="s">
        <v>69</v>
      </c>
      <c r="J564" t="s">
        <v>35</v>
      </c>
      <c r="K564" t="s">
        <v>36</v>
      </c>
      <c r="L564" t="s">
        <v>100</v>
      </c>
      <c r="M564" t="s">
        <v>98</v>
      </c>
      <c r="N564" s="6">
        <v>1</v>
      </c>
      <c r="O564" t="str">
        <f t="shared" si="33"/>
        <v>Normal</v>
      </c>
      <c r="P564" t="str">
        <f t="shared" si="34"/>
        <v>Duplicate ID</v>
      </c>
      <c r="Q564" t="str">
        <f t="shared" si="35"/>
        <v>0-4,999</v>
      </c>
      <c r="R564" s="6">
        <f>IF(COUNTIF($A$2:A564,A564)=1,1,0)</f>
        <v>1</v>
      </c>
    </row>
    <row r="565" spans="1:18" x14ac:dyDescent="0.25">
      <c r="A565" s="6">
        <v>1278</v>
      </c>
      <c r="B565" s="7">
        <v>44609</v>
      </c>
      <c r="C565" t="s">
        <v>119</v>
      </c>
      <c r="D565" s="6">
        <v>2018</v>
      </c>
      <c r="E565" s="8">
        <v>13328</v>
      </c>
      <c r="F565" s="8">
        <v>18000</v>
      </c>
      <c r="G565" s="8">
        <f t="shared" si="32"/>
        <v>4672</v>
      </c>
      <c r="H565" s="6">
        <v>80000</v>
      </c>
      <c r="I565" t="s">
        <v>69</v>
      </c>
      <c r="J565" t="s">
        <v>72</v>
      </c>
      <c r="K565" t="s">
        <v>96</v>
      </c>
      <c r="L565" t="s">
        <v>100</v>
      </c>
      <c r="M565" t="s">
        <v>98</v>
      </c>
      <c r="N565" s="6">
        <v>3</v>
      </c>
      <c r="O565" t="str">
        <f t="shared" si="33"/>
        <v>Normal</v>
      </c>
      <c r="P565" t="str">
        <f t="shared" si="34"/>
        <v>Duplicate ID</v>
      </c>
      <c r="Q565" t="str">
        <f t="shared" si="35"/>
        <v>10,000-14,999</v>
      </c>
      <c r="R565" s="6">
        <f>IF(COUNTIF($A$2:A565,A565)=1,1,0)</f>
        <v>1</v>
      </c>
    </row>
    <row r="566" spans="1:18" x14ac:dyDescent="0.25">
      <c r="A566" s="6">
        <v>1390</v>
      </c>
      <c r="B566" s="7">
        <v>44237</v>
      </c>
      <c r="C566" t="s">
        <v>1648</v>
      </c>
      <c r="D566" s="6">
        <v>2022</v>
      </c>
      <c r="E566" s="8">
        <v>21052</v>
      </c>
      <c r="F566" s="8">
        <v>26000</v>
      </c>
      <c r="G566" s="8">
        <f t="shared" si="32"/>
        <v>4948</v>
      </c>
      <c r="H566" s="6">
        <v>25000</v>
      </c>
      <c r="I566" t="s">
        <v>69</v>
      </c>
      <c r="J566" t="s">
        <v>1647</v>
      </c>
      <c r="K566" t="s">
        <v>1647</v>
      </c>
      <c r="L566" t="s">
        <v>100</v>
      </c>
      <c r="M566" t="s">
        <v>1647</v>
      </c>
      <c r="N566" s="6">
        <v>1</v>
      </c>
      <c r="O566" t="str">
        <f t="shared" si="33"/>
        <v>Normal</v>
      </c>
      <c r="P566" t="str">
        <f t="shared" si="34"/>
        <v>Duplicate ID</v>
      </c>
      <c r="Q566" t="str">
        <f t="shared" si="35"/>
        <v>20,000-24,999</v>
      </c>
      <c r="R566" s="6">
        <f>IF(COUNTIF($A$2:A566,A566)=1,1,0)</f>
        <v>0</v>
      </c>
    </row>
    <row r="567" spans="1:18" x14ac:dyDescent="0.25">
      <c r="A567" s="6">
        <v>1384</v>
      </c>
      <c r="B567" s="7">
        <v>44777</v>
      </c>
      <c r="C567" t="s">
        <v>119</v>
      </c>
      <c r="D567" s="6">
        <v>2020</v>
      </c>
      <c r="E567" s="8">
        <v>26285</v>
      </c>
      <c r="F567" s="8">
        <v>31000</v>
      </c>
      <c r="G567" s="8">
        <f t="shared" si="32"/>
        <v>4715</v>
      </c>
      <c r="H567" s="6">
        <v>40000</v>
      </c>
      <c r="I567" t="s">
        <v>1647</v>
      </c>
      <c r="J567" t="s">
        <v>35</v>
      </c>
      <c r="K567" t="s">
        <v>36</v>
      </c>
      <c r="L567" t="s">
        <v>100</v>
      </c>
      <c r="M567" t="s">
        <v>126</v>
      </c>
      <c r="N567" s="6">
        <v>0</v>
      </c>
      <c r="O567" t="str">
        <f t="shared" si="33"/>
        <v>Normal</v>
      </c>
      <c r="P567" t="str">
        <f t="shared" si="34"/>
        <v>Duplicate ID</v>
      </c>
      <c r="Q567" t="str">
        <f t="shared" si="35"/>
        <v>25,000-30,000</v>
      </c>
      <c r="R567" s="6">
        <f>IF(COUNTIF($A$2:A567,A567)=1,1,0)</f>
        <v>0</v>
      </c>
    </row>
    <row r="568" spans="1:18" x14ac:dyDescent="0.25">
      <c r="A568" s="6">
        <v>1393</v>
      </c>
      <c r="B568" s="7">
        <v>44961</v>
      </c>
      <c r="C568" t="s">
        <v>79</v>
      </c>
      <c r="D568" s="6">
        <v>2021</v>
      </c>
      <c r="E568" s="8">
        <v>21768</v>
      </c>
      <c r="F568" s="8">
        <v>26000</v>
      </c>
      <c r="G568" s="8">
        <f t="shared" si="32"/>
        <v>4232</v>
      </c>
      <c r="H568" s="6">
        <v>60000</v>
      </c>
      <c r="I568" t="s">
        <v>34</v>
      </c>
      <c r="J568" t="s">
        <v>35</v>
      </c>
      <c r="K568" t="s">
        <v>36</v>
      </c>
      <c r="L568" t="s">
        <v>48</v>
      </c>
      <c r="M568" t="s">
        <v>90</v>
      </c>
      <c r="N568" s="6">
        <v>1</v>
      </c>
      <c r="O568" t="str">
        <f t="shared" si="33"/>
        <v>Normal</v>
      </c>
      <c r="P568" t="str">
        <f t="shared" si="34"/>
        <v>Duplicate ID</v>
      </c>
      <c r="Q568" t="str">
        <f t="shared" si="35"/>
        <v>20,000-24,999</v>
      </c>
      <c r="R568" s="6">
        <f>IF(COUNTIF($A$2:A568,A568)=1,1,0)</f>
        <v>0</v>
      </c>
    </row>
    <row r="569" spans="1:18" x14ac:dyDescent="0.25">
      <c r="A569" s="6">
        <v>1377</v>
      </c>
      <c r="B569" s="7">
        <v>45197</v>
      </c>
      <c r="C569" t="s">
        <v>1648</v>
      </c>
      <c r="D569" s="6">
        <v>2018</v>
      </c>
      <c r="E569" s="8">
        <v>15191</v>
      </c>
      <c r="F569" s="8">
        <v>22000</v>
      </c>
      <c r="G569" s="8">
        <f t="shared" si="32"/>
        <v>6809</v>
      </c>
      <c r="H569" s="6">
        <v>80000</v>
      </c>
      <c r="I569" t="s">
        <v>58</v>
      </c>
      <c r="J569" t="s">
        <v>35</v>
      </c>
      <c r="K569" t="s">
        <v>96</v>
      </c>
      <c r="L569" t="s">
        <v>73</v>
      </c>
      <c r="M569" t="s">
        <v>45</v>
      </c>
      <c r="N569" s="6">
        <v>0</v>
      </c>
      <c r="O569" t="str">
        <f t="shared" si="33"/>
        <v>Normal</v>
      </c>
      <c r="P569" t="str">
        <f t="shared" si="34"/>
        <v>Duplicate ID</v>
      </c>
      <c r="Q569" t="str">
        <f t="shared" si="35"/>
        <v>15,000-19,999</v>
      </c>
      <c r="R569" s="6">
        <f>IF(COUNTIF($A$2:A569,A569)=1,1,0)</f>
        <v>1</v>
      </c>
    </row>
    <row r="570" spans="1:18" x14ac:dyDescent="0.25">
      <c r="A570" s="6">
        <v>1253</v>
      </c>
      <c r="B570" s="7">
        <v>44717</v>
      </c>
      <c r="C570" t="s">
        <v>32</v>
      </c>
      <c r="D570" s="6">
        <v>2018</v>
      </c>
      <c r="E570" s="8">
        <v>28793</v>
      </c>
      <c r="F570" s="8">
        <v>31000</v>
      </c>
      <c r="G570" s="8">
        <f t="shared" si="32"/>
        <v>2207</v>
      </c>
      <c r="H570" s="6">
        <v>120000</v>
      </c>
      <c r="I570" t="s">
        <v>41</v>
      </c>
      <c r="J570" t="s">
        <v>35</v>
      </c>
      <c r="K570" t="s">
        <v>36</v>
      </c>
      <c r="L570" t="s">
        <v>48</v>
      </c>
      <c r="M570" t="s">
        <v>98</v>
      </c>
      <c r="N570" s="6" t="s">
        <v>1647</v>
      </c>
      <c r="O570" t="str">
        <f t="shared" si="33"/>
        <v>Normal</v>
      </c>
      <c r="P570" t="str">
        <f t="shared" si="34"/>
        <v>Duplicate ID</v>
      </c>
      <c r="Q570" t="str">
        <f t="shared" si="35"/>
        <v>25,000-30,000</v>
      </c>
      <c r="R570" s="6">
        <f>IF(COUNTIF($A$2:A570,A570)=1,1,0)</f>
        <v>0</v>
      </c>
    </row>
    <row r="571" spans="1:18" x14ac:dyDescent="0.25">
      <c r="A571" s="6">
        <v>1258</v>
      </c>
      <c r="B571" s="7">
        <v>45071</v>
      </c>
      <c r="C571" t="s">
        <v>40</v>
      </c>
      <c r="D571" s="6">
        <v>2022</v>
      </c>
      <c r="E571" s="8">
        <v>12642</v>
      </c>
      <c r="F571" s="8">
        <v>15000</v>
      </c>
      <c r="G571" s="8">
        <f t="shared" si="32"/>
        <v>2358</v>
      </c>
      <c r="H571" s="6">
        <v>60000</v>
      </c>
      <c r="I571" t="s">
        <v>34</v>
      </c>
      <c r="J571" t="s">
        <v>1647</v>
      </c>
      <c r="K571" t="s">
        <v>96</v>
      </c>
      <c r="L571" t="s">
        <v>48</v>
      </c>
      <c r="M571" t="s">
        <v>126</v>
      </c>
      <c r="N571" s="6">
        <v>0</v>
      </c>
      <c r="O571" t="str">
        <f t="shared" si="33"/>
        <v>Normal</v>
      </c>
      <c r="P571" t="str">
        <f t="shared" si="34"/>
        <v>Duplicate ID</v>
      </c>
      <c r="Q571" t="str">
        <f t="shared" si="35"/>
        <v>10,000-14,999</v>
      </c>
      <c r="R571" s="6">
        <f>IF(COUNTIF($A$2:A571,A571)=1,1,0)</f>
        <v>0</v>
      </c>
    </row>
    <row r="572" spans="1:18" x14ac:dyDescent="0.25">
      <c r="A572" s="6">
        <v>1315</v>
      </c>
      <c r="B572" s="7">
        <v>45012</v>
      </c>
      <c r="C572" t="s">
        <v>79</v>
      </c>
      <c r="D572" s="6">
        <v>2016</v>
      </c>
      <c r="E572" s="8">
        <v>15284</v>
      </c>
      <c r="F572" s="8">
        <v>18000</v>
      </c>
      <c r="G572" s="8">
        <f t="shared" si="32"/>
        <v>2716</v>
      </c>
      <c r="H572" s="6">
        <v>120000</v>
      </c>
      <c r="I572" t="s">
        <v>41</v>
      </c>
      <c r="J572" t="s">
        <v>35</v>
      </c>
      <c r="K572" t="s">
        <v>96</v>
      </c>
      <c r="L572" t="s">
        <v>1647</v>
      </c>
      <c r="M572" t="s">
        <v>98</v>
      </c>
      <c r="N572" s="6">
        <v>2</v>
      </c>
      <c r="O572" t="str">
        <f t="shared" si="33"/>
        <v>Normal</v>
      </c>
      <c r="P572" t="str">
        <f t="shared" si="34"/>
        <v>Duplicate ID</v>
      </c>
      <c r="Q572" t="str">
        <f t="shared" si="35"/>
        <v>15,000-19,999</v>
      </c>
      <c r="R572" s="6">
        <f>IF(COUNTIF($A$2:A572,A572)=1,1,0)</f>
        <v>0</v>
      </c>
    </row>
    <row r="573" spans="1:18" x14ac:dyDescent="0.25">
      <c r="A573" s="6">
        <v>1202</v>
      </c>
      <c r="B573" s="7">
        <v>44472</v>
      </c>
      <c r="C573" t="s">
        <v>1648</v>
      </c>
      <c r="D573" s="6">
        <v>2016</v>
      </c>
      <c r="E573" s="8">
        <v>9474</v>
      </c>
      <c r="F573" s="8">
        <v>12000</v>
      </c>
      <c r="G573" s="8">
        <f t="shared" si="32"/>
        <v>2526</v>
      </c>
      <c r="H573" s="6">
        <v>40000</v>
      </c>
      <c r="I573" t="s">
        <v>58</v>
      </c>
      <c r="J573" t="s">
        <v>35</v>
      </c>
      <c r="K573" t="s">
        <v>36</v>
      </c>
      <c r="L573" t="s">
        <v>73</v>
      </c>
      <c r="M573" t="s">
        <v>90</v>
      </c>
      <c r="N573" s="6">
        <v>1</v>
      </c>
      <c r="O573" t="str">
        <f t="shared" si="33"/>
        <v>Normal</v>
      </c>
      <c r="P573" t="str">
        <f t="shared" si="34"/>
        <v>Duplicate ID</v>
      </c>
      <c r="Q573" t="str">
        <f t="shared" si="35"/>
        <v>5,000-9,999</v>
      </c>
      <c r="R573" s="6">
        <f>IF(COUNTIF($A$2:A573,A573)=1,1,0)</f>
        <v>1</v>
      </c>
    </row>
    <row r="574" spans="1:18" x14ac:dyDescent="0.25">
      <c r="A574" s="6">
        <v>1170</v>
      </c>
      <c r="B574" s="7">
        <v>44420</v>
      </c>
      <c r="C574" t="s">
        <v>119</v>
      </c>
      <c r="D574" s="6">
        <v>2020</v>
      </c>
      <c r="E574" s="8">
        <v>24885</v>
      </c>
      <c r="F574" s="8">
        <v>31000</v>
      </c>
      <c r="G574" s="8">
        <f t="shared" si="32"/>
        <v>6115</v>
      </c>
      <c r="H574" s="6">
        <v>120000</v>
      </c>
      <c r="I574" t="s">
        <v>41</v>
      </c>
      <c r="J574" t="s">
        <v>72</v>
      </c>
      <c r="K574" t="s">
        <v>36</v>
      </c>
      <c r="L574" t="s">
        <v>100</v>
      </c>
      <c r="M574" t="s">
        <v>98</v>
      </c>
      <c r="N574" s="6">
        <v>3</v>
      </c>
      <c r="O574" t="str">
        <f t="shared" si="33"/>
        <v>Normal</v>
      </c>
      <c r="P574" t="str">
        <f t="shared" si="34"/>
        <v>Duplicate ID</v>
      </c>
      <c r="Q574" t="str">
        <f t="shared" si="35"/>
        <v>20,000-24,999</v>
      </c>
      <c r="R574" s="6">
        <f>IF(COUNTIF($A$2:A574,A574)=1,1,0)</f>
        <v>0</v>
      </c>
    </row>
    <row r="575" spans="1:18" x14ac:dyDescent="0.25">
      <c r="A575" s="6">
        <v>1042</v>
      </c>
      <c r="B575" s="7">
        <v>45389</v>
      </c>
      <c r="C575" t="s">
        <v>32</v>
      </c>
      <c r="D575" s="6">
        <v>2014</v>
      </c>
      <c r="E575" s="8">
        <v>5941</v>
      </c>
      <c r="F575" s="8">
        <v>7000</v>
      </c>
      <c r="G575" s="8">
        <f t="shared" si="32"/>
        <v>1059</v>
      </c>
      <c r="H575" s="6">
        <v>40000</v>
      </c>
      <c r="I575" t="s">
        <v>69</v>
      </c>
      <c r="J575" t="s">
        <v>72</v>
      </c>
      <c r="K575" t="s">
        <v>96</v>
      </c>
      <c r="L575" t="s">
        <v>54</v>
      </c>
      <c r="M575" t="s">
        <v>98</v>
      </c>
      <c r="N575" s="6">
        <v>2</v>
      </c>
      <c r="O575" t="str">
        <f t="shared" si="33"/>
        <v>Normal</v>
      </c>
      <c r="P575" t="str">
        <f t="shared" si="34"/>
        <v>Duplicate ID</v>
      </c>
      <c r="Q575" t="str">
        <f t="shared" si="35"/>
        <v>5,000-9,999</v>
      </c>
      <c r="R575" s="6">
        <f>IF(COUNTIF($A$2:A575,A575)=1,1,0)</f>
        <v>1</v>
      </c>
    </row>
    <row r="576" spans="1:18" x14ac:dyDescent="0.25">
      <c r="A576" s="6">
        <v>1408</v>
      </c>
      <c r="B576" s="7">
        <v>44936</v>
      </c>
      <c r="C576" t="s">
        <v>79</v>
      </c>
      <c r="D576" s="6">
        <v>2018</v>
      </c>
      <c r="E576" s="8">
        <v>19038</v>
      </c>
      <c r="F576" s="8">
        <v>22000</v>
      </c>
      <c r="G576" s="8">
        <f t="shared" si="32"/>
        <v>2962</v>
      </c>
      <c r="H576" s="6">
        <v>40000</v>
      </c>
      <c r="I576" t="s">
        <v>69</v>
      </c>
      <c r="J576" t="s">
        <v>35</v>
      </c>
      <c r="K576" t="s">
        <v>36</v>
      </c>
      <c r="L576" t="s">
        <v>48</v>
      </c>
      <c r="M576" t="s">
        <v>98</v>
      </c>
      <c r="N576" s="6">
        <v>1</v>
      </c>
      <c r="O576" t="str">
        <f t="shared" si="33"/>
        <v>Normal</v>
      </c>
      <c r="P576" t="str">
        <f t="shared" si="34"/>
        <v>Duplicate ID</v>
      </c>
      <c r="Q576" t="str">
        <f t="shared" si="35"/>
        <v>15,000-19,999</v>
      </c>
      <c r="R576" s="6">
        <f>IF(COUNTIF($A$2:A576,A576)=1,1,0)</f>
        <v>1</v>
      </c>
    </row>
    <row r="577" spans="1:18" x14ac:dyDescent="0.25">
      <c r="A577" s="6">
        <v>1377</v>
      </c>
      <c r="B577" s="7">
        <v>44706</v>
      </c>
      <c r="C577" t="s">
        <v>40</v>
      </c>
      <c r="D577" s="6"/>
      <c r="E577" s="8">
        <v>5711</v>
      </c>
      <c r="F577" s="8">
        <v>9000</v>
      </c>
      <c r="G577" s="8">
        <f t="shared" si="32"/>
        <v>3289</v>
      </c>
      <c r="H577" s="6">
        <v>80000</v>
      </c>
      <c r="I577" t="s">
        <v>34</v>
      </c>
      <c r="J577" t="s">
        <v>35</v>
      </c>
      <c r="K577" t="s">
        <v>36</v>
      </c>
      <c r="L577" t="s">
        <v>54</v>
      </c>
      <c r="M577" t="s">
        <v>126</v>
      </c>
      <c r="N577" s="6">
        <v>2</v>
      </c>
      <c r="O577" t="str">
        <f t="shared" si="33"/>
        <v>Normal</v>
      </c>
      <c r="P577" t="str">
        <f t="shared" si="34"/>
        <v>Duplicate ID</v>
      </c>
      <c r="Q577" t="str">
        <f t="shared" si="35"/>
        <v>5,000-9,999</v>
      </c>
      <c r="R577" s="6">
        <f>IF(COUNTIF($A$2:A577,A577)=1,1,0)</f>
        <v>0</v>
      </c>
    </row>
    <row r="578" spans="1:18" x14ac:dyDescent="0.25">
      <c r="A578" s="6">
        <v>1409</v>
      </c>
      <c r="B578" s="7">
        <v>45189</v>
      </c>
      <c r="C578" t="s">
        <v>40</v>
      </c>
      <c r="D578" s="6">
        <v>2019</v>
      </c>
      <c r="E578" s="8">
        <v>25030</v>
      </c>
      <c r="F578" s="8">
        <v>31000</v>
      </c>
      <c r="G578" s="8">
        <f t="shared" ref="G578:G641" si="36">IF(OR(F578="",E578=""),"",F578-E578)</f>
        <v>5970</v>
      </c>
      <c r="H578" s="6">
        <v>25000</v>
      </c>
      <c r="I578" t="s">
        <v>1647</v>
      </c>
      <c r="J578" t="s">
        <v>35</v>
      </c>
      <c r="K578" t="s">
        <v>96</v>
      </c>
      <c r="L578" t="s">
        <v>54</v>
      </c>
      <c r="M578" t="s">
        <v>90</v>
      </c>
      <c r="N578" s="6">
        <v>1</v>
      </c>
      <c r="O578" t="str">
        <f t="shared" ref="O578:O641" si="37">IF(E578&lt;1000,"Outlier","Normal")</f>
        <v>Normal</v>
      </c>
      <c r="P578" t="str">
        <f t="shared" ref="P578:P641" si="38">IF(COUNTIF($A$2:$A$2501,A578)&gt;1,"Duplicate ID","Unique ID")</f>
        <v>Duplicate ID</v>
      </c>
      <c r="Q578" t="str">
        <f t="shared" ref="Q578:Q641" si="39">IF(E578&lt;5000,"0-4,999",IF(E578&lt;10000,"5,000-9,999",IF(E578&lt;15000,"10,000-14,999",IF(E578&lt;20000,"15,000-19,999",IF(E578&lt;25000,"20,000-24,999","25,000-30,000")))))</f>
        <v>25,000-30,000</v>
      </c>
      <c r="R578" s="6">
        <f>IF(COUNTIF($A$2:A578,A578)=1,1,0)</f>
        <v>1</v>
      </c>
    </row>
    <row r="579" spans="1:18" x14ac:dyDescent="0.25">
      <c r="A579" s="6">
        <v>1478</v>
      </c>
      <c r="B579" s="7">
        <v>45320</v>
      </c>
      <c r="C579" t="s">
        <v>40</v>
      </c>
      <c r="D579" s="6">
        <v>2016</v>
      </c>
      <c r="E579" s="8">
        <v>27532</v>
      </c>
      <c r="F579" s="8">
        <v>31000</v>
      </c>
      <c r="G579" s="8">
        <f t="shared" si="36"/>
        <v>3468</v>
      </c>
      <c r="H579" s="6">
        <v>15000</v>
      </c>
      <c r="I579" t="s">
        <v>58</v>
      </c>
      <c r="J579" t="s">
        <v>35</v>
      </c>
      <c r="K579" t="s">
        <v>36</v>
      </c>
      <c r="L579" t="s">
        <v>100</v>
      </c>
      <c r="M579" t="s">
        <v>126</v>
      </c>
      <c r="N579" s="6">
        <v>0</v>
      </c>
      <c r="O579" t="str">
        <f t="shared" si="37"/>
        <v>Normal</v>
      </c>
      <c r="P579" t="str">
        <f t="shared" si="38"/>
        <v>Duplicate ID</v>
      </c>
      <c r="Q579" t="str">
        <f t="shared" si="39"/>
        <v>25,000-30,000</v>
      </c>
      <c r="R579" s="6">
        <f>IF(COUNTIF($A$2:A579,A579)=1,1,0)</f>
        <v>0</v>
      </c>
    </row>
    <row r="580" spans="1:18" x14ac:dyDescent="0.25">
      <c r="A580" s="6">
        <v>1225</v>
      </c>
      <c r="B580" s="7">
        <v>44771</v>
      </c>
      <c r="C580" t="s">
        <v>1648</v>
      </c>
      <c r="D580" s="6">
        <v>2014</v>
      </c>
      <c r="E580" s="8">
        <v>7859</v>
      </c>
      <c r="F580" s="8">
        <v>12000</v>
      </c>
      <c r="G580" s="8">
        <f t="shared" si="36"/>
        <v>4141</v>
      </c>
      <c r="H580" s="6">
        <v>40000</v>
      </c>
      <c r="I580" t="s">
        <v>41</v>
      </c>
      <c r="J580" t="s">
        <v>35</v>
      </c>
      <c r="K580" t="s">
        <v>1647</v>
      </c>
      <c r="L580" t="s">
        <v>48</v>
      </c>
      <c r="M580" t="s">
        <v>126</v>
      </c>
      <c r="N580" s="6">
        <v>2</v>
      </c>
      <c r="O580" t="str">
        <f t="shared" si="37"/>
        <v>Normal</v>
      </c>
      <c r="P580" t="str">
        <f t="shared" si="38"/>
        <v>Duplicate ID</v>
      </c>
      <c r="Q580" t="str">
        <f t="shared" si="39"/>
        <v>5,000-9,999</v>
      </c>
      <c r="R580" s="6">
        <f>IF(COUNTIF($A$2:A580,A580)=1,1,0)</f>
        <v>0</v>
      </c>
    </row>
    <row r="581" spans="1:18" x14ac:dyDescent="0.25">
      <c r="A581" s="6">
        <v>1390</v>
      </c>
      <c r="B581" s="7">
        <v>44969</v>
      </c>
      <c r="C581" t="s">
        <v>119</v>
      </c>
      <c r="D581" s="6"/>
      <c r="E581" s="8">
        <v>5189</v>
      </c>
      <c r="F581" s="8">
        <v>9000</v>
      </c>
      <c r="G581" s="8">
        <f t="shared" si="36"/>
        <v>3811</v>
      </c>
      <c r="H581" s="6">
        <v>120000</v>
      </c>
      <c r="I581" t="s">
        <v>34</v>
      </c>
      <c r="J581" t="s">
        <v>35</v>
      </c>
      <c r="K581" t="s">
        <v>36</v>
      </c>
      <c r="L581" t="s">
        <v>54</v>
      </c>
      <c r="M581" t="s">
        <v>126</v>
      </c>
      <c r="N581" s="6">
        <v>2</v>
      </c>
      <c r="O581" t="str">
        <f t="shared" si="37"/>
        <v>Normal</v>
      </c>
      <c r="P581" t="str">
        <f t="shared" si="38"/>
        <v>Duplicate ID</v>
      </c>
      <c r="Q581" t="str">
        <f t="shared" si="39"/>
        <v>5,000-9,999</v>
      </c>
      <c r="R581" s="6">
        <f>IF(COUNTIF($A$2:A581,A581)=1,1,0)</f>
        <v>0</v>
      </c>
    </row>
    <row r="582" spans="1:18" x14ac:dyDescent="0.25">
      <c r="A582" s="6">
        <v>1118</v>
      </c>
      <c r="B582" s="7">
        <v>44582</v>
      </c>
      <c r="C582" t="s">
        <v>40</v>
      </c>
      <c r="D582" s="6">
        <v>2015</v>
      </c>
      <c r="E582" s="8">
        <v>3149</v>
      </c>
      <c r="F582" s="8">
        <v>9000</v>
      </c>
      <c r="G582" s="8">
        <f t="shared" si="36"/>
        <v>5851</v>
      </c>
      <c r="H582" s="6">
        <v>40000</v>
      </c>
      <c r="I582" t="s">
        <v>34</v>
      </c>
      <c r="J582" t="s">
        <v>1647</v>
      </c>
      <c r="K582" t="s">
        <v>36</v>
      </c>
      <c r="L582" t="s">
        <v>54</v>
      </c>
      <c r="M582" t="s">
        <v>126</v>
      </c>
      <c r="N582" s="6" t="s">
        <v>1647</v>
      </c>
      <c r="O582" t="str">
        <f t="shared" si="37"/>
        <v>Normal</v>
      </c>
      <c r="P582" t="str">
        <f t="shared" si="38"/>
        <v>Unique ID</v>
      </c>
      <c r="Q582" t="str">
        <f t="shared" si="39"/>
        <v>0-4,999</v>
      </c>
      <c r="R582" s="6">
        <f>IF(COUNTIF($A$2:A582,A582)=1,1,0)</f>
        <v>1</v>
      </c>
    </row>
    <row r="583" spans="1:18" x14ac:dyDescent="0.25">
      <c r="A583" s="6">
        <v>1532</v>
      </c>
      <c r="B583" s="7">
        <v>44455</v>
      </c>
      <c r="C583" t="s">
        <v>57</v>
      </c>
      <c r="D583" s="6">
        <v>2020</v>
      </c>
      <c r="E583" s="8">
        <v>22010</v>
      </c>
      <c r="F583" s="8">
        <v>26000</v>
      </c>
      <c r="G583" s="8">
        <f t="shared" si="36"/>
        <v>3990</v>
      </c>
      <c r="H583" s="6">
        <v>40000</v>
      </c>
      <c r="I583" t="s">
        <v>41</v>
      </c>
      <c r="J583" t="s">
        <v>1647</v>
      </c>
      <c r="K583" t="s">
        <v>96</v>
      </c>
      <c r="L583" t="s">
        <v>54</v>
      </c>
      <c r="M583" t="s">
        <v>90</v>
      </c>
      <c r="N583" s="6">
        <v>2</v>
      </c>
      <c r="O583" t="str">
        <f t="shared" si="37"/>
        <v>Normal</v>
      </c>
      <c r="P583" t="str">
        <f t="shared" si="38"/>
        <v>Duplicate ID</v>
      </c>
      <c r="Q583" t="str">
        <f t="shared" si="39"/>
        <v>20,000-24,999</v>
      </c>
      <c r="R583" s="6">
        <f>IF(COUNTIF($A$2:A583,A583)=1,1,0)</f>
        <v>0</v>
      </c>
    </row>
    <row r="584" spans="1:18" x14ac:dyDescent="0.25">
      <c r="A584" s="6">
        <v>1149</v>
      </c>
      <c r="B584" s="7">
        <v>44777</v>
      </c>
      <c r="C584" t="s">
        <v>119</v>
      </c>
      <c r="D584" s="6">
        <v>2021</v>
      </c>
      <c r="E584" s="8">
        <v>25073</v>
      </c>
      <c r="F584" s="8">
        <v>31000</v>
      </c>
      <c r="G584" s="8">
        <f t="shared" si="36"/>
        <v>5927</v>
      </c>
      <c r="H584" s="6">
        <v>25000</v>
      </c>
      <c r="I584" t="s">
        <v>41</v>
      </c>
      <c r="J584" t="s">
        <v>1647</v>
      </c>
      <c r="K584" t="s">
        <v>96</v>
      </c>
      <c r="L584" t="s">
        <v>54</v>
      </c>
      <c r="M584" t="s">
        <v>1647</v>
      </c>
      <c r="N584" s="6">
        <v>0</v>
      </c>
      <c r="O584" t="str">
        <f t="shared" si="37"/>
        <v>Normal</v>
      </c>
      <c r="P584" t="str">
        <f t="shared" si="38"/>
        <v>Unique ID</v>
      </c>
      <c r="Q584" t="str">
        <f t="shared" si="39"/>
        <v>25,000-30,000</v>
      </c>
      <c r="R584" s="6">
        <f>IF(COUNTIF($A$2:A584,A584)=1,1,0)</f>
        <v>1</v>
      </c>
    </row>
    <row r="585" spans="1:18" x14ac:dyDescent="0.25">
      <c r="A585" s="6">
        <v>1298</v>
      </c>
      <c r="B585" s="7">
        <v>45210</v>
      </c>
      <c r="C585" t="s">
        <v>119</v>
      </c>
      <c r="D585" s="6"/>
      <c r="E585" s="8">
        <v>28233</v>
      </c>
      <c r="F585" s="8">
        <v>31000</v>
      </c>
      <c r="G585" s="8">
        <f t="shared" si="36"/>
        <v>2767</v>
      </c>
      <c r="H585" s="6">
        <v>120000</v>
      </c>
      <c r="I585" t="s">
        <v>69</v>
      </c>
      <c r="J585" t="s">
        <v>35</v>
      </c>
      <c r="K585" t="s">
        <v>36</v>
      </c>
      <c r="L585" t="s">
        <v>100</v>
      </c>
      <c r="M585" t="s">
        <v>126</v>
      </c>
      <c r="N585" s="6">
        <v>1</v>
      </c>
      <c r="O585" t="str">
        <f t="shared" si="37"/>
        <v>Normal</v>
      </c>
      <c r="P585" t="str">
        <f t="shared" si="38"/>
        <v>Duplicate ID</v>
      </c>
      <c r="Q585" t="str">
        <f t="shared" si="39"/>
        <v>25,000-30,000</v>
      </c>
      <c r="R585" s="6">
        <f>IF(COUNTIF($A$2:A585,A585)=1,1,0)</f>
        <v>0</v>
      </c>
    </row>
    <row r="586" spans="1:18" x14ac:dyDescent="0.25">
      <c r="A586" s="6">
        <v>1561</v>
      </c>
      <c r="B586" s="7">
        <v>44241</v>
      </c>
      <c r="C586" t="s">
        <v>1648</v>
      </c>
      <c r="D586" s="6">
        <v>2020</v>
      </c>
      <c r="E586" s="8">
        <v>15696</v>
      </c>
      <c r="F586" s="8">
        <v>18000</v>
      </c>
      <c r="G586" s="8">
        <f t="shared" si="36"/>
        <v>2304</v>
      </c>
      <c r="H586" s="6">
        <v>120000</v>
      </c>
      <c r="I586" t="s">
        <v>69</v>
      </c>
      <c r="J586" t="s">
        <v>72</v>
      </c>
      <c r="K586" t="s">
        <v>96</v>
      </c>
      <c r="L586" t="s">
        <v>73</v>
      </c>
      <c r="M586" t="s">
        <v>1647</v>
      </c>
      <c r="N586" s="6">
        <v>2</v>
      </c>
      <c r="O586" t="str">
        <f t="shared" si="37"/>
        <v>Normal</v>
      </c>
      <c r="P586" t="str">
        <f t="shared" si="38"/>
        <v>Duplicate ID</v>
      </c>
      <c r="Q586" t="str">
        <f t="shared" si="39"/>
        <v>15,000-19,999</v>
      </c>
      <c r="R586" s="6">
        <f>IF(COUNTIF($A$2:A586,A586)=1,1,0)</f>
        <v>0</v>
      </c>
    </row>
    <row r="587" spans="1:18" x14ac:dyDescent="0.25">
      <c r="A587" s="6">
        <v>1594</v>
      </c>
      <c r="B587" s="7">
        <v>44859</v>
      </c>
      <c r="C587" t="s">
        <v>51</v>
      </c>
      <c r="D587" s="6">
        <v>2017</v>
      </c>
      <c r="E587" s="8">
        <v>23928</v>
      </c>
      <c r="F587" s="8">
        <v>26000</v>
      </c>
      <c r="G587" s="8">
        <f t="shared" si="36"/>
        <v>2072</v>
      </c>
      <c r="H587" s="6">
        <v>15000</v>
      </c>
      <c r="I587" t="s">
        <v>69</v>
      </c>
      <c r="J587" t="s">
        <v>72</v>
      </c>
      <c r="K587" t="s">
        <v>36</v>
      </c>
      <c r="L587" t="s">
        <v>100</v>
      </c>
      <c r="M587" t="s">
        <v>98</v>
      </c>
      <c r="N587" s="6">
        <v>3</v>
      </c>
      <c r="O587" t="str">
        <f t="shared" si="37"/>
        <v>Normal</v>
      </c>
      <c r="P587" t="str">
        <f t="shared" si="38"/>
        <v>Duplicate ID</v>
      </c>
      <c r="Q587" t="str">
        <f t="shared" si="39"/>
        <v>20,000-24,999</v>
      </c>
      <c r="R587" s="6">
        <f>IF(COUNTIF($A$2:A587,A587)=1,1,0)</f>
        <v>0</v>
      </c>
    </row>
    <row r="588" spans="1:18" x14ac:dyDescent="0.25">
      <c r="A588" s="6">
        <v>1370</v>
      </c>
      <c r="B588" s="7">
        <v>44215</v>
      </c>
      <c r="C588" t="s">
        <v>51</v>
      </c>
      <c r="D588" s="6">
        <v>2016</v>
      </c>
      <c r="E588" s="8">
        <v>12398</v>
      </c>
      <c r="F588" s="8">
        <v>15000</v>
      </c>
      <c r="G588" s="8">
        <f t="shared" si="36"/>
        <v>2602</v>
      </c>
      <c r="H588" s="6">
        <v>25000</v>
      </c>
      <c r="I588" t="s">
        <v>58</v>
      </c>
      <c r="J588" t="s">
        <v>72</v>
      </c>
      <c r="K588" t="s">
        <v>96</v>
      </c>
      <c r="L588" t="s">
        <v>100</v>
      </c>
      <c r="M588" t="s">
        <v>126</v>
      </c>
      <c r="N588" s="6">
        <v>0</v>
      </c>
      <c r="O588" t="str">
        <f t="shared" si="37"/>
        <v>Normal</v>
      </c>
      <c r="P588" t="str">
        <f t="shared" si="38"/>
        <v>Duplicate ID</v>
      </c>
      <c r="Q588" t="str">
        <f t="shared" si="39"/>
        <v>10,000-14,999</v>
      </c>
      <c r="R588" s="6">
        <f>IF(COUNTIF($A$2:A588,A588)=1,1,0)</f>
        <v>0</v>
      </c>
    </row>
    <row r="589" spans="1:18" x14ac:dyDescent="0.25">
      <c r="A589" s="6">
        <v>1346</v>
      </c>
      <c r="B589" s="7">
        <v>45252</v>
      </c>
      <c r="C589" t="s">
        <v>79</v>
      </c>
      <c r="D589" s="6">
        <v>2021</v>
      </c>
      <c r="E589" s="8">
        <v>10039</v>
      </c>
      <c r="F589" s="8">
        <v>12000</v>
      </c>
      <c r="G589" s="8">
        <f t="shared" si="36"/>
        <v>1961</v>
      </c>
      <c r="H589" s="6">
        <v>15000</v>
      </c>
      <c r="I589" t="s">
        <v>34</v>
      </c>
      <c r="J589" t="s">
        <v>35</v>
      </c>
      <c r="K589" t="s">
        <v>36</v>
      </c>
      <c r="L589" t="s">
        <v>73</v>
      </c>
      <c r="M589" t="s">
        <v>90</v>
      </c>
      <c r="N589" s="6">
        <v>3</v>
      </c>
      <c r="O589" t="str">
        <f t="shared" si="37"/>
        <v>Normal</v>
      </c>
      <c r="P589" t="str">
        <f t="shared" si="38"/>
        <v>Duplicate ID</v>
      </c>
      <c r="Q589" t="str">
        <f t="shared" si="39"/>
        <v>10,000-14,999</v>
      </c>
      <c r="R589" s="6">
        <f>IF(COUNTIF($A$2:A589,A589)=1,1,0)</f>
        <v>1</v>
      </c>
    </row>
    <row r="590" spans="1:18" x14ac:dyDescent="0.25">
      <c r="A590" s="6">
        <v>1474</v>
      </c>
      <c r="B590" s="7">
        <v>44380</v>
      </c>
      <c r="C590" t="s">
        <v>1648</v>
      </c>
      <c r="D590" s="6">
        <v>2018</v>
      </c>
      <c r="E590" s="8">
        <v>7925</v>
      </c>
      <c r="F590" s="8">
        <v>12000</v>
      </c>
      <c r="G590" s="8">
        <f t="shared" si="36"/>
        <v>4075</v>
      </c>
      <c r="H590" s="6">
        <v>120000</v>
      </c>
      <c r="I590" t="s">
        <v>1647</v>
      </c>
      <c r="J590" t="s">
        <v>72</v>
      </c>
      <c r="K590" t="s">
        <v>36</v>
      </c>
      <c r="L590" t="s">
        <v>73</v>
      </c>
      <c r="M590" t="s">
        <v>126</v>
      </c>
      <c r="N590" s="6">
        <v>0</v>
      </c>
      <c r="O590" t="str">
        <f t="shared" si="37"/>
        <v>Normal</v>
      </c>
      <c r="P590" t="str">
        <f t="shared" si="38"/>
        <v>Duplicate ID</v>
      </c>
      <c r="Q590" t="str">
        <f t="shared" si="39"/>
        <v>5,000-9,999</v>
      </c>
      <c r="R590" s="6">
        <f>IF(COUNTIF($A$2:A590,A590)=1,1,0)</f>
        <v>0</v>
      </c>
    </row>
    <row r="591" spans="1:18" x14ac:dyDescent="0.25">
      <c r="A591" s="6">
        <v>1586</v>
      </c>
      <c r="B591" s="7">
        <v>45370</v>
      </c>
      <c r="C591" t="s">
        <v>32</v>
      </c>
      <c r="D591" s="6">
        <v>2021</v>
      </c>
      <c r="E591" s="8">
        <v>9193</v>
      </c>
      <c r="F591" s="8">
        <v>15000</v>
      </c>
      <c r="G591" s="8">
        <f t="shared" si="36"/>
        <v>5807</v>
      </c>
      <c r="H591" s="6">
        <v>15000</v>
      </c>
      <c r="I591" t="s">
        <v>58</v>
      </c>
      <c r="J591" t="s">
        <v>72</v>
      </c>
      <c r="K591" t="s">
        <v>96</v>
      </c>
      <c r="L591" t="s">
        <v>48</v>
      </c>
      <c r="M591" t="s">
        <v>45</v>
      </c>
      <c r="N591" s="6" t="s">
        <v>1647</v>
      </c>
      <c r="O591" t="str">
        <f t="shared" si="37"/>
        <v>Normal</v>
      </c>
      <c r="P591" t="str">
        <f t="shared" si="38"/>
        <v>Duplicate ID</v>
      </c>
      <c r="Q591" t="str">
        <f t="shared" si="39"/>
        <v>5,000-9,999</v>
      </c>
      <c r="R591" s="6">
        <f>IF(COUNTIF($A$2:A591,A591)=1,1,0)</f>
        <v>1</v>
      </c>
    </row>
    <row r="592" spans="1:18" x14ac:dyDescent="0.25">
      <c r="A592" s="6">
        <v>1189</v>
      </c>
      <c r="B592" s="7">
        <v>45297</v>
      </c>
      <c r="C592" t="s">
        <v>32</v>
      </c>
      <c r="D592" s="6">
        <v>2015</v>
      </c>
      <c r="E592" s="8">
        <v>15153</v>
      </c>
      <c r="F592" s="8">
        <v>22000</v>
      </c>
      <c r="G592" s="8">
        <f t="shared" si="36"/>
        <v>6847</v>
      </c>
      <c r="H592" s="6">
        <v>15000</v>
      </c>
      <c r="I592" t="s">
        <v>1647</v>
      </c>
      <c r="J592" t="s">
        <v>35</v>
      </c>
      <c r="K592" t="s">
        <v>1647</v>
      </c>
      <c r="L592" t="s">
        <v>1647</v>
      </c>
      <c r="M592" t="s">
        <v>126</v>
      </c>
      <c r="N592" s="6">
        <v>1</v>
      </c>
      <c r="O592" t="str">
        <f t="shared" si="37"/>
        <v>Normal</v>
      </c>
      <c r="P592" t="str">
        <f t="shared" si="38"/>
        <v>Duplicate ID</v>
      </c>
      <c r="Q592" t="str">
        <f t="shared" si="39"/>
        <v>15,000-19,999</v>
      </c>
      <c r="R592" s="6">
        <f>IF(COUNTIF($A$2:A592,A592)=1,1,0)</f>
        <v>0</v>
      </c>
    </row>
    <row r="593" spans="1:18" x14ac:dyDescent="0.25">
      <c r="A593" s="6">
        <v>1321</v>
      </c>
      <c r="B593" s="7">
        <v>45112</v>
      </c>
      <c r="C593" t="s">
        <v>32</v>
      </c>
      <c r="D593" s="6">
        <v>2016</v>
      </c>
      <c r="E593" s="8">
        <v>6456</v>
      </c>
      <c r="F593" s="8">
        <v>12000</v>
      </c>
      <c r="G593" s="8">
        <f t="shared" si="36"/>
        <v>5544</v>
      </c>
      <c r="H593" s="6">
        <v>15000</v>
      </c>
      <c r="I593" t="s">
        <v>58</v>
      </c>
      <c r="J593" t="s">
        <v>35</v>
      </c>
      <c r="K593" t="s">
        <v>1647</v>
      </c>
      <c r="L593" t="s">
        <v>54</v>
      </c>
      <c r="M593" t="s">
        <v>126</v>
      </c>
      <c r="N593" s="6">
        <v>0</v>
      </c>
      <c r="O593" t="str">
        <f t="shared" si="37"/>
        <v>Normal</v>
      </c>
      <c r="P593" t="str">
        <f t="shared" si="38"/>
        <v>Duplicate ID</v>
      </c>
      <c r="Q593" t="str">
        <f t="shared" si="39"/>
        <v>5,000-9,999</v>
      </c>
      <c r="R593" s="6">
        <f>IF(COUNTIF($A$2:A593,A593)=1,1,0)</f>
        <v>1</v>
      </c>
    </row>
    <row r="594" spans="1:18" x14ac:dyDescent="0.25">
      <c r="A594" s="6">
        <v>1433</v>
      </c>
      <c r="B594" s="7">
        <v>44548</v>
      </c>
      <c r="C594" t="s">
        <v>32</v>
      </c>
      <c r="D594" s="6">
        <v>2022</v>
      </c>
      <c r="E594" s="8">
        <v>12541</v>
      </c>
      <c r="F594" s="8">
        <v>18000</v>
      </c>
      <c r="G594" s="8">
        <f t="shared" si="36"/>
        <v>5459</v>
      </c>
      <c r="H594" s="6">
        <v>40000</v>
      </c>
      <c r="I594" t="s">
        <v>41</v>
      </c>
      <c r="J594" t="s">
        <v>1647</v>
      </c>
      <c r="K594" t="s">
        <v>96</v>
      </c>
      <c r="L594" t="s">
        <v>1647</v>
      </c>
      <c r="M594" t="s">
        <v>98</v>
      </c>
      <c r="N594" s="6">
        <v>1</v>
      </c>
      <c r="O594" t="str">
        <f t="shared" si="37"/>
        <v>Normal</v>
      </c>
      <c r="P594" t="str">
        <f t="shared" si="38"/>
        <v>Duplicate ID</v>
      </c>
      <c r="Q594" t="str">
        <f t="shared" si="39"/>
        <v>10,000-14,999</v>
      </c>
      <c r="R594" s="6">
        <f>IF(COUNTIF($A$2:A594,A594)=1,1,0)</f>
        <v>0</v>
      </c>
    </row>
    <row r="595" spans="1:18" x14ac:dyDescent="0.25">
      <c r="A595" s="6">
        <v>1214</v>
      </c>
      <c r="B595" s="7">
        <v>45242</v>
      </c>
      <c r="C595" t="s">
        <v>1648</v>
      </c>
      <c r="D595" s="6">
        <v>2019</v>
      </c>
      <c r="E595" s="8">
        <v>16591</v>
      </c>
      <c r="F595" s="8">
        <v>22000</v>
      </c>
      <c r="G595" s="8">
        <f t="shared" si="36"/>
        <v>5409</v>
      </c>
      <c r="H595" s="6">
        <v>80000</v>
      </c>
      <c r="I595" t="s">
        <v>41</v>
      </c>
      <c r="J595" t="s">
        <v>35</v>
      </c>
      <c r="K595" t="s">
        <v>36</v>
      </c>
      <c r="L595" t="s">
        <v>54</v>
      </c>
      <c r="M595" t="s">
        <v>90</v>
      </c>
      <c r="N595" s="6">
        <v>1</v>
      </c>
      <c r="O595" t="str">
        <f t="shared" si="37"/>
        <v>Normal</v>
      </c>
      <c r="P595" t="str">
        <f t="shared" si="38"/>
        <v>Duplicate ID</v>
      </c>
      <c r="Q595" t="str">
        <f t="shared" si="39"/>
        <v>15,000-19,999</v>
      </c>
      <c r="R595" s="6">
        <f>IF(COUNTIF($A$2:A595,A595)=1,1,0)</f>
        <v>0</v>
      </c>
    </row>
    <row r="596" spans="1:18" x14ac:dyDescent="0.25">
      <c r="A596" s="6">
        <v>1076</v>
      </c>
      <c r="B596" s="7">
        <v>45061</v>
      </c>
      <c r="C596" t="s">
        <v>57</v>
      </c>
      <c r="D596" s="6"/>
      <c r="E596" s="8">
        <v>19948</v>
      </c>
      <c r="F596" s="8">
        <v>22000</v>
      </c>
      <c r="G596" s="8">
        <f t="shared" si="36"/>
        <v>2052</v>
      </c>
      <c r="H596" s="6">
        <v>40000</v>
      </c>
      <c r="I596" t="s">
        <v>58</v>
      </c>
      <c r="J596" t="s">
        <v>72</v>
      </c>
      <c r="K596" t="s">
        <v>96</v>
      </c>
      <c r="L596" t="s">
        <v>73</v>
      </c>
      <c r="M596" t="s">
        <v>45</v>
      </c>
      <c r="N596" s="6">
        <v>3</v>
      </c>
      <c r="O596" t="str">
        <f t="shared" si="37"/>
        <v>Normal</v>
      </c>
      <c r="P596" t="str">
        <f t="shared" si="38"/>
        <v>Duplicate ID</v>
      </c>
      <c r="Q596" t="str">
        <f t="shared" si="39"/>
        <v>15,000-19,999</v>
      </c>
      <c r="R596" s="6">
        <f>IF(COUNTIF($A$2:A596,A596)=1,1,0)</f>
        <v>0</v>
      </c>
    </row>
    <row r="597" spans="1:18" x14ac:dyDescent="0.25">
      <c r="A597" s="6">
        <v>1197</v>
      </c>
      <c r="B597" s="7">
        <v>44748</v>
      </c>
      <c r="C597" t="s">
        <v>32</v>
      </c>
      <c r="D597" s="6">
        <v>2022</v>
      </c>
      <c r="E597" s="8">
        <v>8843</v>
      </c>
      <c r="F597" s="8">
        <v>15000</v>
      </c>
      <c r="G597" s="8">
        <f t="shared" si="36"/>
        <v>6157</v>
      </c>
      <c r="H597" s="6">
        <v>15000</v>
      </c>
      <c r="I597" t="s">
        <v>58</v>
      </c>
      <c r="J597" t="s">
        <v>72</v>
      </c>
      <c r="K597" t="s">
        <v>36</v>
      </c>
      <c r="L597" t="s">
        <v>54</v>
      </c>
      <c r="M597" t="s">
        <v>98</v>
      </c>
      <c r="N597" s="6">
        <v>3</v>
      </c>
      <c r="O597" t="str">
        <f t="shared" si="37"/>
        <v>Normal</v>
      </c>
      <c r="P597" t="str">
        <f t="shared" si="38"/>
        <v>Duplicate ID</v>
      </c>
      <c r="Q597" t="str">
        <f t="shared" si="39"/>
        <v>5,000-9,999</v>
      </c>
      <c r="R597" s="6">
        <f>IF(COUNTIF($A$2:A597,A597)=1,1,0)</f>
        <v>1</v>
      </c>
    </row>
    <row r="598" spans="1:18" x14ac:dyDescent="0.25">
      <c r="A598" s="6">
        <v>1544</v>
      </c>
      <c r="B598" s="7">
        <v>44452</v>
      </c>
      <c r="C598" t="s">
        <v>40</v>
      </c>
      <c r="D598" s="6"/>
      <c r="E598" s="8">
        <v>11788</v>
      </c>
      <c r="F598" s="8">
        <v>15000</v>
      </c>
      <c r="G598" s="8">
        <f t="shared" si="36"/>
        <v>3212</v>
      </c>
      <c r="H598" s="6">
        <v>15000</v>
      </c>
      <c r="I598" t="s">
        <v>41</v>
      </c>
      <c r="J598" t="s">
        <v>72</v>
      </c>
      <c r="K598" t="s">
        <v>96</v>
      </c>
      <c r="L598" t="s">
        <v>54</v>
      </c>
      <c r="M598" t="s">
        <v>90</v>
      </c>
      <c r="N598" s="6">
        <v>1</v>
      </c>
      <c r="O598" t="str">
        <f t="shared" si="37"/>
        <v>Normal</v>
      </c>
      <c r="P598" t="str">
        <f t="shared" si="38"/>
        <v>Unique ID</v>
      </c>
      <c r="Q598" t="str">
        <f t="shared" si="39"/>
        <v>10,000-14,999</v>
      </c>
      <c r="R598" s="6">
        <f>IF(COUNTIF($A$2:A598,A598)=1,1,0)</f>
        <v>1</v>
      </c>
    </row>
    <row r="599" spans="1:18" x14ac:dyDescent="0.25">
      <c r="A599" s="6">
        <v>1107</v>
      </c>
      <c r="B599" s="7">
        <v>44972</v>
      </c>
      <c r="C599" t="s">
        <v>119</v>
      </c>
      <c r="D599" s="6">
        <v>2014</v>
      </c>
      <c r="E599" s="8">
        <v>6180</v>
      </c>
      <c r="F599" s="8">
        <v>9000</v>
      </c>
      <c r="G599" s="8">
        <f t="shared" si="36"/>
        <v>2820</v>
      </c>
      <c r="H599" s="6">
        <v>60000</v>
      </c>
      <c r="I599" t="s">
        <v>69</v>
      </c>
      <c r="J599" t="s">
        <v>1647</v>
      </c>
      <c r="K599" t="s">
        <v>96</v>
      </c>
      <c r="L599" t="s">
        <v>73</v>
      </c>
      <c r="M599" t="s">
        <v>1647</v>
      </c>
      <c r="N599" s="6">
        <v>2</v>
      </c>
      <c r="O599" t="str">
        <f t="shared" si="37"/>
        <v>Normal</v>
      </c>
      <c r="P599" t="str">
        <f t="shared" si="38"/>
        <v>Unique ID</v>
      </c>
      <c r="Q599" t="str">
        <f t="shared" si="39"/>
        <v>5,000-9,999</v>
      </c>
      <c r="R599" s="6">
        <f>IF(COUNTIF($A$2:A599,A599)=1,1,0)</f>
        <v>1</v>
      </c>
    </row>
    <row r="600" spans="1:18" x14ac:dyDescent="0.25">
      <c r="A600" s="6">
        <v>1174</v>
      </c>
      <c r="B600" s="7">
        <v>44295</v>
      </c>
      <c r="C600" t="s">
        <v>51</v>
      </c>
      <c r="D600" s="6">
        <v>2022</v>
      </c>
      <c r="E600" s="8">
        <v>16189</v>
      </c>
      <c r="F600" s="8">
        <v>18000</v>
      </c>
      <c r="G600" s="8">
        <f t="shared" si="36"/>
        <v>1811</v>
      </c>
      <c r="H600" s="6">
        <v>80000</v>
      </c>
      <c r="I600" t="s">
        <v>34</v>
      </c>
      <c r="J600" t="s">
        <v>72</v>
      </c>
      <c r="K600" t="s">
        <v>1647</v>
      </c>
      <c r="L600" t="s">
        <v>100</v>
      </c>
      <c r="M600" t="s">
        <v>45</v>
      </c>
      <c r="N600" s="6">
        <v>0</v>
      </c>
      <c r="O600" t="str">
        <f t="shared" si="37"/>
        <v>Normal</v>
      </c>
      <c r="P600" t="str">
        <f t="shared" si="38"/>
        <v>Duplicate ID</v>
      </c>
      <c r="Q600" t="str">
        <f t="shared" si="39"/>
        <v>15,000-19,999</v>
      </c>
      <c r="R600" s="6">
        <f>IF(COUNTIF($A$2:A600,A600)=1,1,0)</f>
        <v>0</v>
      </c>
    </row>
    <row r="601" spans="1:18" x14ac:dyDescent="0.25">
      <c r="A601" s="6">
        <v>1273</v>
      </c>
      <c r="B601" s="7">
        <v>45359</v>
      </c>
      <c r="C601" t="s">
        <v>32</v>
      </c>
      <c r="D601" s="6">
        <v>2018</v>
      </c>
      <c r="E601" s="8">
        <v>7897</v>
      </c>
      <c r="F601" s="8">
        <v>12000</v>
      </c>
      <c r="G601" s="8">
        <f t="shared" si="36"/>
        <v>4103</v>
      </c>
      <c r="H601" s="6">
        <v>25000</v>
      </c>
      <c r="I601" t="s">
        <v>58</v>
      </c>
      <c r="J601" t="s">
        <v>1647</v>
      </c>
      <c r="K601" t="s">
        <v>96</v>
      </c>
      <c r="L601" t="s">
        <v>48</v>
      </c>
      <c r="M601" t="s">
        <v>90</v>
      </c>
      <c r="N601" s="6">
        <v>3</v>
      </c>
      <c r="O601" t="str">
        <f t="shared" si="37"/>
        <v>Normal</v>
      </c>
      <c r="P601" t="str">
        <f t="shared" si="38"/>
        <v>Duplicate ID</v>
      </c>
      <c r="Q601" t="str">
        <f t="shared" si="39"/>
        <v>5,000-9,999</v>
      </c>
      <c r="R601" s="6">
        <f>IF(COUNTIF($A$2:A601,A601)=1,1,0)</f>
        <v>0</v>
      </c>
    </row>
    <row r="602" spans="1:18" x14ac:dyDescent="0.25">
      <c r="A602" s="6">
        <v>1234</v>
      </c>
      <c r="B602" s="7">
        <v>45263</v>
      </c>
      <c r="C602" t="s">
        <v>79</v>
      </c>
      <c r="D602" s="6">
        <v>2021</v>
      </c>
      <c r="E602" s="8">
        <v>13496</v>
      </c>
      <c r="F602" s="8">
        <v>18000</v>
      </c>
      <c r="G602" s="8">
        <f t="shared" si="36"/>
        <v>4504</v>
      </c>
      <c r="H602" s="6">
        <v>40000</v>
      </c>
      <c r="I602" t="s">
        <v>34</v>
      </c>
      <c r="J602" t="s">
        <v>72</v>
      </c>
      <c r="K602" t="s">
        <v>36</v>
      </c>
      <c r="L602" t="s">
        <v>73</v>
      </c>
      <c r="M602" t="s">
        <v>126</v>
      </c>
      <c r="N602" s="6">
        <v>1</v>
      </c>
      <c r="O602" t="str">
        <f t="shared" si="37"/>
        <v>Normal</v>
      </c>
      <c r="P602" t="str">
        <f t="shared" si="38"/>
        <v>Duplicate ID</v>
      </c>
      <c r="Q602" t="str">
        <f t="shared" si="39"/>
        <v>10,000-14,999</v>
      </c>
      <c r="R602" s="6">
        <f>IF(COUNTIF($A$2:A602,A602)=1,1,0)</f>
        <v>1</v>
      </c>
    </row>
    <row r="603" spans="1:18" x14ac:dyDescent="0.25">
      <c r="A603" s="6">
        <v>1504</v>
      </c>
      <c r="B603" s="7">
        <v>45331</v>
      </c>
      <c r="C603" t="s">
        <v>40</v>
      </c>
      <c r="D603" s="6">
        <v>2016</v>
      </c>
      <c r="E603" s="8">
        <v>3659</v>
      </c>
      <c r="F603" s="8">
        <v>7000</v>
      </c>
      <c r="G603" s="8">
        <f t="shared" si="36"/>
        <v>3341</v>
      </c>
      <c r="H603" s="6">
        <v>15000</v>
      </c>
      <c r="I603" t="s">
        <v>58</v>
      </c>
      <c r="J603" t="s">
        <v>72</v>
      </c>
      <c r="K603" t="s">
        <v>96</v>
      </c>
      <c r="L603" t="s">
        <v>1647</v>
      </c>
      <c r="M603" t="s">
        <v>1647</v>
      </c>
      <c r="N603" s="6">
        <v>0</v>
      </c>
      <c r="O603" t="str">
        <f t="shared" si="37"/>
        <v>Normal</v>
      </c>
      <c r="P603" t="str">
        <f t="shared" si="38"/>
        <v>Duplicate ID</v>
      </c>
      <c r="Q603" t="str">
        <f t="shared" si="39"/>
        <v>0-4,999</v>
      </c>
      <c r="R603" s="6">
        <f>IF(COUNTIF($A$2:A603,A603)=1,1,0)</f>
        <v>0</v>
      </c>
    </row>
    <row r="604" spans="1:18" x14ac:dyDescent="0.25">
      <c r="A604" s="6">
        <v>1547</v>
      </c>
      <c r="B604" s="7">
        <v>45067</v>
      </c>
      <c r="C604" t="s">
        <v>79</v>
      </c>
      <c r="D604" s="6">
        <v>2014</v>
      </c>
      <c r="E604" s="8">
        <v>13941</v>
      </c>
      <c r="F604" s="8">
        <v>15000</v>
      </c>
      <c r="G604" s="8">
        <f t="shared" si="36"/>
        <v>1059</v>
      </c>
      <c r="H604" s="6">
        <v>120000</v>
      </c>
      <c r="I604" t="s">
        <v>41</v>
      </c>
      <c r="J604" t="s">
        <v>1647</v>
      </c>
      <c r="K604" t="s">
        <v>96</v>
      </c>
      <c r="L604" t="s">
        <v>100</v>
      </c>
      <c r="M604" t="s">
        <v>1647</v>
      </c>
      <c r="N604" s="6">
        <v>1</v>
      </c>
      <c r="O604" t="str">
        <f t="shared" si="37"/>
        <v>Normal</v>
      </c>
      <c r="P604" t="str">
        <f t="shared" si="38"/>
        <v>Unique ID</v>
      </c>
      <c r="Q604" t="str">
        <f t="shared" si="39"/>
        <v>10,000-14,999</v>
      </c>
      <c r="R604" s="6">
        <f>IF(COUNTIF($A$2:A604,A604)=1,1,0)</f>
        <v>1</v>
      </c>
    </row>
    <row r="605" spans="1:18" x14ac:dyDescent="0.25">
      <c r="A605" s="6">
        <v>1052</v>
      </c>
      <c r="B605" s="7">
        <v>44920</v>
      </c>
      <c r="C605" t="s">
        <v>57</v>
      </c>
      <c r="D605" s="6">
        <v>2015</v>
      </c>
      <c r="E605" s="8">
        <v>16792</v>
      </c>
      <c r="F605" s="8">
        <v>22000</v>
      </c>
      <c r="G605" s="8">
        <f t="shared" si="36"/>
        <v>5208</v>
      </c>
      <c r="H605" s="6">
        <v>25000</v>
      </c>
      <c r="I605" t="s">
        <v>41</v>
      </c>
      <c r="J605" t="s">
        <v>72</v>
      </c>
      <c r="K605" t="s">
        <v>36</v>
      </c>
      <c r="L605" t="s">
        <v>1647</v>
      </c>
      <c r="M605" t="s">
        <v>126</v>
      </c>
      <c r="N605" s="6">
        <v>2</v>
      </c>
      <c r="O605" t="str">
        <f t="shared" si="37"/>
        <v>Normal</v>
      </c>
      <c r="P605" t="str">
        <f t="shared" si="38"/>
        <v>Duplicate ID</v>
      </c>
      <c r="Q605" t="str">
        <f t="shared" si="39"/>
        <v>15,000-19,999</v>
      </c>
      <c r="R605" s="6">
        <f>IF(COUNTIF($A$2:A605,A605)=1,1,0)</f>
        <v>0</v>
      </c>
    </row>
    <row r="606" spans="1:18" x14ac:dyDescent="0.25">
      <c r="A606" s="6">
        <v>1582</v>
      </c>
      <c r="B606" s="7">
        <v>44201</v>
      </c>
      <c r="C606" t="s">
        <v>51</v>
      </c>
      <c r="D606" s="6">
        <v>2021</v>
      </c>
      <c r="E606" s="8">
        <v>15255</v>
      </c>
      <c r="F606" s="8">
        <v>18000</v>
      </c>
      <c r="G606" s="8">
        <f t="shared" si="36"/>
        <v>2745</v>
      </c>
      <c r="H606" s="6">
        <v>40000</v>
      </c>
      <c r="I606" t="s">
        <v>41</v>
      </c>
      <c r="J606" t="s">
        <v>72</v>
      </c>
      <c r="K606" t="s">
        <v>1647</v>
      </c>
      <c r="L606" t="s">
        <v>48</v>
      </c>
      <c r="M606" t="s">
        <v>126</v>
      </c>
      <c r="N606" s="6">
        <v>2</v>
      </c>
      <c r="O606" t="str">
        <f t="shared" si="37"/>
        <v>Normal</v>
      </c>
      <c r="P606" t="str">
        <f t="shared" si="38"/>
        <v>Duplicate ID</v>
      </c>
      <c r="Q606" t="str">
        <f t="shared" si="39"/>
        <v>15,000-19,999</v>
      </c>
      <c r="R606" s="6">
        <f>IF(COUNTIF($A$2:A606,A606)=1,1,0)</f>
        <v>0</v>
      </c>
    </row>
    <row r="607" spans="1:18" x14ac:dyDescent="0.25">
      <c r="A607" s="6">
        <v>1109</v>
      </c>
      <c r="B607" s="7">
        <v>44921</v>
      </c>
      <c r="C607" t="s">
        <v>40</v>
      </c>
      <c r="D607" s="6"/>
      <c r="E607" s="8">
        <v>27556</v>
      </c>
      <c r="F607" s="8">
        <v>31000</v>
      </c>
      <c r="G607" s="8">
        <f t="shared" si="36"/>
        <v>3444</v>
      </c>
      <c r="H607" s="6">
        <v>40000</v>
      </c>
      <c r="I607" t="s">
        <v>69</v>
      </c>
      <c r="J607" t="s">
        <v>35</v>
      </c>
      <c r="K607" t="s">
        <v>36</v>
      </c>
      <c r="L607" t="s">
        <v>48</v>
      </c>
      <c r="M607" t="s">
        <v>98</v>
      </c>
      <c r="N607" s="6">
        <v>1</v>
      </c>
      <c r="O607" t="str">
        <f t="shared" si="37"/>
        <v>Normal</v>
      </c>
      <c r="P607" t="str">
        <f t="shared" si="38"/>
        <v>Duplicate ID</v>
      </c>
      <c r="Q607" t="str">
        <f t="shared" si="39"/>
        <v>25,000-30,000</v>
      </c>
      <c r="R607" s="6">
        <f>IF(COUNTIF($A$2:A607,A607)=1,1,0)</f>
        <v>1</v>
      </c>
    </row>
    <row r="608" spans="1:18" x14ac:dyDescent="0.25">
      <c r="A608" s="6">
        <v>1007</v>
      </c>
      <c r="B608" s="7">
        <v>45195</v>
      </c>
      <c r="C608" t="s">
        <v>40</v>
      </c>
      <c r="D608" s="6">
        <v>2022</v>
      </c>
      <c r="E608" s="8">
        <v>9986</v>
      </c>
      <c r="F608" s="8">
        <v>12000</v>
      </c>
      <c r="G608" s="8">
        <f t="shared" si="36"/>
        <v>2014</v>
      </c>
      <c r="H608" s="6">
        <v>60000</v>
      </c>
      <c r="I608" t="s">
        <v>34</v>
      </c>
      <c r="J608" t="s">
        <v>72</v>
      </c>
      <c r="K608" t="s">
        <v>96</v>
      </c>
      <c r="L608" t="s">
        <v>54</v>
      </c>
      <c r="M608" t="s">
        <v>98</v>
      </c>
      <c r="N608" s="6">
        <v>1</v>
      </c>
      <c r="O608" t="str">
        <f t="shared" si="37"/>
        <v>Normal</v>
      </c>
      <c r="P608" t="str">
        <f t="shared" si="38"/>
        <v>Duplicate ID</v>
      </c>
      <c r="Q608" t="str">
        <f t="shared" si="39"/>
        <v>5,000-9,999</v>
      </c>
      <c r="R608" s="6">
        <f>IF(COUNTIF($A$2:A608,A608)=1,1,0)</f>
        <v>0</v>
      </c>
    </row>
    <row r="609" spans="1:18" x14ac:dyDescent="0.25">
      <c r="A609" s="6">
        <v>1143</v>
      </c>
      <c r="B609" s="7">
        <v>44528</v>
      </c>
      <c r="C609" t="s">
        <v>119</v>
      </c>
      <c r="D609" s="6">
        <v>2015</v>
      </c>
      <c r="E609" s="8">
        <v>26401</v>
      </c>
      <c r="F609" s="8">
        <v>31000</v>
      </c>
      <c r="G609" s="8">
        <f t="shared" si="36"/>
        <v>4599</v>
      </c>
      <c r="H609" s="6">
        <v>120000</v>
      </c>
      <c r="I609" t="s">
        <v>58</v>
      </c>
      <c r="J609" t="s">
        <v>35</v>
      </c>
      <c r="K609" t="s">
        <v>36</v>
      </c>
      <c r="L609" t="s">
        <v>54</v>
      </c>
      <c r="M609" t="s">
        <v>126</v>
      </c>
      <c r="N609" s="6">
        <v>1</v>
      </c>
      <c r="O609" t="str">
        <f t="shared" si="37"/>
        <v>Normal</v>
      </c>
      <c r="P609" t="str">
        <f t="shared" si="38"/>
        <v>Duplicate ID</v>
      </c>
      <c r="Q609" t="str">
        <f t="shared" si="39"/>
        <v>25,000-30,000</v>
      </c>
      <c r="R609" s="6">
        <f>IF(COUNTIF($A$2:A609,A609)=1,1,0)</f>
        <v>1</v>
      </c>
    </row>
    <row r="610" spans="1:18" x14ac:dyDescent="0.25">
      <c r="A610" s="6">
        <v>1490</v>
      </c>
      <c r="B610" s="7">
        <v>44604</v>
      </c>
      <c r="C610" t="s">
        <v>79</v>
      </c>
      <c r="D610" s="6">
        <v>2020</v>
      </c>
      <c r="E610" s="8">
        <v>19687</v>
      </c>
      <c r="F610" s="8">
        <v>22000</v>
      </c>
      <c r="G610" s="8">
        <f t="shared" si="36"/>
        <v>2313</v>
      </c>
      <c r="H610" s="6">
        <v>15000</v>
      </c>
      <c r="I610" t="s">
        <v>1647</v>
      </c>
      <c r="J610" t="s">
        <v>1647</v>
      </c>
      <c r="K610" t="s">
        <v>96</v>
      </c>
      <c r="L610" t="s">
        <v>100</v>
      </c>
      <c r="M610" t="s">
        <v>45</v>
      </c>
      <c r="N610" s="6">
        <v>3</v>
      </c>
      <c r="O610" t="str">
        <f t="shared" si="37"/>
        <v>Normal</v>
      </c>
      <c r="P610" t="str">
        <f t="shared" si="38"/>
        <v>Duplicate ID</v>
      </c>
      <c r="Q610" t="str">
        <f t="shared" si="39"/>
        <v>15,000-19,999</v>
      </c>
      <c r="R610" s="6">
        <f>IF(COUNTIF($A$2:A610,A610)=1,1,0)</f>
        <v>0</v>
      </c>
    </row>
    <row r="611" spans="1:18" x14ac:dyDescent="0.25">
      <c r="A611" s="6">
        <v>1159</v>
      </c>
      <c r="B611" s="7">
        <v>44455</v>
      </c>
      <c r="C611" t="s">
        <v>79</v>
      </c>
      <c r="D611" s="6">
        <v>2016</v>
      </c>
      <c r="E611" s="8">
        <v>7827</v>
      </c>
      <c r="F611" s="8">
        <v>9000</v>
      </c>
      <c r="G611" s="8">
        <f t="shared" si="36"/>
        <v>1173</v>
      </c>
      <c r="H611" s="6">
        <v>15000</v>
      </c>
      <c r="I611" t="s">
        <v>41</v>
      </c>
      <c r="J611" t="s">
        <v>72</v>
      </c>
      <c r="K611" t="s">
        <v>96</v>
      </c>
      <c r="L611" t="s">
        <v>73</v>
      </c>
      <c r="M611" t="s">
        <v>98</v>
      </c>
      <c r="N611" s="6">
        <v>3</v>
      </c>
      <c r="O611" t="str">
        <f t="shared" si="37"/>
        <v>Normal</v>
      </c>
      <c r="P611" t="str">
        <f t="shared" si="38"/>
        <v>Duplicate ID</v>
      </c>
      <c r="Q611" t="str">
        <f t="shared" si="39"/>
        <v>5,000-9,999</v>
      </c>
      <c r="R611" s="6">
        <f>IF(COUNTIF($A$2:A611,A611)=1,1,0)</f>
        <v>0</v>
      </c>
    </row>
    <row r="612" spans="1:18" x14ac:dyDescent="0.25">
      <c r="A612" s="6">
        <v>1156</v>
      </c>
      <c r="B612" s="7">
        <v>44704</v>
      </c>
      <c r="C612" t="s">
        <v>51</v>
      </c>
      <c r="D612" s="6">
        <v>2018</v>
      </c>
      <c r="E612" s="8">
        <v>26487</v>
      </c>
      <c r="F612" s="8">
        <v>31000</v>
      </c>
      <c r="G612" s="8">
        <f t="shared" si="36"/>
        <v>4513</v>
      </c>
      <c r="H612" s="6">
        <v>15000</v>
      </c>
      <c r="I612" t="s">
        <v>41</v>
      </c>
      <c r="J612" t="s">
        <v>72</v>
      </c>
      <c r="K612" t="s">
        <v>36</v>
      </c>
      <c r="L612" t="s">
        <v>48</v>
      </c>
      <c r="M612" t="s">
        <v>90</v>
      </c>
      <c r="N612" s="6">
        <v>3</v>
      </c>
      <c r="O612" t="str">
        <f t="shared" si="37"/>
        <v>Normal</v>
      </c>
      <c r="P612" t="str">
        <f t="shared" si="38"/>
        <v>Duplicate ID</v>
      </c>
      <c r="Q612" t="str">
        <f t="shared" si="39"/>
        <v>25,000-30,000</v>
      </c>
      <c r="R612" s="6">
        <f>IF(COUNTIF($A$2:A612,A612)=1,1,0)</f>
        <v>0</v>
      </c>
    </row>
    <row r="613" spans="1:18" x14ac:dyDescent="0.25">
      <c r="A613" s="6">
        <v>1234</v>
      </c>
      <c r="B613" s="7">
        <v>44501</v>
      </c>
      <c r="C613" t="s">
        <v>32</v>
      </c>
      <c r="D613" s="6">
        <v>2022</v>
      </c>
      <c r="E613" s="8">
        <v>6157</v>
      </c>
      <c r="F613" s="8">
        <v>12000</v>
      </c>
      <c r="G613" s="8">
        <f t="shared" si="36"/>
        <v>5843</v>
      </c>
      <c r="H613" s="6">
        <v>25000</v>
      </c>
      <c r="I613" t="s">
        <v>58</v>
      </c>
      <c r="J613" t="s">
        <v>35</v>
      </c>
      <c r="K613" t="s">
        <v>96</v>
      </c>
      <c r="L613" t="s">
        <v>73</v>
      </c>
      <c r="M613" t="s">
        <v>90</v>
      </c>
      <c r="N613" s="6">
        <v>0</v>
      </c>
      <c r="O613" t="str">
        <f t="shared" si="37"/>
        <v>Normal</v>
      </c>
      <c r="P613" t="str">
        <f t="shared" si="38"/>
        <v>Duplicate ID</v>
      </c>
      <c r="Q613" t="str">
        <f t="shared" si="39"/>
        <v>5,000-9,999</v>
      </c>
      <c r="R613" s="6">
        <f>IF(COUNTIF($A$2:A613,A613)=1,1,0)</f>
        <v>0</v>
      </c>
    </row>
    <row r="614" spans="1:18" x14ac:dyDescent="0.25">
      <c r="A614" s="6">
        <v>1227</v>
      </c>
      <c r="B614" s="7">
        <v>44670</v>
      </c>
      <c r="C614" t="s">
        <v>40</v>
      </c>
      <c r="D614" s="6">
        <v>2020</v>
      </c>
      <c r="E614" s="8">
        <v>22490</v>
      </c>
      <c r="F614" s="8">
        <v>26000</v>
      </c>
      <c r="G614" s="8">
        <f t="shared" si="36"/>
        <v>3510</v>
      </c>
      <c r="H614" s="6">
        <v>80000</v>
      </c>
      <c r="I614" t="s">
        <v>41</v>
      </c>
      <c r="J614" t="s">
        <v>72</v>
      </c>
      <c r="K614" t="s">
        <v>36</v>
      </c>
      <c r="L614" t="s">
        <v>54</v>
      </c>
      <c r="M614" t="s">
        <v>45</v>
      </c>
      <c r="N614" s="6">
        <v>2</v>
      </c>
      <c r="O614" t="str">
        <f t="shared" si="37"/>
        <v>Normal</v>
      </c>
      <c r="P614" t="str">
        <f t="shared" si="38"/>
        <v>Duplicate ID</v>
      </c>
      <c r="Q614" t="str">
        <f t="shared" si="39"/>
        <v>20,000-24,999</v>
      </c>
      <c r="R614" s="6">
        <f>IF(COUNTIF($A$2:A614,A614)=1,1,0)</f>
        <v>1</v>
      </c>
    </row>
    <row r="615" spans="1:18" x14ac:dyDescent="0.25">
      <c r="A615" s="6">
        <v>1041</v>
      </c>
      <c r="B615" s="7">
        <v>44569</v>
      </c>
      <c r="C615" t="s">
        <v>79</v>
      </c>
      <c r="D615" s="6">
        <v>2020</v>
      </c>
      <c r="E615" s="8">
        <v>13611</v>
      </c>
      <c r="F615" s="8">
        <v>15000</v>
      </c>
      <c r="G615" s="8">
        <f t="shared" si="36"/>
        <v>1389</v>
      </c>
      <c r="H615" s="6">
        <v>40000</v>
      </c>
      <c r="I615" t="s">
        <v>69</v>
      </c>
      <c r="J615" t="s">
        <v>72</v>
      </c>
      <c r="K615" t="s">
        <v>96</v>
      </c>
      <c r="L615" t="s">
        <v>73</v>
      </c>
      <c r="M615" t="s">
        <v>98</v>
      </c>
      <c r="N615" s="6">
        <v>1</v>
      </c>
      <c r="O615" t="str">
        <f t="shared" si="37"/>
        <v>Normal</v>
      </c>
      <c r="P615" t="str">
        <f t="shared" si="38"/>
        <v>Duplicate ID</v>
      </c>
      <c r="Q615" t="str">
        <f t="shared" si="39"/>
        <v>10,000-14,999</v>
      </c>
      <c r="R615" s="6">
        <f>IF(COUNTIF($A$2:A615,A615)=1,1,0)</f>
        <v>1</v>
      </c>
    </row>
    <row r="616" spans="1:18" x14ac:dyDescent="0.25">
      <c r="A616" s="6">
        <v>1099</v>
      </c>
      <c r="B616" s="7">
        <v>44425</v>
      </c>
      <c r="C616" t="s">
        <v>119</v>
      </c>
      <c r="D616" s="6">
        <v>2021</v>
      </c>
      <c r="E616" s="8">
        <v>18507</v>
      </c>
      <c r="F616" s="8">
        <v>22000</v>
      </c>
      <c r="G616" s="8">
        <f t="shared" si="36"/>
        <v>3493</v>
      </c>
      <c r="H616" s="6">
        <v>40000</v>
      </c>
      <c r="I616" t="s">
        <v>58</v>
      </c>
      <c r="J616" t="s">
        <v>72</v>
      </c>
      <c r="K616" t="s">
        <v>96</v>
      </c>
      <c r="L616" t="s">
        <v>54</v>
      </c>
      <c r="M616" t="s">
        <v>1647</v>
      </c>
      <c r="N616" s="6" t="s">
        <v>1647</v>
      </c>
      <c r="O616" t="str">
        <f t="shared" si="37"/>
        <v>Normal</v>
      </c>
      <c r="P616" t="str">
        <f t="shared" si="38"/>
        <v>Duplicate ID</v>
      </c>
      <c r="Q616" t="str">
        <f t="shared" si="39"/>
        <v>15,000-19,999</v>
      </c>
      <c r="R616" s="6">
        <f>IF(COUNTIF($A$2:A616,A616)=1,1,0)</f>
        <v>0</v>
      </c>
    </row>
    <row r="617" spans="1:18" x14ac:dyDescent="0.25">
      <c r="A617" s="6">
        <v>1089</v>
      </c>
      <c r="B617" s="7">
        <v>44983</v>
      </c>
      <c r="C617" t="s">
        <v>79</v>
      </c>
      <c r="D617" s="6">
        <v>2017</v>
      </c>
      <c r="E617" s="8">
        <v>12214</v>
      </c>
      <c r="F617" s="8">
        <v>18000</v>
      </c>
      <c r="G617" s="8">
        <f t="shared" si="36"/>
        <v>5786</v>
      </c>
      <c r="H617" s="6">
        <v>25000</v>
      </c>
      <c r="I617" t="s">
        <v>41</v>
      </c>
      <c r="J617" t="s">
        <v>35</v>
      </c>
      <c r="K617" t="s">
        <v>1647</v>
      </c>
      <c r="L617" t="s">
        <v>100</v>
      </c>
      <c r="M617" t="s">
        <v>90</v>
      </c>
      <c r="N617" s="6">
        <v>3</v>
      </c>
      <c r="O617" t="str">
        <f t="shared" si="37"/>
        <v>Normal</v>
      </c>
      <c r="P617" t="str">
        <f t="shared" si="38"/>
        <v>Duplicate ID</v>
      </c>
      <c r="Q617" t="str">
        <f t="shared" si="39"/>
        <v>10,000-14,999</v>
      </c>
      <c r="R617" s="6">
        <f>IF(COUNTIF($A$2:A617,A617)=1,1,0)</f>
        <v>0</v>
      </c>
    </row>
    <row r="618" spans="1:18" x14ac:dyDescent="0.25">
      <c r="A618" s="6">
        <v>1206</v>
      </c>
      <c r="B618" s="7">
        <v>45168</v>
      </c>
      <c r="C618" t="s">
        <v>32</v>
      </c>
      <c r="D618" s="6">
        <v>2015</v>
      </c>
      <c r="E618" s="8">
        <v>15058</v>
      </c>
      <c r="F618" s="8">
        <v>22000</v>
      </c>
      <c r="G618" s="8">
        <f t="shared" si="36"/>
        <v>6942</v>
      </c>
      <c r="H618" s="6">
        <v>40000</v>
      </c>
      <c r="I618" t="s">
        <v>34</v>
      </c>
      <c r="J618" t="s">
        <v>1647</v>
      </c>
      <c r="K618" t="s">
        <v>96</v>
      </c>
      <c r="L618" t="s">
        <v>1647</v>
      </c>
      <c r="M618" t="s">
        <v>45</v>
      </c>
      <c r="N618" s="6">
        <v>2</v>
      </c>
      <c r="O618" t="str">
        <f t="shared" si="37"/>
        <v>Normal</v>
      </c>
      <c r="P618" t="str">
        <f t="shared" si="38"/>
        <v>Duplicate ID</v>
      </c>
      <c r="Q618" t="str">
        <f t="shared" si="39"/>
        <v>15,000-19,999</v>
      </c>
      <c r="R618" s="6">
        <f>IF(COUNTIF($A$2:A618,A618)=1,1,0)</f>
        <v>1</v>
      </c>
    </row>
    <row r="619" spans="1:18" x14ac:dyDescent="0.25">
      <c r="A619" s="6">
        <v>1429</v>
      </c>
      <c r="B619" s="7">
        <v>45185</v>
      </c>
      <c r="C619" t="s">
        <v>1648</v>
      </c>
      <c r="D619" s="6">
        <v>2018</v>
      </c>
      <c r="E619" s="8">
        <v>7446</v>
      </c>
      <c r="F619" s="8">
        <v>9000</v>
      </c>
      <c r="G619" s="8">
        <f t="shared" si="36"/>
        <v>1554</v>
      </c>
      <c r="H619" s="6">
        <v>60000</v>
      </c>
      <c r="I619" t="s">
        <v>58</v>
      </c>
      <c r="J619" t="s">
        <v>1647</v>
      </c>
      <c r="K619" t="s">
        <v>96</v>
      </c>
      <c r="L619" t="s">
        <v>100</v>
      </c>
      <c r="M619" t="s">
        <v>45</v>
      </c>
      <c r="N619" s="6">
        <v>0</v>
      </c>
      <c r="O619" t="str">
        <f t="shared" si="37"/>
        <v>Normal</v>
      </c>
      <c r="P619" t="str">
        <f t="shared" si="38"/>
        <v>Duplicate ID</v>
      </c>
      <c r="Q619" t="str">
        <f t="shared" si="39"/>
        <v>5,000-9,999</v>
      </c>
      <c r="R619" s="6">
        <f>IF(COUNTIF($A$2:A619,A619)=1,1,0)</f>
        <v>0</v>
      </c>
    </row>
    <row r="620" spans="1:18" x14ac:dyDescent="0.25">
      <c r="A620" s="6">
        <v>1525</v>
      </c>
      <c r="B620" s="7">
        <v>45287</v>
      </c>
      <c r="C620" t="s">
        <v>40</v>
      </c>
      <c r="D620" s="6">
        <v>2017</v>
      </c>
      <c r="E620" s="8">
        <v>19391</v>
      </c>
      <c r="F620" s="8">
        <v>26000</v>
      </c>
      <c r="G620" s="8">
        <f t="shared" si="36"/>
        <v>6609</v>
      </c>
      <c r="H620" s="6">
        <v>60000</v>
      </c>
      <c r="I620" t="s">
        <v>34</v>
      </c>
      <c r="J620" t="s">
        <v>1647</v>
      </c>
      <c r="K620" t="s">
        <v>96</v>
      </c>
      <c r="L620" t="s">
        <v>48</v>
      </c>
      <c r="M620" t="s">
        <v>45</v>
      </c>
      <c r="N620" s="6">
        <v>1</v>
      </c>
      <c r="O620" t="str">
        <f t="shared" si="37"/>
        <v>Normal</v>
      </c>
      <c r="P620" t="str">
        <f t="shared" si="38"/>
        <v>Duplicate ID</v>
      </c>
      <c r="Q620" t="str">
        <f t="shared" si="39"/>
        <v>15,000-19,999</v>
      </c>
      <c r="R620" s="6">
        <f>IF(COUNTIF($A$2:A620,A620)=1,1,0)</f>
        <v>1</v>
      </c>
    </row>
    <row r="621" spans="1:18" x14ac:dyDescent="0.25">
      <c r="A621" s="6">
        <v>1525</v>
      </c>
      <c r="B621" s="7">
        <v>44215</v>
      </c>
      <c r="C621" t="s">
        <v>57</v>
      </c>
      <c r="D621" s="6">
        <v>2014</v>
      </c>
      <c r="E621" s="8">
        <v>9216</v>
      </c>
      <c r="F621" s="8">
        <v>12000</v>
      </c>
      <c r="G621" s="8">
        <f t="shared" si="36"/>
        <v>2784</v>
      </c>
      <c r="H621" s="6">
        <v>80000</v>
      </c>
      <c r="I621" t="s">
        <v>69</v>
      </c>
      <c r="J621" t="s">
        <v>35</v>
      </c>
      <c r="K621" t="s">
        <v>96</v>
      </c>
      <c r="L621" t="s">
        <v>54</v>
      </c>
      <c r="M621" t="s">
        <v>1647</v>
      </c>
      <c r="N621" s="6">
        <v>0</v>
      </c>
      <c r="O621" t="str">
        <f t="shared" si="37"/>
        <v>Normal</v>
      </c>
      <c r="P621" t="str">
        <f t="shared" si="38"/>
        <v>Duplicate ID</v>
      </c>
      <c r="Q621" t="str">
        <f t="shared" si="39"/>
        <v>5,000-9,999</v>
      </c>
      <c r="R621" s="6">
        <f>IF(COUNTIF($A$2:A621,A621)=1,1,0)</f>
        <v>0</v>
      </c>
    </row>
    <row r="622" spans="1:18" x14ac:dyDescent="0.25">
      <c r="A622" s="6">
        <v>1040</v>
      </c>
      <c r="B622" s="7">
        <v>44794</v>
      </c>
      <c r="C622" t="s">
        <v>57</v>
      </c>
      <c r="D622" s="6">
        <v>2017</v>
      </c>
      <c r="E622" s="8">
        <v>4049</v>
      </c>
      <c r="F622" s="8">
        <v>7000</v>
      </c>
      <c r="G622" s="8">
        <f t="shared" si="36"/>
        <v>2951</v>
      </c>
      <c r="H622" s="6">
        <v>80000</v>
      </c>
      <c r="I622" t="s">
        <v>58</v>
      </c>
      <c r="J622" t="s">
        <v>72</v>
      </c>
      <c r="K622" t="s">
        <v>36</v>
      </c>
      <c r="L622" t="s">
        <v>100</v>
      </c>
      <c r="M622" t="s">
        <v>90</v>
      </c>
      <c r="N622" s="6" t="s">
        <v>1647</v>
      </c>
      <c r="O622" t="str">
        <f t="shared" si="37"/>
        <v>Normal</v>
      </c>
      <c r="P622" t="str">
        <f t="shared" si="38"/>
        <v>Duplicate ID</v>
      </c>
      <c r="Q622" t="str">
        <f t="shared" si="39"/>
        <v>0-4,999</v>
      </c>
      <c r="R622" s="6">
        <f>IF(COUNTIF($A$2:A622,A622)=1,1,0)</f>
        <v>0</v>
      </c>
    </row>
    <row r="623" spans="1:18" x14ac:dyDescent="0.25">
      <c r="A623" s="6">
        <v>1332</v>
      </c>
      <c r="B623" s="7">
        <v>44952</v>
      </c>
      <c r="C623" t="s">
        <v>32</v>
      </c>
      <c r="D623" s="6">
        <v>2014</v>
      </c>
      <c r="E623" s="8">
        <v>16043</v>
      </c>
      <c r="F623" s="8">
        <v>22000</v>
      </c>
      <c r="G623" s="8">
        <f t="shared" si="36"/>
        <v>5957</v>
      </c>
      <c r="H623" s="6">
        <v>120000</v>
      </c>
      <c r="I623" t="s">
        <v>58</v>
      </c>
      <c r="J623" t="s">
        <v>72</v>
      </c>
      <c r="K623" t="s">
        <v>1647</v>
      </c>
      <c r="L623" t="s">
        <v>54</v>
      </c>
      <c r="M623" t="s">
        <v>45</v>
      </c>
      <c r="N623" s="6">
        <v>0</v>
      </c>
      <c r="O623" t="str">
        <f t="shared" si="37"/>
        <v>Normal</v>
      </c>
      <c r="P623" t="str">
        <f t="shared" si="38"/>
        <v>Duplicate ID</v>
      </c>
      <c r="Q623" t="str">
        <f t="shared" si="39"/>
        <v>15,000-19,999</v>
      </c>
      <c r="R623" s="6">
        <f>IF(COUNTIF($A$2:A623,A623)=1,1,0)</f>
        <v>1</v>
      </c>
    </row>
    <row r="624" spans="1:18" x14ac:dyDescent="0.25">
      <c r="A624" s="6">
        <v>1262</v>
      </c>
      <c r="B624" s="7">
        <v>44558</v>
      </c>
      <c r="C624" t="s">
        <v>40</v>
      </c>
      <c r="D624" s="6">
        <v>2019</v>
      </c>
      <c r="E624" s="8">
        <v>11709</v>
      </c>
      <c r="F624" s="8">
        <v>15000</v>
      </c>
      <c r="G624" s="8">
        <f t="shared" si="36"/>
        <v>3291</v>
      </c>
      <c r="H624" s="6">
        <v>120000</v>
      </c>
      <c r="I624" t="s">
        <v>41</v>
      </c>
      <c r="J624" t="s">
        <v>72</v>
      </c>
      <c r="K624" t="s">
        <v>96</v>
      </c>
      <c r="L624" t="s">
        <v>1647</v>
      </c>
      <c r="M624" t="s">
        <v>90</v>
      </c>
      <c r="N624" s="6">
        <v>3</v>
      </c>
      <c r="O624" t="str">
        <f t="shared" si="37"/>
        <v>Normal</v>
      </c>
      <c r="P624" t="str">
        <f t="shared" si="38"/>
        <v>Duplicate ID</v>
      </c>
      <c r="Q624" t="str">
        <f t="shared" si="39"/>
        <v>10,000-14,999</v>
      </c>
      <c r="R624" s="6">
        <f>IF(COUNTIF($A$2:A624,A624)=1,1,0)</f>
        <v>0</v>
      </c>
    </row>
    <row r="625" spans="1:18" x14ac:dyDescent="0.25">
      <c r="A625" s="6">
        <v>1159</v>
      </c>
      <c r="B625" s="7">
        <v>45006</v>
      </c>
      <c r="C625" t="s">
        <v>119</v>
      </c>
      <c r="D625" s="6">
        <v>2019</v>
      </c>
      <c r="E625" s="8">
        <v>12236</v>
      </c>
      <c r="F625" s="8">
        <v>18000</v>
      </c>
      <c r="G625" s="8">
        <f t="shared" si="36"/>
        <v>5764</v>
      </c>
      <c r="H625" s="6">
        <v>25000</v>
      </c>
      <c r="I625" t="s">
        <v>58</v>
      </c>
      <c r="J625" t="s">
        <v>72</v>
      </c>
      <c r="K625" t="s">
        <v>36</v>
      </c>
      <c r="L625" t="s">
        <v>48</v>
      </c>
      <c r="M625" t="s">
        <v>90</v>
      </c>
      <c r="N625" s="6">
        <v>3</v>
      </c>
      <c r="O625" t="str">
        <f t="shared" si="37"/>
        <v>Normal</v>
      </c>
      <c r="P625" t="str">
        <f t="shared" si="38"/>
        <v>Duplicate ID</v>
      </c>
      <c r="Q625" t="str">
        <f t="shared" si="39"/>
        <v>10,000-14,999</v>
      </c>
      <c r="R625" s="6">
        <f>IF(COUNTIF($A$2:A625,A625)=1,1,0)</f>
        <v>0</v>
      </c>
    </row>
    <row r="626" spans="1:18" x14ac:dyDescent="0.25">
      <c r="A626" s="6">
        <v>1288</v>
      </c>
      <c r="B626" s="7">
        <v>44566</v>
      </c>
      <c r="C626" t="s">
        <v>57</v>
      </c>
      <c r="D626" s="6">
        <v>2016</v>
      </c>
      <c r="E626" s="8">
        <v>9982</v>
      </c>
      <c r="F626" s="8">
        <v>15000</v>
      </c>
      <c r="G626" s="8">
        <f t="shared" si="36"/>
        <v>5018</v>
      </c>
      <c r="H626" s="6">
        <v>80000</v>
      </c>
      <c r="I626" t="s">
        <v>34</v>
      </c>
      <c r="J626" t="s">
        <v>1647</v>
      </c>
      <c r="K626" t="s">
        <v>36</v>
      </c>
      <c r="L626" t="s">
        <v>73</v>
      </c>
      <c r="M626" t="s">
        <v>90</v>
      </c>
      <c r="N626" s="6">
        <v>0</v>
      </c>
      <c r="O626" t="str">
        <f t="shared" si="37"/>
        <v>Normal</v>
      </c>
      <c r="P626" t="str">
        <f t="shared" si="38"/>
        <v>Duplicate ID</v>
      </c>
      <c r="Q626" t="str">
        <f t="shared" si="39"/>
        <v>5,000-9,999</v>
      </c>
      <c r="R626" s="6">
        <f>IF(COUNTIF($A$2:A626,A626)=1,1,0)</f>
        <v>1</v>
      </c>
    </row>
    <row r="627" spans="1:18" x14ac:dyDescent="0.25">
      <c r="A627" s="6">
        <v>1539</v>
      </c>
      <c r="B627" s="7">
        <v>44402</v>
      </c>
      <c r="C627" t="s">
        <v>1648</v>
      </c>
      <c r="D627" s="6">
        <v>2017</v>
      </c>
      <c r="E627" s="8">
        <v>26703</v>
      </c>
      <c r="F627" s="8">
        <v>31000</v>
      </c>
      <c r="G627" s="8">
        <f t="shared" si="36"/>
        <v>4297</v>
      </c>
      <c r="H627" s="6">
        <v>120000</v>
      </c>
      <c r="I627" t="s">
        <v>41</v>
      </c>
      <c r="J627" t="s">
        <v>72</v>
      </c>
      <c r="K627" t="s">
        <v>96</v>
      </c>
      <c r="L627" t="s">
        <v>73</v>
      </c>
      <c r="M627" t="s">
        <v>126</v>
      </c>
      <c r="N627" s="6">
        <v>0</v>
      </c>
      <c r="O627" t="str">
        <f t="shared" si="37"/>
        <v>Normal</v>
      </c>
      <c r="P627" t="str">
        <f t="shared" si="38"/>
        <v>Duplicate ID</v>
      </c>
      <c r="Q627" t="str">
        <f t="shared" si="39"/>
        <v>25,000-30,000</v>
      </c>
      <c r="R627" s="6">
        <f>IF(COUNTIF($A$2:A627,A627)=1,1,0)</f>
        <v>1</v>
      </c>
    </row>
    <row r="628" spans="1:18" x14ac:dyDescent="0.25">
      <c r="A628" s="6">
        <v>1013</v>
      </c>
      <c r="B628" s="7">
        <v>44489</v>
      </c>
      <c r="C628" t="s">
        <v>40</v>
      </c>
      <c r="D628" s="6">
        <v>2016</v>
      </c>
      <c r="E628" s="8">
        <v>11808</v>
      </c>
      <c r="F628" s="8">
        <v>15000</v>
      </c>
      <c r="G628" s="8">
        <f t="shared" si="36"/>
        <v>3192</v>
      </c>
      <c r="H628" s="6">
        <v>15000</v>
      </c>
      <c r="I628" t="s">
        <v>69</v>
      </c>
      <c r="J628" t="s">
        <v>35</v>
      </c>
      <c r="K628" t="s">
        <v>36</v>
      </c>
      <c r="L628" t="s">
        <v>100</v>
      </c>
      <c r="M628" t="s">
        <v>98</v>
      </c>
      <c r="N628" s="6" t="s">
        <v>1647</v>
      </c>
      <c r="O628" t="str">
        <f t="shared" si="37"/>
        <v>Normal</v>
      </c>
      <c r="P628" t="str">
        <f t="shared" si="38"/>
        <v>Duplicate ID</v>
      </c>
      <c r="Q628" t="str">
        <f t="shared" si="39"/>
        <v>10,000-14,999</v>
      </c>
      <c r="R628" s="6">
        <f>IF(COUNTIF($A$2:A628,A628)=1,1,0)</f>
        <v>0</v>
      </c>
    </row>
    <row r="629" spans="1:18" x14ac:dyDescent="0.25">
      <c r="A629" s="6">
        <v>1249</v>
      </c>
      <c r="B629" s="7">
        <v>44513</v>
      </c>
      <c r="C629" t="s">
        <v>1648</v>
      </c>
      <c r="D629" s="6">
        <v>2016</v>
      </c>
      <c r="E629" s="8">
        <v>13077</v>
      </c>
      <c r="F629" s="8">
        <v>18000</v>
      </c>
      <c r="G629" s="8">
        <f t="shared" si="36"/>
        <v>4923</v>
      </c>
      <c r="H629" s="6">
        <v>40000</v>
      </c>
      <c r="I629" t="s">
        <v>41</v>
      </c>
      <c r="J629" t="s">
        <v>35</v>
      </c>
      <c r="K629" t="s">
        <v>36</v>
      </c>
      <c r="L629" t="s">
        <v>73</v>
      </c>
      <c r="M629" t="s">
        <v>1647</v>
      </c>
      <c r="N629" s="6">
        <v>2</v>
      </c>
      <c r="O629" t="str">
        <f t="shared" si="37"/>
        <v>Normal</v>
      </c>
      <c r="P629" t="str">
        <f t="shared" si="38"/>
        <v>Duplicate ID</v>
      </c>
      <c r="Q629" t="str">
        <f t="shared" si="39"/>
        <v>10,000-14,999</v>
      </c>
      <c r="R629" s="6">
        <f>IF(COUNTIF($A$2:A629,A629)=1,1,0)</f>
        <v>0</v>
      </c>
    </row>
    <row r="630" spans="1:18" x14ac:dyDescent="0.25">
      <c r="A630" s="6">
        <v>1024</v>
      </c>
      <c r="B630" s="7">
        <v>44656</v>
      </c>
      <c r="C630" t="s">
        <v>32</v>
      </c>
      <c r="D630" s="6">
        <v>2022</v>
      </c>
      <c r="E630" s="8">
        <v>24991</v>
      </c>
      <c r="F630" s="8">
        <v>26000</v>
      </c>
      <c r="G630" s="8">
        <f t="shared" si="36"/>
        <v>1009</v>
      </c>
      <c r="H630" s="6">
        <v>25000</v>
      </c>
      <c r="I630" t="s">
        <v>69</v>
      </c>
      <c r="J630" t="s">
        <v>35</v>
      </c>
      <c r="K630" t="s">
        <v>96</v>
      </c>
      <c r="L630" t="s">
        <v>73</v>
      </c>
      <c r="M630" t="s">
        <v>98</v>
      </c>
      <c r="N630" s="6">
        <v>1</v>
      </c>
      <c r="O630" t="str">
        <f t="shared" si="37"/>
        <v>Normal</v>
      </c>
      <c r="P630" t="str">
        <f t="shared" si="38"/>
        <v>Duplicate ID</v>
      </c>
      <c r="Q630" t="str">
        <f t="shared" si="39"/>
        <v>20,000-24,999</v>
      </c>
      <c r="R630" s="6">
        <f>IF(COUNTIF($A$2:A630,A630)=1,1,0)</f>
        <v>1</v>
      </c>
    </row>
    <row r="631" spans="1:18" x14ac:dyDescent="0.25">
      <c r="A631" s="6">
        <v>1341</v>
      </c>
      <c r="B631" s="7">
        <v>44353</v>
      </c>
      <c r="C631" t="s">
        <v>32</v>
      </c>
      <c r="D631" s="6">
        <v>2017</v>
      </c>
      <c r="E631" s="8">
        <v>5073</v>
      </c>
      <c r="F631" s="8">
        <v>9000</v>
      </c>
      <c r="G631" s="8">
        <f t="shared" si="36"/>
        <v>3927</v>
      </c>
      <c r="H631" s="6">
        <v>40000</v>
      </c>
      <c r="I631" t="s">
        <v>41</v>
      </c>
      <c r="J631" t="s">
        <v>1647</v>
      </c>
      <c r="K631" t="s">
        <v>36</v>
      </c>
      <c r="L631" t="s">
        <v>100</v>
      </c>
      <c r="M631" t="s">
        <v>98</v>
      </c>
      <c r="N631" s="6" t="s">
        <v>1647</v>
      </c>
      <c r="O631" t="str">
        <f t="shared" si="37"/>
        <v>Normal</v>
      </c>
      <c r="P631" t="str">
        <f t="shared" si="38"/>
        <v>Duplicate ID</v>
      </c>
      <c r="Q631" t="str">
        <f t="shared" si="39"/>
        <v>5,000-9,999</v>
      </c>
      <c r="R631" s="6">
        <f>IF(COUNTIF($A$2:A631,A631)=1,1,0)</f>
        <v>0</v>
      </c>
    </row>
    <row r="632" spans="1:18" x14ac:dyDescent="0.25">
      <c r="A632" s="6">
        <v>1308</v>
      </c>
      <c r="B632" s="7">
        <v>44504</v>
      </c>
      <c r="C632" t="s">
        <v>51</v>
      </c>
      <c r="D632" s="6"/>
      <c r="E632" s="8">
        <v>7517</v>
      </c>
      <c r="F632" s="8">
        <v>12000</v>
      </c>
      <c r="G632" s="8">
        <f t="shared" si="36"/>
        <v>4483</v>
      </c>
      <c r="H632" s="6">
        <v>120000</v>
      </c>
      <c r="I632" t="s">
        <v>69</v>
      </c>
      <c r="J632" t="s">
        <v>72</v>
      </c>
      <c r="K632" t="s">
        <v>96</v>
      </c>
      <c r="L632" t="s">
        <v>54</v>
      </c>
      <c r="M632" t="s">
        <v>126</v>
      </c>
      <c r="N632" s="6">
        <v>0</v>
      </c>
      <c r="O632" t="str">
        <f t="shared" si="37"/>
        <v>Normal</v>
      </c>
      <c r="P632" t="str">
        <f t="shared" si="38"/>
        <v>Duplicate ID</v>
      </c>
      <c r="Q632" t="str">
        <f t="shared" si="39"/>
        <v>5,000-9,999</v>
      </c>
      <c r="R632" s="6">
        <f>IF(COUNTIF($A$2:A632,A632)=1,1,0)</f>
        <v>0</v>
      </c>
    </row>
    <row r="633" spans="1:18" x14ac:dyDescent="0.25">
      <c r="A633" s="6">
        <v>1457</v>
      </c>
      <c r="B633" s="7">
        <v>44996</v>
      </c>
      <c r="C633" t="s">
        <v>32</v>
      </c>
      <c r="D633" s="6">
        <v>2018</v>
      </c>
      <c r="E633" s="8">
        <v>9790</v>
      </c>
      <c r="F633" s="8">
        <v>12000</v>
      </c>
      <c r="G633" s="8">
        <f t="shared" si="36"/>
        <v>2210</v>
      </c>
      <c r="H633" s="6">
        <v>40000</v>
      </c>
      <c r="I633" t="s">
        <v>41</v>
      </c>
      <c r="J633" t="s">
        <v>35</v>
      </c>
      <c r="K633" t="s">
        <v>1647</v>
      </c>
      <c r="L633" t="s">
        <v>48</v>
      </c>
      <c r="M633" t="s">
        <v>45</v>
      </c>
      <c r="N633" s="6">
        <v>1</v>
      </c>
      <c r="O633" t="str">
        <f t="shared" si="37"/>
        <v>Normal</v>
      </c>
      <c r="P633" t="str">
        <f t="shared" si="38"/>
        <v>Duplicate ID</v>
      </c>
      <c r="Q633" t="str">
        <f t="shared" si="39"/>
        <v>5,000-9,999</v>
      </c>
      <c r="R633" s="6">
        <f>IF(COUNTIF($A$2:A633,A633)=1,1,0)</f>
        <v>1</v>
      </c>
    </row>
    <row r="634" spans="1:18" x14ac:dyDescent="0.25">
      <c r="A634" s="6">
        <v>1326</v>
      </c>
      <c r="B634" s="7">
        <v>44919</v>
      </c>
      <c r="C634" t="s">
        <v>40</v>
      </c>
      <c r="D634" s="6">
        <v>2019</v>
      </c>
      <c r="E634" s="8">
        <v>7846</v>
      </c>
      <c r="F634" s="8">
        <v>12000</v>
      </c>
      <c r="G634" s="8">
        <f t="shared" si="36"/>
        <v>4154</v>
      </c>
      <c r="H634" s="6">
        <v>25000</v>
      </c>
      <c r="I634" t="s">
        <v>69</v>
      </c>
      <c r="J634" t="s">
        <v>35</v>
      </c>
      <c r="K634" t="s">
        <v>36</v>
      </c>
      <c r="L634" t="s">
        <v>48</v>
      </c>
      <c r="M634" t="s">
        <v>98</v>
      </c>
      <c r="N634" s="6" t="s">
        <v>1647</v>
      </c>
      <c r="O634" t="str">
        <f t="shared" si="37"/>
        <v>Normal</v>
      </c>
      <c r="P634" t="str">
        <f t="shared" si="38"/>
        <v>Duplicate ID</v>
      </c>
      <c r="Q634" t="str">
        <f t="shared" si="39"/>
        <v>5,000-9,999</v>
      </c>
      <c r="R634" s="6">
        <f>IF(COUNTIF($A$2:A634,A634)=1,1,0)</f>
        <v>0</v>
      </c>
    </row>
    <row r="635" spans="1:18" x14ac:dyDescent="0.25">
      <c r="A635" s="6">
        <v>1393</v>
      </c>
      <c r="B635" s="7">
        <v>44668</v>
      </c>
      <c r="C635" t="s">
        <v>1648</v>
      </c>
      <c r="D635" s="6">
        <v>2022</v>
      </c>
      <c r="E635" s="8">
        <v>25608</v>
      </c>
      <c r="F635" s="8">
        <v>31000</v>
      </c>
      <c r="G635" s="8">
        <f t="shared" si="36"/>
        <v>5392</v>
      </c>
      <c r="H635" s="6">
        <v>80000</v>
      </c>
      <c r="I635" t="s">
        <v>58</v>
      </c>
      <c r="J635" t="s">
        <v>35</v>
      </c>
      <c r="K635" t="s">
        <v>36</v>
      </c>
      <c r="L635" t="s">
        <v>54</v>
      </c>
      <c r="M635" t="s">
        <v>126</v>
      </c>
      <c r="N635" s="6">
        <v>1</v>
      </c>
      <c r="O635" t="str">
        <f t="shared" si="37"/>
        <v>Normal</v>
      </c>
      <c r="P635" t="str">
        <f t="shared" si="38"/>
        <v>Duplicate ID</v>
      </c>
      <c r="Q635" t="str">
        <f t="shared" si="39"/>
        <v>25,000-30,000</v>
      </c>
      <c r="R635" s="6">
        <f>IF(COUNTIF($A$2:A635,A635)=1,1,0)</f>
        <v>0</v>
      </c>
    </row>
    <row r="636" spans="1:18" x14ac:dyDescent="0.25">
      <c r="A636" s="6">
        <v>1357</v>
      </c>
      <c r="B636" s="7">
        <v>44319</v>
      </c>
      <c r="C636" t="s">
        <v>40</v>
      </c>
      <c r="D636" s="6">
        <v>2019</v>
      </c>
      <c r="E636" s="8">
        <v>29098</v>
      </c>
      <c r="F636" s="8">
        <v>31000</v>
      </c>
      <c r="G636" s="8">
        <f t="shared" si="36"/>
        <v>1902</v>
      </c>
      <c r="H636" s="6">
        <v>25000</v>
      </c>
      <c r="I636" t="s">
        <v>58</v>
      </c>
      <c r="J636" t="s">
        <v>72</v>
      </c>
      <c r="K636" t="s">
        <v>96</v>
      </c>
      <c r="L636" t="s">
        <v>100</v>
      </c>
      <c r="M636" t="s">
        <v>1647</v>
      </c>
      <c r="N636" s="6">
        <v>3</v>
      </c>
      <c r="O636" t="str">
        <f t="shared" si="37"/>
        <v>Normal</v>
      </c>
      <c r="P636" t="str">
        <f t="shared" si="38"/>
        <v>Duplicate ID</v>
      </c>
      <c r="Q636" t="str">
        <f t="shared" si="39"/>
        <v>25,000-30,000</v>
      </c>
      <c r="R636" s="6">
        <f>IF(COUNTIF($A$2:A636,A636)=1,1,0)</f>
        <v>0</v>
      </c>
    </row>
    <row r="637" spans="1:18" x14ac:dyDescent="0.25">
      <c r="A637" s="6">
        <v>1146</v>
      </c>
      <c r="B637" s="7">
        <v>44437</v>
      </c>
      <c r="C637" t="s">
        <v>119</v>
      </c>
      <c r="D637" s="6">
        <v>2017</v>
      </c>
      <c r="E637" s="8">
        <v>12872</v>
      </c>
      <c r="F637" s="8">
        <v>15000</v>
      </c>
      <c r="G637" s="8">
        <f t="shared" si="36"/>
        <v>2128</v>
      </c>
      <c r="H637" s="6">
        <v>15000</v>
      </c>
      <c r="I637" t="s">
        <v>69</v>
      </c>
      <c r="J637" t="s">
        <v>35</v>
      </c>
      <c r="K637" t="s">
        <v>36</v>
      </c>
      <c r="L637" t="s">
        <v>73</v>
      </c>
      <c r="M637" t="s">
        <v>98</v>
      </c>
      <c r="N637" s="6" t="s">
        <v>1647</v>
      </c>
      <c r="O637" t="str">
        <f t="shared" si="37"/>
        <v>Normal</v>
      </c>
      <c r="P637" t="str">
        <f t="shared" si="38"/>
        <v>Duplicate ID</v>
      </c>
      <c r="Q637" t="str">
        <f t="shared" si="39"/>
        <v>10,000-14,999</v>
      </c>
      <c r="R637" s="6">
        <f>IF(COUNTIF($A$2:A637,A637)=1,1,0)</f>
        <v>1</v>
      </c>
    </row>
    <row r="638" spans="1:18" x14ac:dyDescent="0.25">
      <c r="A638" s="6">
        <v>1250</v>
      </c>
      <c r="B638" s="7">
        <v>44358</v>
      </c>
      <c r="C638" t="s">
        <v>57</v>
      </c>
      <c r="D638" s="6">
        <v>2014</v>
      </c>
      <c r="E638" s="8">
        <v>9843</v>
      </c>
      <c r="F638" s="8">
        <v>12000</v>
      </c>
      <c r="G638" s="8">
        <f t="shared" si="36"/>
        <v>2157</v>
      </c>
      <c r="H638" s="6">
        <v>40000</v>
      </c>
      <c r="I638" t="s">
        <v>58</v>
      </c>
      <c r="J638" t="s">
        <v>35</v>
      </c>
      <c r="K638" t="s">
        <v>96</v>
      </c>
      <c r="L638" t="s">
        <v>100</v>
      </c>
      <c r="M638" t="s">
        <v>1647</v>
      </c>
      <c r="N638" s="6">
        <v>2</v>
      </c>
      <c r="O638" t="str">
        <f t="shared" si="37"/>
        <v>Normal</v>
      </c>
      <c r="P638" t="str">
        <f t="shared" si="38"/>
        <v>Duplicate ID</v>
      </c>
      <c r="Q638" t="str">
        <f t="shared" si="39"/>
        <v>5,000-9,999</v>
      </c>
      <c r="R638" s="6">
        <f>IF(COUNTIF($A$2:A638,A638)=1,1,0)</f>
        <v>1</v>
      </c>
    </row>
    <row r="639" spans="1:18" x14ac:dyDescent="0.25">
      <c r="A639" s="6">
        <v>1293</v>
      </c>
      <c r="B639" s="7">
        <v>44224</v>
      </c>
      <c r="C639" t="s">
        <v>1648</v>
      </c>
      <c r="D639" s="6">
        <v>2020</v>
      </c>
      <c r="E639" s="8">
        <v>15718</v>
      </c>
      <c r="F639" s="8">
        <v>22000</v>
      </c>
      <c r="G639" s="8">
        <f t="shared" si="36"/>
        <v>6282</v>
      </c>
      <c r="H639" s="6">
        <v>60000</v>
      </c>
      <c r="I639" t="s">
        <v>58</v>
      </c>
      <c r="J639" t="s">
        <v>1647</v>
      </c>
      <c r="K639" t="s">
        <v>36</v>
      </c>
      <c r="L639" t="s">
        <v>73</v>
      </c>
      <c r="M639" t="s">
        <v>98</v>
      </c>
      <c r="N639" s="6">
        <v>3</v>
      </c>
      <c r="O639" t="str">
        <f t="shared" si="37"/>
        <v>Normal</v>
      </c>
      <c r="P639" t="str">
        <f t="shared" si="38"/>
        <v>Duplicate ID</v>
      </c>
      <c r="Q639" t="str">
        <f t="shared" si="39"/>
        <v>15,000-19,999</v>
      </c>
      <c r="R639" s="6">
        <f>IF(COUNTIF($A$2:A639,A639)=1,1,0)</f>
        <v>0</v>
      </c>
    </row>
    <row r="640" spans="1:18" x14ac:dyDescent="0.25">
      <c r="A640" s="6">
        <v>1232</v>
      </c>
      <c r="B640" s="7">
        <v>44823</v>
      </c>
      <c r="C640" t="s">
        <v>1648</v>
      </c>
      <c r="D640" s="6">
        <v>2022</v>
      </c>
      <c r="E640" s="8">
        <v>12889</v>
      </c>
      <c r="F640" s="8">
        <v>18000</v>
      </c>
      <c r="G640" s="8">
        <f t="shared" si="36"/>
        <v>5111</v>
      </c>
      <c r="H640" s="6">
        <v>80000</v>
      </c>
      <c r="I640" t="s">
        <v>34</v>
      </c>
      <c r="J640" t="s">
        <v>35</v>
      </c>
      <c r="K640" t="s">
        <v>36</v>
      </c>
      <c r="L640" t="s">
        <v>48</v>
      </c>
      <c r="M640" t="s">
        <v>126</v>
      </c>
      <c r="N640" s="6">
        <v>1</v>
      </c>
      <c r="O640" t="str">
        <f t="shared" si="37"/>
        <v>Normal</v>
      </c>
      <c r="P640" t="str">
        <f t="shared" si="38"/>
        <v>Duplicate ID</v>
      </c>
      <c r="Q640" t="str">
        <f t="shared" si="39"/>
        <v>10,000-14,999</v>
      </c>
      <c r="R640" s="6">
        <f>IF(COUNTIF($A$2:A640,A640)=1,1,0)</f>
        <v>1</v>
      </c>
    </row>
    <row r="641" spans="1:18" x14ac:dyDescent="0.25">
      <c r="A641" s="6">
        <v>1320</v>
      </c>
      <c r="B641" s="7">
        <v>45174</v>
      </c>
      <c r="C641" t="s">
        <v>79</v>
      </c>
      <c r="D641" s="6">
        <v>2016</v>
      </c>
      <c r="E641" s="8">
        <v>4163</v>
      </c>
      <c r="F641" s="8">
        <v>9000</v>
      </c>
      <c r="G641" s="8">
        <f t="shared" si="36"/>
        <v>4837</v>
      </c>
      <c r="H641" s="6">
        <v>120000</v>
      </c>
      <c r="I641" t="s">
        <v>41</v>
      </c>
      <c r="J641" t="s">
        <v>72</v>
      </c>
      <c r="K641" t="s">
        <v>96</v>
      </c>
      <c r="L641" t="s">
        <v>100</v>
      </c>
      <c r="M641" t="s">
        <v>45</v>
      </c>
      <c r="N641" s="6">
        <v>0</v>
      </c>
      <c r="O641" t="str">
        <f t="shared" si="37"/>
        <v>Normal</v>
      </c>
      <c r="P641" t="str">
        <f t="shared" si="38"/>
        <v>Duplicate ID</v>
      </c>
      <c r="Q641" t="str">
        <f t="shared" si="39"/>
        <v>0-4,999</v>
      </c>
      <c r="R641" s="6">
        <f>IF(COUNTIF($A$2:A641,A641)=1,1,0)</f>
        <v>0</v>
      </c>
    </row>
    <row r="642" spans="1:18" x14ac:dyDescent="0.25">
      <c r="A642" s="6">
        <v>1245</v>
      </c>
      <c r="B642" s="7">
        <v>44254</v>
      </c>
      <c r="C642" t="s">
        <v>32</v>
      </c>
      <c r="D642" s="6">
        <v>2015</v>
      </c>
      <c r="E642" s="8">
        <v>18252</v>
      </c>
      <c r="F642" s="8">
        <v>22000</v>
      </c>
      <c r="G642" s="8">
        <f t="shared" ref="G642:G705" si="40">IF(OR(F642="",E642=""),"",F642-E642)</f>
        <v>3748</v>
      </c>
      <c r="H642" s="6">
        <v>80000</v>
      </c>
      <c r="I642" t="s">
        <v>41</v>
      </c>
      <c r="J642" t="s">
        <v>72</v>
      </c>
      <c r="K642" t="s">
        <v>36</v>
      </c>
      <c r="L642" t="s">
        <v>1647</v>
      </c>
      <c r="M642" t="s">
        <v>90</v>
      </c>
      <c r="N642" s="6">
        <v>0</v>
      </c>
      <c r="O642" t="str">
        <f t="shared" ref="O642:O705" si="41">IF(E642&lt;1000,"Outlier","Normal")</f>
        <v>Normal</v>
      </c>
      <c r="P642" t="str">
        <f t="shared" ref="P642:P705" si="42">IF(COUNTIF($A$2:$A$2501,A642)&gt;1,"Duplicate ID","Unique ID")</f>
        <v>Duplicate ID</v>
      </c>
      <c r="Q642" t="str">
        <f t="shared" ref="Q642:Q705" si="43">IF(E642&lt;5000,"0-4,999",IF(E642&lt;10000,"5,000-9,999",IF(E642&lt;15000,"10,000-14,999",IF(E642&lt;20000,"15,000-19,999",IF(E642&lt;25000,"20,000-24,999","25,000-30,000")))))</f>
        <v>15,000-19,999</v>
      </c>
      <c r="R642" s="6">
        <f>IF(COUNTIF($A$2:A642,A642)=1,1,0)</f>
        <v>0</v>
      </c>
    </row>
    <row r="643" spans="1:18" x14ac:dyDescent="0.25">
      <c r="A643" s="6">
        <v>1577</v>
      </c>
      <c r="B643" s="7">
        <v>44288</v>
      </c>
      <c r="C643" t="s">
        <v>119</v>
      </c>
      <c r="D643" s="6">
        <v>2018</v>
      </c>
      <c r="E643" s="8">
        <v>3374</v>
      </c>
      <c r="F643" s="8">
        <v>9000</v>
      </c>
      <c r="G643" s="8">
        <f t="shared" si="40"/>
        <v>5626</v>
      </c>
      <c r="H643" s="6">
        <v>80000</v>
      </c>
      <c r="I643" t="s">
        <v>41</v>
      </c>
      <c r="J643" t="s">
        <v>72</v>
      </c>
      <c r="K643" t="s">
        <v>36</v>
      </c>
      <c r="L643" t="s">
        <v>54</v>
      </c>
      <c r="M643" t="s">
        <v>45</v>
      </c>
      <c r="N643" s="6">
        <v>3</v>
      </c>
      <c r="O643" t="str">
        <f t="shared" si="41"/>
        <v>Normal</v>
      </c>
      <c r="P643" t="str">
        <f t="shared" si="42"/>
        <v>Duplicate ID</v>
      </c>
      <c r="Q643" t="str">
        <f t="shared" si="43"/>
        <v>0-4,999</v>
      </c>
      <c r="R643" s="6">
        <f>IF(COUNTIF($A$2:A643,A643)=1,1,0)</f>
        <v>1</v>
      </c>
    </row>
    <row r="644" spans="1:18" x14ac:dyDescent="0.25">
      <c r="A644" s="6">
        <v>1099</v>
      </c>
      <c r="B644" s="7">
        <v>44462</v>
      </c>
      <c r="C644" t="s">
        <v>57</v>
      </c>
      <c r="D644" s="6">
        <v>2019</v>
      </c>
      <c r="E644" s="8">
        <v>22085</v>
      </c>
      <c r="F644" s="8">
        <v>26000</v>
      </c>
      <c r="G644" s="8">
        <f t="shared" si="40"/>
        <v>3915</v>
      </c>
      <c r="H644" s="6">
        <v>120000</v>
      </c>
      <c r="I644" t="s">
        <v>58</v>
      </c>
      <c r="J644" t="s">
        <v>35</v>
      </c>
      <c r="K644" t="s">
        <v>1647</v>
      </c>
      <c r="L644" t="s">
        <v>48</v>
      </c>
      <c r="M644" t="s">
        <v>98</v>
      </c>
      <c r="N644" s="6" t="s">
        <v>1647</v>
      </c>
      <c r="O644" t="str">
        <f t="shared" si="41"/>
        <v>Normal</v>
      </c>
      <c r="P644" t="str">
        <f t="shared" si="42"/>
        <v>Duplicate ID</v>
      </c>
      <c r="Q644" t="str">
        <f t="shared" si="43"/>
        <v>20,000-24,999</v>
      </c>
      <c r="R644" s="6">
        <f>IF(COUNTIF($A$2:A644,A644)=1,1,0)</f>
        <v>0</v>
      </c>
    </row>
    <row r="645" spans="1:18" x14ac:dyDescent="0.25">
      <c r="A645" s="6">
        <v>1080</v>
      </c>
      <c r="B645" s="7">
        <v>45145</v>
      </c>
      <c r="C645" t="s">
        <v>40</v>
      </c>
      <c r="D645" s="6">
        <v>2018</v>
      </c>
      <c r="E645" s="8">
        <v>5410</v>
      </c>
      <c r="F645" s="8">
        <v>12000</v>
      </c>
      <c r="G645" s="8">
        <f t="shared" si="40"/>
        <v>6590</v>
      </c>
      <c r="H645" s="6">
        <v>25000</v>
      </c>
      <c r="I645" t="s">
        <v>58</v>
      </c>
      <c r="J645" t="s">
        <v>35</v>
      </c>
      <c r="K645" t="s">
        <v>36</v>
      </c>
      <c r="L645" t="s">
        <v>1647</v>
      </c>
      <c r="M645" t="s">
        <v>1647</v>
      </c>
      <c r="N645" s="6" t="s">
        <v>1647</v>
      </c>
      <c r="O645" t="str">
        <f t="shared" si="41"/>
        <v>Normal</v>
      </c>
      <c r="P645" t="str">
        <f t="shared" si="42"/>
        <v>Duplicate ID</v>
      </c>
      <c r="Q645" t="str">
        <f t="shared" si="43"/>
        <v>5,000-9,999</v>
      </c>
      <c r="R645" s="6">
        <f>IF(COUNTIF($A$2:A645,A645)=1,1,0)</f>
        <v>0</v>
      </c>
    </row>
    <row r="646" spans="1:18" x14ac:dyDescent="0.25">
      <c r="A646" s="6">
        <v>1441</v>
      </c>
      <c r="B646" s="7">
        <v>44934</v>
      </c>
      <c r="C646" t="s">
        <v>51</v>
      </c>
      <c r="D646" s="6">
        <v>2021</v>
      </c>
      <c r="E646" s="8">
        <v>8618</v>
      </c>
      <c r="F646" s="8">
        <v>12000</v>
      </c>
      <c r="G646" s="8">
        <f t="shared" si="40"/>
        <v>3382</v>
      </c>
      <c r="H646" s="6">
        <v>40000</v>
      </c>
      <c r="I646" t="s">
        <v>58</v>
      </c>
      <c r="J646" t="s">
        <v>35</v>
      </c>
      <c r="K646" t="s">
        <v>1647</v>
      </c>
      <c r="L646" t="s">
        <v>73</v>
      </c>
      <c r="M646" t="s">
        <v>90</v>
      </c>
      <c r="N646" s="6" t="s">
        <v>1647</v>
      </c>
      <c r="O646" t="str">
        <f t="shared" si="41"/>
        <v>Normal</v>
      </c>
      <c r="P646" t="str">
        <f t="shared" si="42"/>
        <v>Duplicate ID</v>
      </c>
      <c r="Q646" t="str">
        <f t="shared" si="43"/>
        <v>5,000-9,999</v>
      </c>
      <c r="R646" s="6">
        <f>IF(COUNTIF($A$2:A646,A646)=1,1,0)</f>
        <v>0</v>
      </c>
    </row>
    <row r="647" spans="1:18" x14ac:dyDescent="0.25">
      <c r="A647" s="6">
        <v>1089</v>
      </c>
      <c r="B647" s="7">
        <v>45317</v>
      </c>
      <c r="C647" t="s">
        <v>1648</v>
      </c>
      <c r="D647" s="6">
        <v>2015</v>
      </c>
      <c r="E647" s="8">
        <v>3465</v>
      </c>
      <c r="F647" s="8">
        <v>7000</v>
      </c>
      <c r="G647" s="8">
        <f t="shared" si="40"/>
        <v>3535</v>
      </c>
      <c r="H647" s="6">
        <v>25000</v>
      </c>
      <c r="I647" t="s">
        <v>69</v>
      </c>
      <c r="J647" t="s">
        <v>35</v>
      </c>
      <c r="K647" t="s">
        <v>36</v>
      </c>
      <c r="L647" t="s">
        <v>54</v>
      </c>
      <c r="M647" t="s">
        <v>45</v>
      </c>
      <c r="N647" s="6">
        <v>2</v>
      </c>
      <c r="O647" t="str">
        <f t="shared" si="41"/>
        <v>Normal</v>
      </c>
      <c r="P647" t="str">
        <f t="shared" si="42"/>
        <v>Duplicate ID</v>
      </c>
      <c r="Q647" t="str">
        <f t="shared" si="43"/>
        <v>0-4,999</v>
      </c>
      <c r="R647" s="6">
        <f>IF(COUNTIF($A$2:A647,A647)=1,1,0)</f>
        <v>0</v>
      </c>
    </row>
    <row r="648" spans="1:18" x14ac:dyDescent="0.25">
      <c r="A648" s="6">
        <v>1484</v>
      </c>
      <c r="B648" s="7">
        <v>44725</v>
      </c>
      <c r="C648" t="s">
        <v>40</v>
      </c>
      <c r="D648" s="6">
        <v>2015</v>
      </c>
      <c r="E648" s="8">
        <v>7226</v>
      </c>
      <c r="F648" s="8">
        <v>12000</v>
      </c>
      <c r="G648" s="8">
        <f t="shared" si="40"/>
        <v>4774</v>
      </c>
      <c r="H648" s="6">
        <v>120000</v>
      </c>
      <c r="I648" t="s">
        <v>58</v>
      </c>
      <c r="J648" t="s">
        <v>35</v>
      </c>
      <c r="K648" t="s">
        <v>1647</v>
      </c>
      <c r="L648" t="s">
        <v>48</v>
      </c>
      <c r="M648" t="s">
        <v>126</v>
      </c>
      <c r="N648" s="6">
        <v>2</v>
      </c>
      <c r="O648" t="str">
        <f t="shared" si="41"/>
        <v>Normal</v>
      </c>
      <c r="P648" t="str">
        <f t="shared" si="42"/>
        <v>Duplicate ID</v>
      </c>
      <c r="Q648" t="str">
        <f t="shared" si="43"/>
        <v>5,000-9,999</v>
      </c>
      <c r="R648" s="6">
        <f>IF(COUNTIF($A$2:A648,A648)=1,1,0)</f>
        <v>0</v>
      </c>
    </row>
    <row r="649" spans="1:18" x14ac:dyDescent="0.25">
      <c r="A649" s="6">
        <v>1451</v>
      </c>
      <c r="B649" s="7">
        <v>44461</v>
      </c>
      <c r="C649" t="s">
        <v>51</v>
      </c>
      <c r="D649" s="6">
        <v>2020</v>
      </c>
      <c r="E649" s="8">
        <v>19425</v>
      </c>
      <c r="F649" s="8">
        <v>26000</v>
      </c>
      <c r="G649" s="8">
        <f t="shared" si="40"/>
        <v>6575</v>
      </c>
      <c r="H649" s="6">
        <v>80000</v>
      </c>
      <c r="I649" t="s">
        <v>69</v>
      </c>
      <c r="J649" t="s">
        <v>35</v>
      </c>
      <c r="K649" t="s">
        <v>96</v>
      </c>
      <c r="L649" t="s">
        <v>1647</v>
      </c>
      <c r="M649" t="s">
        <v>98</v>
      </c>
      <c r="N649" s="6">
        <v>2</v>
      </c>
      <c r="O649" t="str">
        <f t="shared" si="41"/>
        <v>Normal</v>
      </c>
      <c r="P649" t="str">
        <f t="shared" si="42"/>
        <v>Duplicate ID</v>
      </c>
      <c r="Q649" t="str">
        <f t="shared" si="43"/>
        <v>15,000-19,999</v>
      </c>
      <c r="R649" s="6">
        <f>IF(COUNTIF($A$2:A649,A649)=1,1,0)</f>
        <v>1</v>
      </c>
    </row>
    <row r="650" spans="1:18" x14ac:dyDescent="0.25">
      <c r="A650" s="6">
        <v>1008</v>
      </c>
      <c r="B650" s="7">
        <v>45345</v>
      </c>
      <c r="C650" t="s">
        <v>40</v>
      </c>
      <c r="D650" s="6"/>
      <c r="E650" s="8">
        <v>3995</v>
      </c>
      <c r="F650" s="8">
        <v>7000</v>
      </c>
      <c r="G650" s="8">
        <f t="shared" si="40"/>
        <v>3005</v>
      </c>
      <c r="H650" s="6">
        <v>120000</v>
      </c>
      <c r="I650" t="s">
        <v>34</v>
      </c>
      <c r="J650" t="s">
        <v>35</v>
      </c>
      <c r="K650" t="s">
        <v>36</v>
      </c>
      <c r="L650" t="s">
        <v>48</v>
      </c>
      <c r="M650" t="s">
        <v>98</v>
      </c>
      <c r="N650" s="6">
        <v>0</v>
      </c>
      <c r="O650" t="str">
        <f t="shared" si="41"/>
        <v>Normal</v>
      </c>
      <c r="P650" t="str">
        <f t="shared" si="42"/>
        <v>Duplicate ID</v>
      </c>
      <c r="Q650" t="str">
        <f t="shared" si="43"/>
        <v>0-4,999</v>
      </c>
      <c r="R650" s="6">
        <f>IF(COUNTIF($A$2:A650,A650)=1,1,0)</f>
        <v>0</v>
      </c>
    </row>
    <row r="651" spans="1:18" x14ac:dyDescent="0.25">
      <c r="A651" s="6">
        <v>1111</v>
      </c>
      <c r="B651" s="7">
        <v>45149</v>
      </c>
      <c r="C651" t="s">
        <v>79</v>
      </c>
      <c r="D651" s="6">
        <v>2021</v>
      </c>
      <c r="E651" s="8">
        <v>25617</v>
      </c>
      <c r="F651" s="8">
        <v>31000</v>
      </c>
      <c r="G651" s="8">
        <f t="shared" si="40"/>
        <v>5383</v>
      </c>
      <c r="H651" s="6">
        <v>120000</v>
      </c>
      <c r="I651" t="s">
        <v>34</v>
      </c>
      <c r="J651" t="s">
        <v>72</v>
      </c>
      <c r="K651" t="s">
        <v>36</v>
      </c>
      <c r="L651" t="s">
        <v>48</v>
      </c>
      <c r="M651" t="s">
        <v>45</v>
      </c>
      <c r="N651" s="6">
        <v>0</v>
      </c>
      <c r="O651" t="str">
        <f t="shared" si="41"/>
        <v>Normal</v>
      </c>
      <c r="P651" t="str">
        <f t="shared" si="42"/>
        <v>Duplicate ID</v>
      </c>
      <c r="Q651" t="str">
        <f t="shared" si="43"/>
        <v>25,000-30,000</v>
      </c>
      <c r="R651" s="6">
        <f>IF(COUNTIF($A$2:A651,A651)=1,1,0)</f>
        <v>0</v>
      </c>
    </row>
    <row r="652" spans="1:18" x14ac:dyDescent="0.25">
      <c r="A652" s="6">
        <v>1117</v>
      </c>
      <c r="B652" s="7">
        <v>45172</v>
      </c>
      <c r="C652" t="s">
        <v>51</v>
      </c>
      <c r="D652" s="6">
        <v>2019</v>
      </c>
      <c r="E652" s="8">
        <v>24247</v>
      </c>
      <c r="F652" s="8">
        <v>31000</v>
      </c>
      <c r="G652" s="8">
        <f t="shared" si="40"/>
        <v>6753</v>
      </c>
      <c r="H652" s="6">
        <v>25000</v>
      </c>
      <c r="I652" t="s">
        <v>1647</v>
      </c>
      <c r="J652" t="s">
        <v>35</v>
      </c>
      <c r="K652" t="s">
        <v>36</v>
      </c>
      <c r="L652" t="s">
        <v>54</v>
      </c>
      <c r="M652" t="s">
        <v>126</v>
      </c>
      <c r="N652" s="6" t="s">
        <v>1647</v>
      </c>
      <c r="O652" t="str">
        <f t="shared" si="41"/>
        <v>Normal</v>
      </c>
      <c r="P652" t="str">
        <f t="shared" si="42"/>
        <v>Duplicate ID</v>
      </c>
      <c r="Q652" t="str">
        <f t="shared" si="43"/>
        <v>20,000-24,999</v>
      </c>
      <c r="R652" s="6">
        <f>IF(COUNTIF($A$2:A652,A652)=1,1,0)</f>
        <v>0</v>
      </c>
    </row>
    <row r="653" spans="1:18" x14ac:dyDescent="0.25">
      <c r="A653" s="6">
        <v>1055</v>
      </c>
      <c r="B653" s="7">
        <v>44634</v>
      </c>
      <c r="C653" t="s">
        <v>79</v>
      </c>
      <c r="D653" s="6">
        <v>2014</v>
      </c>
      <c r="E653" s="8">
        <v>17122</v>
      </c>
      <c r="F653" s="8">
        <v>22000</v>
      </c>
      <c r="G653" s="8">
        <f t="shared" si="40"/>
        <v>4878</v>
      </c>
      <c r="H653" s="6">
        <v>60000</v>
      </c>
      <c r="I653" t="s">
        <v>34</v>
      </c>
      <c r="J653" t="s">
        <v>72</v>
      </c>
      <c r="K653" t="s">
        <v>96</v>
      </c>
      <c r="L653" t="s">
        <v>100</v>
      </c>
      <c r="M653" t="s">
        <v>126</v>
      </c>
      <c r="N653" s="6">
        <v>1</v>
      </c>
      <c r="O653" t="str">
        <f t="shared" si="41"/>
        <v>Normal</v>
      </c>
      <c r="P653" t="str">
        <f t="shared" si="42"/>
        <v>Duplicate ID</v>
      </c>
      <c r="Q653" t="str">
        <f t="shared" si="43"/>
        <v>15,000-19,999</v>
      </c>
      <c r="R653" s="6">
        <f>IF(COUNTIF($A$2:A653,A653)=1,1,0)</f>
        <v>0</v>
      </c>
    </row>
    <row r="654" spans="1:18" x14ac:dyDescent="0.25">
      <c r="A654" s="6">
        <v>1429</v>
      </c>
      <c r="B654" s="7">
        <v>45121</v>
      </c>
      <c r="C654" t="s">
        <v>40</v>
      </c>
      <c r="D654" s="6">
        <v>2018</v>
      </c>
      <c r="E654" s="8">
        <v>22557</v>
      </c>
      <c r="F654" s="8">
        <v>26000</v>
      </c>
      <c r="G654" s="8">
        <f t="shared" si="40"/>
        <v>3443</v>
      </c>
      <c r="H654" s="6">
        <v>15000</v>
      </c>
      <c r="I654" t="s">
        <v>41</v>
      </c>
      <c r="J654" t="s">
        <v>35</v>
      </c>
      <c r="K654" t="s">
        <v>96</v>
      </c>
      <c r="L654" t="s">
        <v>54</v>
      </c>
      <c r="M654" t="s">
        <v>45</v>
      </c>
      <c r="N654" s="6">
        <v>1</v>
      </c>
      <c r="O654" t="str">
        <f t="shared" si="41"/>
        <v>Normal</v>
      </c>
      <c r="P654" t="str">
        <f t="shared" si="42"/>
        <v>Duplicate ID</v>
      </c>
      <c r="Q654" t="str">
        <f t="shared" si="43"/>
        <v>20,000-24,999</v>
      </c>
      <c r="R654" s="6">
        <f>IF(COUNTIF($A$2:A654,A654)=1,1,0)</f>
        <v>0</v>
      </c>
    </row>
    <row r="655" spans="1:18" x14ac:dyDescent="0.25">
      <c r="A655" s="6">
        <v>1164</v>
      </c>
      <c r="B655" s="7">
        <v>45293</v>
      </c>
      <c r="C655" t="s">
        <v>57</v>
      </c>
      <c r="D655" s="6">
        <v>2019</v>
      </c>
      <c r="E655" s="8">
        <v>21105</v>
      </c>
      <c r="F655" s="8">
        <v>26000</v>
      </c>
      <c r="G655" s="8">
        <f t="shared" si="40"/>
        <v>4895</v>
      </c>
      <c r="H655" s="6">
        <v>60000</v>
      </c>
      <c r="I655" t="s">
        <v>34</v>
      </c>
      <c r="J655" t="s">
        <v>35</v>
      </c>
      <c r="K655" t="s">
        <v>1647</v>
      </c>
      <c r="L655" t="s">
        <v>100</v>
      </c>
      <c r="M655" t="s">
        <v>126</v>
      </c>
      <c r="N655" s="6" t="s">
        <v>1647</v>
      </c>
      <c r="O655" t="str">
        <f t="shared" si="41"/>
        <v>Normal</v>
      </c>
      <c r="P655" t="str">
        <f t="shared" si="42"/>
        <v>Duplicate ID</v>
      </c>
      <c r="Q655" t="str">
        <f t="shared" si="43"/>
        <v>20,000-24,999</v>
      </c>
      <c r="R655" s="6">
        <f>IF(COUNTIF($A$2:A655,A655)=1,1,0)</f>
        <v>0</v>
      </c>
    </row>
    <row r="656" spans="1:18" x14ac:dyDescent="0.25">
      <c r="A656" s="6">
        <v>1151</v>
      </c>
      <c r="B656" s="7">
        <v>45136</v>
      </c>
      <c r="C656" t="s">
        <v>32</v>
      </c>
      <c r="D656" s="6">
        <v>2019</v>
      </c>
      <c r="E656" s="8">
        <v>19768</v>
      </c>
      <c r="F656" s="8">
        <v>22000</v>
      </c>
      <c r="G656" s="8">
        <f t="shared" si="40"/>
        <v>2232</v>
      </c>
      <c r="H656" s="6">
        <v>15000</v>
      </c>
      <c r="I656" t="s">
        <v>34</v>
      </c>
      <c r="J656" t="s">
        <v>72</v>
      </c>
      <c r="K656" t="s">
        <v>1647</v>
      </c>
      <c r="L656" t="s">
        <v>73</v>
      </c>
      <c r="M656" t="s">
        <v>98</v>
      </c>
      <c r="N656" s="6">
        <v>1</v>
      </c>
      <c r="O656" t="str">
        <f t="shared" si="41"/>
        <v>Normal</v>
      </c>
      <c r="P656" t="str">
        <f t="shared" si="42"/>
        <v>Duplicate ID</v>
      </c>
      <c r="Q656" t="str">
        <f t="shared" si="43"/>
        <v>15,000-19,999</v>
      </c>
      <c r="R656" s="6">
        <f>IF(COUNTIF($A$2:A656,A656)=1,1,0)</f>
        <v>1</v>
      </c>
    </row>
    <row r="657" spans="1:18" x14ac:dyDescent="0.25">
      <c r="A657" s="6">
        <v>1430</v>
      </c>
      <c r="B657" s="7">
        <v>44581</v>
      </c>
      <c r="C657" t="s">
        <v>1648</v>
      </c>
      <c r="D657" s="6">
        <v>2018</v>
      </c>
      <c r="E657" s="8">
        <v>6210</v>
      </c>
      <c r="F657" s="8">
        <v>9000</v>
      </c>
      <c r="G657" s="8">
        <f t="shared" si="40"/>
        <v>2790</v>
      </c>
      <c r="H657" s="6">
        <v>15000</v>
      </c>
      <c r="I657" t="s">
        <v>58</v>
      </c>
      <c r="J657" t="s">
        <v>72</v>
      </c>
      <c r="K657" t="s">
        <v>36</v>
      </c>
      <c r="L657" t="s">
        <v>100</v>
      </c>
      <c r="M657" t="s">
        <v>126</v>
      </c>
      <c r="N657" s="6">
        <v>2</v>
      </c>
      <c r="O657" t="str">
        <f t="shared" si="41"/>
        <v>Normal</v>
      </c>
      <c r="P657" t="str">
        <f t="shared" si="42"/>
        <v>Duplicate ID</v>
      </c>
      <c r="Q657" t="str">
        <f t="shared" si="43"/>
        <v>5,000-9,999</v>
      </c>
      <c r="R657" s="6">
        <f>IF(COUNTIF($A$2:A657,A657)=1,1,0)</f>
        <v>1</v>
      </c>
    </row>
    <row r="658" spans="1:18" x14ac:dyDescent="0.25">
      <c r="A658" s="6">
        <v>1511</v>
      </c>
      <c r="B658" s="7">
        <v>44452</v>
      </c>
      <c r="C658" t="s">
        <v>79</v>
      </c>
      <c r="D658" s="6">
        <v>2014</v>
      </c>
      <c r="E658" s="8">
        <v>12887</v>
      </c>
      <c r="F658" s="8">
        <v>18000</v>
      </c>
      <c r="G658" s="8">
        <f t="shared" si="40"/>
        <v>5113</v>
      </c>
      <c r="H658" s="6">
        <v>40000</v>
      </c>
      <c r="I658" t="s">
        <v>69</v>
      </c>
      <c r="J658" t="s">
        <v>1647</v>
      </c>
      <c r="K658" t="s">
        <v>96</v>
      </c>
      <c r="L658" t="s">
        <v>1647</v>
      </c>
      <c r="M658" t="s">
        <v>45</v>
      </c>
      <c r="N658" s="6">
        <v>0</v>
      </c>
      <c r="O658" t="str">
        <f t="shared" si="41"/>
        <v>Normal</v>
      </c>
      <c r="P658" t="str">
        <f t="shared" si="42"/>
        <v>Duplicate ID</v>
      </c>
      <c r="Q658" t="str">
        <f t="shared" si="43"/>
        <v>10,000-14,999</v>
      </c>
      <c r="R658" s="6">
        <f>IF(COUNTIF($A$2:A658,A658)=1,1,0)</f>
        <v>0</v>
      </c>
    </row>
    <row r="659" spans="1:18" x14ac:dyDescent="0.25">
      <c r="A659" s="6">
        <v>1166</v>
      </c>
      <c r="B659" s="7">
        <v>45329</v>
      </c>
      <c r="C659" t="s">
        <v>57</v>
      </c>
      <c r="D659" s="6">
        <v>2021</v>
      </c>
      <c r="E659" s="8">
        <v>23551</v>
      </c>
      <c r="F659" s="8">
        <v>26000</v>
      </c>
      <c r="G659" s="8">
        <f t="shared" si="40"/>
        <v>2449</v>
      </c>
      <c r="H659" s="6">
        <v>40000</v>
      </c>
      <c r="I659" t="s">
        <v>34</v>
      </c>
      <c r="J659" t="s">
        <v>72</v>
      </c>
      <c r="K659" t="s">
        <v>1647</v>
      </c>
      <c r="L659" t="s">
        <v>73</v>
      </c>
      <c r="M659" t="s">
        <v>126</v>
      </c>
      <c r="N659" s="6">
        <v>0</v>
      </c>
      <c r="O659" t="str">
        <f t="shared" si="41"/>
        <v>Normal</v>
      </c>
      <c r="P659" t="str">
        <f t="shared" si="42"/>
        <v>Duplicate ID</v>
      </c>
      <c r="Q659" t="str">
        <f t="shared" si="43"/>
        <v>20,000-24,999</v>
      </c>
      <c r="R659" s="6">
        <f>IF(COUNTIF($A$2:A659,A659)=1,1,0)</f>
        <v>1</v>
      </c>
    </row>
    <row r="660" spans="1:18" x14ac:dyDescent="0.25">
      <c r="A660" s="6">
        <v>1508</v>
      </c>
      <c r="B660" s="7">
        <v>44409</v>
      </c>
      <c r="C660" t="s">
        <v>40</v>
      </c>
      <c r="D660" s="6">
        <v>2018</v>
      </c>
      <c r="E660" s="8">
        <v>2631</v>
      </c>
      <c r="F660" s="8">
        <v>7000</v>
      </c>
      <c r="G660" s="8">
        <f t="shared" si="40"/>
        <v>4369</v>
      </c>
      <c r="H660" s="6">
        <v>80000</v>
      </c>
      <c r="I660" t="s">
        <v>1647</v>
      </c>
      <c r="J660" t="s">
        <v>1647</v>
      </c>
      <c r="K660" t="s">
        <v>1647</v>
      </c>
      <c r="L660" t="s">
        <v>73</v>
      </c>
      <c r="M660" t="s">
        <v>45</v>
      </c>
      <c r="N660" s="6">
        <v>3</v>
      </c>
      <c r="O660" t="str">
        <f t="shared" si="41"/>
        <v>Normal</v>
      </c>
      <c r="P660" t="str">
        <f t="shared" si="42"/>
        <v>Duplicate ID</v>
      </c>
      <c r="Q660" t="str">
        <f t="shared" si="43"/>
        <v>0-4,999</v>
      </c>
      <c r="R660" s="6">
        <f>IF(COUNTIF($A$2:A660,A660)=1,1,0)</f>
        <v>0</v>
      </c>
    </row>
    <row r="661" spans="1:18" x14ac:dyDescent="0.25">
      <c r="A661" s="6">
        <v>1200</v>
      </c>
      <c r="B661" s="7">
        <v>44431</v>
      </c>
      <c r="C661" t="s">
        <v>57</v>
      </c>
      <c r="D661" s="6">
        <v>2017</v>
      </c>
      <c r="E661" s="8">
        <v>26879</v>
      </c>
      <c r="F661" s="8">
        <v>31000</v>
      </c>
      <c r="G661" s="8">
        <f t="shared" si="40"/>
        <v>4121</v>
      </c>
      <c r="H661" s="6">
        <v>80000</v>
      </c>
      <c r="I661" t="s">
        <v>1647</v>
      </c>
      <c r="J661" t="s">
        <v>72</v>
      </c>
      <c r="K661" t="s">
        <v>96</v>
      </c>
      <c r="L661" t="s">
        <v>73</v>
      </c>
      <c r="M661" t="s">
        <v>45</v>
      </c>
      <c r="N661" s="6">
        <v>1</v>
      </c>
      <c r="O661" t="str">
        <f t="shared" si="41"/>
        <v>Normal</v>
      </c>
      <c r="P661" t="str">
        <f t="shared" si="42"/>
        <v>Duplicate ID</v>
      </c>
      <c r="Q661" t="str">
        <f t="shared" si="43"/>
        <v>25,000-30,000</v>
      </c>
      <c r="R661" s="6">
        <f>IF(COUNTIF($A$2:A661,A661)=1,1,0)</f>
        <v>1</v>
      </c>
    </row>
    <row r="662" spans="1:18" x14ac:dyDescent="0.25">
      <c r="A662" s="6">
        <v>1004</v>
      </c>
      <c r="B662" s="7">
        <v>44691</v>
      </c>
      <c r="C662" t="s">
        <v>51</v>
      </c>
      <c r="D662" s="6">
        <v>2018</v>
      </c>
      <c r="E662" s="8">
        <v>13603</v>
      </c>
      <c r="F662" s="8">
        <v>18000</v>
      </c>
      <c r="G662" s="8">
        <f t="shared" si="40"/>
        <v>4397</v>
      </c>
      <c r="H662" s="6">
        <v>40000</v>
      </c>
      <c r="I662" t="s">
        <v>58</v>
      </c>
      <c r="J662" t="s">
        <v>72</v>
      </c>
      <c r="K662" t="s">
        <v>1647</v>
      </c>
      <c r="L662" t="s">
        <v>54</v>
      </c>
      <c r="M662" t="s">
        <v>45</v>
      </c>
      <c r="N662" s="6">
        <v>1</v>
      </c>
      <c r="O662" t="str">
        <f t="shared" si="41"/>
        <v>Normal</v>
      </c>
      <c r="P662" t="str">
        <f t="shared" si="42"/>
        <v>Duplicate ID</v>
      </c>
      <c r="Q662" t="str">
        <f t="shared" si="43"/>
        <v>10,000-14,999</v>
      </c>
      <c r="R662" s="6">
        <f>IF(COUNTIF($A$2:A662,A662)=1,1,0)</f>
        <v>0</v>
      </c>
    </row>
    <row r="663" spans="1:18" x14ac:dyDescent="0.25">
      <c r="A663" s="6">
        <v>1052</v>
      </c>
      <c r="B663" s="7">
        <v>45002</v>
      </c>
      <c r="C663" t="s">
        <v>1648</v>
      </c>
      <c r="D663" s="6">
        <v>2017</v>
      </c>
      <c r="E663" s="8">
        <v>19952</v>
      </c>
      <c r="F663" s="8">
        <v>26000</v>
      </c>
      <c r="G663" s="8">
        <f t="shared" si="40"/>
        <v>6048</v>
      </c>
      <c r="H663" s="6">
        <v>25000</v>
      </c>
      <c r="I663" t="s">
        <v>34</v>
      </c>
      <c r="J663" t="s">
        <v>35</v>
      </c>
      <c r="K663" t="s">
        <v>96</v>
      </c>
      <c r="L663" t="s">
        <v>54</v>
      </c>
      <c r="M663" t="s">
        <v>1647</v>
      </c>
      <c r="N663" s="6">
        <v>1</v>
      </c>
      <c r="O663" t="str">
        <f t="shared" si="41"/>
        <v>Normal</v>
      </c>
      <c r="P663" t="str">
        <f t="shared" si="42"/>
        <v>Duplicate ID</v>
      </c>
      <c r="Q663" t="str">
        <f t="shared" si="43"/>
        <v>15,000-19,999</v>
      </c>
      <c r="R663" s="6">
        <f>IF(COUNTIF($A$2:A663,A663)=1,1,0)</f>
        <v>0</v>
      </c>
    </row>
    <row r="664" spans="1:18" x14ac:dyDescent="0.25">
      <c r="A664" s="6">
        <v>1121</v>
      </c>
      <c r="B664" s="7">
        <v>45229</v>
      </c>
      <c r="C664" t="s">
        <v>1648</v>
      </c>
      <c r="D664" s="6">
        <v>2017</v>
      </c>
      <c r="E664" s="8">
        <v>6966</v>
      </c>
      <c r="F664" s="8">
        <v>9000</v>
      </c>
      <c r="G664" s="8">
        <f t="shared" si="40"/>
        <v>2034</v>
      </c>
      <c r="H664" s="6">
        <v>120000</v>
      </c>
      <c r="I664" t="s">
        <v>69</v>
      </c>
      <c r="J664" t="s">
        <v>1647</v>
      </c>
      <c r="K664" t="s">
        <v>36</v>
      </c>
      <c r="L664" t="s">
        <v>54</v>
      </c>
      <c r="M664" t="s">
        <v>90</v>
      </c>
      <c r="N664" s="6">
        <v>0</v>
      </c>
      <c r="O664" t="str">
        <f t="shared" si="41"/>
        <v>Normal</v>
      </c>
      <c r="P664" t="str">
        <f t="shared" si="42"/>
        <v>Duplicate ID</v>
      </c>
      <c r="Q664" t="str">
        <f t="shared" si="43"/>
        <v>5,000-9,999</v>
      </c>
      <c r="R664" s="6">
        <f>IF(COUNTIF($A$2:A664,A664)=1,1,0)</f>
        <v>0</v>
      </c>
    </row>
    <row r="665" spans="1:18" x14ac:dyDescent="0.25">
      <c r="A665" s="6">
        <v>1028</v>
      </c>
      <c r="B665" s="7">
        <v>44510</v>
      </c>
      <c r="C665" t="s">
        <v>40</v>
      </c>
      <c r="D665" s="6">
        <v>2014</v>
      </c>
      <c r="E665" s="8">
        <v>19849</v>
      </c>
      <c r="F665" s="8">
        <v>26000</v>
      </c>
      <c r="G665" s="8">
        <f t="shared" si="40"/>
        <v>6151</v>
      </c>
      <c r="H665" s="6">
        <v>15000</v>
      </c>
      <c r="I665" t="s">
        <v>34</v>
      </c>
      <c r="J665" t="s">
        <v>35</v>
      </c>
      <c r="K665" t="s">
        <v>36</v>
      </c>
      <c r="L665" t="s">
        <v>48</v>
      </c>
      <c r="M665" t="s">
        <v>45</v>
      </c>
      <c r="N665" s="6">
        <v>1</v>
      </c>
      <c r="O665" t="str">
        <f t="shared" si="41"/>
        <v>Normal</v>
      </c>
      <c r="P665" t="str">
        <f t="shared" si="42"/>
        <v>Duplicate ID</v>
      </c>
      <c r="Q665" t="str">
        <f t="shared" si="43"/>
        <v>15,000-19,999</v>
      </c>
      <c r="R665" s="6">
        <f>IF(COUNTIF($A$2:A665,A665)=1,1,0)</f>
        <v>0</v>
      </c>
    </row>
    <row r="666" spans="1:18" x14ac:dyDescent="0.25">
      <c r="A666" s="6">
        <v>1251</v>
      </c>
      <c r="B666" s="7">
        <v>45293</v>
      </c>
      <c r="C666" t="s">
        <v>119</v>
      </c>
      <c r="D666" s="6">
        <v>2018</v>
      </c>
      <c r="E666" s="8">
        <v>12413</v>
      </c>
      <c r="F666" s="8">
        <v>15000</v>
      </c>
      <c r="G666" s="8">
        <f t="shared" si="40"/>
        <v>2587</v>
      </c>
      <c r="H666" s="6">
        <v>40000</v>
      </c>
      <c r="I666" t="s">
        <v>69</v>
      </c>
      <c r="J666" t="s">
        <v>35</v>
      </c>
      <c r="K666" t="s">
        <v>96</v>
      </c>
      <c r="L666" t="s">
        <v>73</v>
      </c>
      <c r="M666" t="s">
        <v>90</v>
      </c>
      <c r="N666" s="6">
        <v>0</v>
      </c>
      <c r="O666" t="str">
        <f t="shared" si="41"/>
        <v>Normal</v>
      </c>
      <c r="P666" t="str">
        <f t="shared" si="42"/>
        <v>Duplicate ID</v>
      </c>
      <c r="Q666" t="str">
        <f t="shared" si="43"/>
        <v>10,000-14,999</v>
      </c>
      <c r="R666" s="6">
        <f>IF(COUNTIF($A$2:A666,A666)=1,1,0)</f>
        <v>1</v>
      </c>
    </row>
    <row r="667" spans="1:18" x14ac:dyDescent="0.25">
      <c r="A667" s="6">
        <v>1145</v>
      </c>
      <c r="B667" s="7">
        <v>44416</v>
      </c>
      <c r="C667" t="s">
        <v>32</v>
      </c>
      <c r="D667" s="6">
        <v>2015</v>
      </c>
      <c r="E667" s="8">
        <v>28995</v>
      </c>
      <c r="F667" s="8">
        <v>31000</v>
      </c>
      <c r="G667" s="8">
        <f t="shared" si="40"/>
        <v>2005</v>
      </c>
      <c r="H667" s="6">
        <v>80000</v>
      </c>
      <c r="I667" t="s">
        <v>1647</v>
      </c>
      <c r="J667" t="s">
        <v>72</v>
      </c>
      <c r="K667" t="s">
        <v>36</v>
      </c>
      <c r="L667" t="s">
        <v>48</v>
      </c>
      <c r="M667" t="s">
        <v>126</v>
      </c>
      <c r="N667" s="6">
        <v>3</v>
      </c>
      <c r="O667" t="str">
        <f t="shared" si="41"/>
        <v>Normal</v>
      </c>
      <c r="P667" t="str">
        <f t="shared" si="42"/>
        <v>Duplicate ID</v>
      </c>
      <c r="Q667" t="str">
        <f t="shared" si="43"/>
        <v>25,000-30,000</v>
      </c>
      <c r="R667" s="6">
        <f>IF(COUNTIF($A$2:A667,A667)=1,1,0)</f>
        <v>0</v>
      </c>
    </row>
    <row r="668" spans="1:18" x14ac:dyDescent="0.25">
      <c r="A668" s="6">
        <v>1215</v>
      </c>
      <c r="B668" s="7">
        <v>44353</v>
      </c>
      <c r="C668" t="s">
        <v>40</v>
      </c>
      <c r="D668" s="6">
        <v>2020</v>
      </c>
      <c r="E668" s="8">
        <v>2875</v>
      </c>
      <c r="F668" s="8">
        <v>9000</v>
      </c>
      <c r="G668" s="8">
        <f t="shared" si="40"/>
        <v>6125</v>
      </c>
      <c r="H668" s="6">
        <v>60000</v>
      </c>
      <c r="I668" t="s">
        <v>1647</v>
      </c>
      <c r="J668" t="s">
        <v>35</v>
      </c>
      <c r="K668" t="s">
        <v>36</v>
      </c>
      <c r="L668" t="s">
        <v>54</v>
      </c>
      <c r="M668" t="s">
        <v>126</v>
      </c>
      <c r="N668" s="6">
        <v>1</v>
      </c>
      <c r="O668" t="str">
        <f t="shared" si="41"/>
        <v>Normal</v>
      </c>
      <c r="P668" t="str">
        <f t="shared" si="42"/>
        <v>Duplicate ID</v>
      </c>
      <c r="Q668" t="str">
        <f t="shared" si="43"/>
        <v>0-4,999</v>
      </c>
      <c r="R668" s="6">
        <f>IF(COUNTIF($A$2:A668,A668)=1,1,0)</f>
        <v>0</v>
      </c>
    </row>
    <row r="669" spans="1:18" x14ac:dyDescent="0.25">
      <c r="A669" s="6">
        <v>1005</v>
      </c>
      <c r="B669" s="7">
        <v>45316</v>
      </c>
      <c r="C669" t="s">
        <v>40</v>
      </c>
      <c r="D669" s="6">
        <v>2015</v>
      </c>
      <c r="E669" s="8">
        <v>17036</v>
      </c>
      <c r="F669" s="8">
        <v>22000</v>
      </c>
      <c r="G669" s="8">
        <f t="shared" si="40"/>
        <v>4964</v>
      </c>
      <c r="H669" s="6">
        <v>40000</v>
      </c>
      <c r="I669" t="s">
        <v>58</v>
      </c>
      <c r="J669" t="s">
        <v>1647</v>
      </c>
      <c r="K669" t="s">
        <v>36</v>
      </c>
      <c r="L669" t="s">
        <v>1647</v>
      </c>
      <c r="M669" t="s">
        <v>126</v>
      </c>
      <c r="N669" s="6" t="s">
        <v>1647</v>
      </c>
      <c r="O669" t="str">
        <f t="shared" si="41"/>
        <v>Normal</v>
      </c>
      <c r="P669" t="str">
        <f t="shared" si="42"/>
        <v>Duplicate ID</v>
      </c>
      <c r="Q669" t="str">
        <f t="shared" si="43"/>
        <v>15,000-19,999</v>
      </c>
      <c r="R669" s="6">
        <f>IF(COUNTIF($A$2:A669,A669)=1,1,0)</f>
        <v>0</v>
      </c>
    </row>
    <row r="670" spans="1:18" x14ac:dyDescent="0.25">
      <c r="A670" s="6">
        <v>1335</v>
      </c>
      <c r="B670" s="7">
        <v>44257</v>
      </c>
      <c r="C670" t="s">
        <v>32</v>
      </c>
      <c r="D670" s="6">
        <v>2017</v>
      </c>
      <c r="E670" s="8">
        <v>19223</v>
      </c>
      <c r="F670" s="8">
        <v>22000</v>
      </c>
      <c r="G670" s="8">
        <f t="shared" si="40"/>
        <v>2777</v>
      </c>
      <c r="H670" s="6">
        <v>15000</v>
      </c>
      <c r="I670" t="s">
        <v>58</v>
      </c>
      <c r="J670" t="s">
        <v>72</v>
      </c>
      <c r="K670" t="s">
        <v>96</v>
      </c>
      <c r="L670" t="s">
        <v>48</v>
      </c>
      <c r="M670" t="s">
        <v>90</v>
      </c>
      <c r="N670" s="6">
        <v>0</v>
      </c>
      <c r="O670" t="str">
        <f t="shared" si="41"/>
        <v>Normal</v>
      </c>
      <c r="P670" t="str">
        <f t="shared" si="42"/>
        <v>Duplicate ID</v>
      </c>
      <c r="Q670" t="str">
        <f t="shared" si="43"/>
        <v>15,000-19,999</v>
      </c>
      <c r="R670" s="6">
        <f>IF(COUNTIF($A$2:A670,A670)=1,1,0)</f>
        <v>0</v>
      </c>
    </row>
    <row r="671" spans="1:18" x14ac:dyDescent="0.25">
      <c r="A671" s="6">
        <v>1524</v>
      </c>
      <c r="B671" s="7">
        <v>45090</v>
      </c>
      <c r="C671" t="s">
        <v>79</v>
      </c>
      <c r="D671" s="6">
        <v>2022</v>
      </c>
      <c r="E671" s="8">
        <v>12939</v>
      </c>
      <c r="F671" s="8">
        <v>18000</v>
      </c>
      <c r="G671" s="8">
        <f t="shared" si="40"/>
        <v>5061</v>
      </c>
      <c r="H671" s="6">
        <v>60000</v>
      </c>
      <c r="I671" t="s">
        <v>58</v>
      </c>
      <c r="J671" t="s">
        <v>72</v>
      </c>
      <c r="K671" t="s">
        <v>96</v>
      </c>
      <c r="L671" t="s">
        <v>73</v>
      </c>
      <c r="M671" t="s">
        <v>45</v>
      </c>
      <c r="N671" s="6">
        <v>1</v>
      </c>
      <c r="O671" t="str">
        <f t="shared" si="41"/>
        <v>Normal</v>
      </c>
      <c r="P671" t="str">
        <f t="shared" si="42"/>
        <v>Duplicate ID</v>
      </c>
      <c r="Q671" t="str">
        <f t="shared" si="43"/>
        <v>10,000-14,999</v>
      </c>
      <c r="R671" s="6">
        <f>IF(COUNTIF($A$2:A671,A671)=1,1,0)</f>
        <v>1</v>
      </c>
    </row>
    <row r="672" spans="1:18" x14ac:dyDescent="0.25">
      <c r="A672" s="6">
        <v>1326</v>
      </c>
      <c r="B672" s="7">
        <v>44753</v>
      </c>
      <c r="C672" t="s">
        <v>57</v>
      </c>
      <c r="D672" s="6">
        <v>2021</v>
      </c>
      <c r="E672" s="8">
        <v>21529</v>
      </c>
      <c r="F672" s="8">
        <v>26000</v>
      </c>
      <c r="G672" s="8">
        <f t="shared" si="40"/>
        <v>4471</v>
      </c>
      <c r="H672" s="6">
        <v>60000</v>
      </c>
      <c r="I672" t="s">
        <v>69</v>
      </c>
      <c r="J672" t="s">
        <v>72</v>
      </c>
      <c r="K672" t="s">
        <v>36</v>
      </c>
      <c r="L672" t="s">
        <v>48</v>
      </c>
      <c r="M672" t="s">
        <v>90</v>
      </c>
      <c r="N672" s="6">
        <v>0</v>
      </c>
      <c r="O672" t="str">
        <f t="shared" si="41"/>
        <v>Normal</v>
      </c>
      <c r="P672" t="str">
        <f t="shared" si="42"/>
        <v>Duplicate ID</v>
      </c>
      <c r="Q672" t="str">
        <f t="shared" si="43"/>
        <v>20,000-24,999</v>
      </c>
      <c r="R672" s="6">
        <f>IF(COUNTIF($A$2:A672,A672)=1,1,0)</f>
        <v>0</v>
      </c>
    </row>
    <row r="673" spans="1:18" x14ac:dyDescent="0.25">
      <c r="A673" s="6">
        <v>1360</v>
      </c>
      <c r="B673" s="7">
        <v>45283</v>
      </c>
      <c r="C673" t="s">
        <v>119</v>
      </c>
      <c r="D673" s="6"/>
      <c r="E673" s="8">
        <v>20053</v>
      </c>
      <c r="F673" s="8">
        <v>26000</v>
      </c>
      <c r="G673" s="8">
        <f t="shared" si="40"/>
        <v>5947</v>
      </c>
      <c r="H673" s="6">
        <v>40000</v>
      </c>
      <c r="I673" t="s">
        <v>34</v>
      </c>
      <c r="J673" t="s">
        <v>35</v>
      </c>
      <c r="K673" t="s">
        <v>96</v>
      </c>
      <c r="L673" t="s">
        <v>100</v>
      </c>
      <c r="M673" t="s">
        <v>126</v>
      </c>
      <c r="N673" s="6">
        <v>1</v>
      </c>
      <c r="O673" t="str">
        <f t="shared" si="41"/>
        <v>Normal</v>
      </c>
      <c r="P673" t="str">
        <f t="shared" si="42"/>
        <v>Duplicate ID</v>
      </c>
      <c r="Q673" t="str">
        <f t="shared" si="43"/>
        <v>20,000-24,999</v>
      </c>
      <c r="R673" s="6">
        <f>IF(COUNTIF($A$2:A673,A673)=1,1,0)</f>
        <v>0</v>
      </c>
    </row>
    <row r="674" spans="1:18" x14ac:dyDescent="0.25">
      <c r="A674" s="6">
        <v>1326</v>
      </c>
      <c r="B674" s="7">
        <v>44216</v>
      </c>
      <c r="C674" t="s">
        <v>79</v>
      </c>
      <c r="D674" s="6">
        <v>2019</v>
      </c>
      <c r="E674" s="8">
        <v>9999</v>
      </c>
      <c r="F674" s="8">
        <v>12000</v>
      </c>
      <c r="G674" s="8">
        <f t="shared" si="40"/>
        <v>2001</v>
      </c>
      <c r="H674" s="6">
        <v>40000</v>
      </c>
      <c r="I674" t="s">
        <v>69</v>
      </c>
      <c r="J674" t="s">
        <v>35</v>
      </c>
      <c r="K674" t="s">
        <v>1647</v>
      </c>
      <c r="L674" t="s">
        <v>73</v>
      </c>
      <c r="M674" t="s">
        <v>98</v>
      </c>
      <c r="N674" s="6">
        <v>2</v>
      </c>
      <c r="O674" t="str">
        <f t="shared" si="41"/>
        <v>Normal</v>
      </c>
      <c r="P674" t="str">
        <f t="shared" si="42"/>
        <v>Duplicate ID</v>
      </c>
      <c r="Q674" t="str">
        <f t="shared" si="43"/>
        <v>5,000-9,999</v>
      </c>
      <c r="R674" s="6">
        <f>IF(COUNTIF($A$2:A674,A674)=1,1,0)</f>
        <v>0</v>
      </c>
    </row>
    <row r="675" spans="1:18" x14ac:dyDescent="0.25">
      <c r="A675" s="6">
        <v>1076</v>
      </c>
      <c r="B675" s="7">
        <v>44766</v>
      </c>
      <c r="C675" t="s">
        <v>57</v>
      </c>
      <c r="D675" s="6">
        <v>2022</v>
      </c>
      <c r="E675" s="8">
        <v>9405</v>
      </c>
      <c r="F675" s="8">
        <v>15000</v>
      </c>
      <c r="G675" s="8">
        <f t="shared" si="40"/>
        <v>5595</v>
      </c>
      <c r="H675" s="6">
        <v>15000</v>
      </c>
      <c r="I675" t="s">
        <v>34</v>
      </c>
      <c r="J675" t="s">
        <v>72</v>
      </c>
      <c r="K675" t="s">
        <v>96</v>
      </c>
      <c r="L675" t="s">
        <v>100</v>
      </c>
      <c r="M675" t="s">
        <v>90</v>
      </c>
      <c r="N675" s="6">
        <v>0</v>
      </c>
      <c r="O675" t="str">
        <f t="shared" si="41"/>
        <v>Normal</v>
      </c>
      <c r="P675" t="str">
        <f t="shared" si="42"/>
        <v>Duplicate ID</v>
      </c>
      <c r="Q675" t="str">
        <f t="shared" si="43"/>
        <v>5,000-9,999</v>
      </c>
      <c r="R675" s="6">
        <f>IF(COUNTIF($A$2:A675,A675)=1,1,0)</f>
        <v>0</v>
      </c>
    </row>
    <row r="676" spans="1:18" x14ac:dyDescent="0.25">
      <c r="A676" s="6">
        <v>1127</v>
      </c>
      <c r="B676" s="7">
        <v>44441</v>
      </c>
      <c r="C676" t="s">
        <v>1648</v>
      </c>
      <c r="D676" s="6">
        <v>2021</v>
      </c>
      <c r="E676" s="8">
        <v>2550</v>
      </c>
      <c r="F676" s="8">
        <v>7000</v>
      </c>
      <c r="G676" s="8">
        <f t="shared" si="40"/>
        <v>4450</v>
      </c>
      <c r="H676" s="6">
        <v>40000</v>
      </c>
      <c r="I676" t="s">
        <v>58</v>
      </c>
      <c r="J676" t="s">
        <v>1647</v>
      </c>
      <c r="K676" t="s">
        <v>36</v>
      </c>
      <c r="L676" t="s">
        <v>54</v>
      </c>
      <c r="M676" t="s">
        <v>126</v>
      </c>
      <c r="N676" s="6" t="s">
        <v>1647</v>
      </c>
      <c r="O676" t="str">
        <f t="shared" si="41"/>
        <v>Normal</v>
      </c>
      <c r="P676" t="str">
        <f t="shared" si="42"/>
        <v>Duplicate ID</v>
      </c>
      <c r="Q676" t="str">
        <f t="shared" si="43"/>
        <v>0-4,999</v>
      </c>
      <c r="R676" s="6">
        <f>IF(COUNTIF($A$2:A676,A676)=1,1,0)</f>
        <v>1</v>
      </c>
    </row>
    <row r="677" spans="1:18" x14ac:dyDescent="0.25">
      <c r="A677" s="6">
        <v>1546</v>
      </c>
      <c r="B677" s="7">
        <v>44272</v>
      </c>
      <c r="C677" t="s">
        <v>40</v>
      </c>
      <c r="D677" s="6">
        <v>2021</v>
      </c>
      <c r="E677" s="8">
        <v>13701</v>
      </c>
      <c r="F677" s="8">
        <v>18000</v>
      </c>
      <c r="G677" s="8">
        <f t="shared" si="40"/>
        <v>4299</v>
      </c>
      <c r="H677" s="6">
        <v>25000</v>
      </c>
      <c r="I677" t="s">
        <v>41</v>
      </c>
      <c r="J677" t="s">
        <v>72</v>
      </c>
      <c r="K677" t="s">
        <v>36</v>
      </c>
      <c r="L677" t="s">
        <v>48</v>
      </c>
      <c r="M677" t="s">
        <v>45</v>
      </c>
      <c r="N677" s="6">
        <v>2</v>
      </c>
      <c r="O677" t="str">
        <f t="shared" si="41"/>
        <v>Normal</v>
      </c>
      <c r="P677" t="str">
        <f t="shared" si="42"/>
        <v>Duplicate ID</v>
      </c>
      <c r="Q677" t="str">
        <f t="shared" si="43"/>
        <v>10,000-14,999</v>
      </c>
      <c r="R677" s="6">
        <f>IF(COUNTIF($A$2:A677,A677)=1,1,0)</f>
        <v>0</v>
      </c>
    </row>
    <row r="678" spans="1:18" x14ac:dyDescent="0.25">
      <c r="A678" s="6">
        <v>1505</v>
      </c>
      <c r="B678" s="7">
        <v>44838</v>
      </c>
      <c r="C678" t="s">
        <v>51</v>
      </c>
      <c r="D678" s="6">
        <v>2019</v>
      </c>
      <c r="E678" s="8">
        <v>20442</v>
      </c>
      <c r="F678" s="8">
        <v>26000</v>
      </c>
      <c r="G678" s="8">
        <f t="shared" si="40"/>
        <v>5558</v>
      </c>
      <c r="H678" s="6">
        <v>15000</v>
      </c>
      <c r="I678" t="s">
        <v>1647</v>
      </c>
      <c r="J678" t="s">
        <v>72</v>
      </c>
      <c r="K678" t="s">
        <v>36</v>
      </c>
      <c r="L678" t="s">
        <v>54</v>
      </c>
      <c r="M678" t="s">
        <v>126</v>
      </c>
      <c r="N678" s="6">
        <v>0</v>
      </c>
      <c r="O678" t="str">
        <f t="shared" si="41"/>
        <v>Normal</v>
      </c>
      <c r="P678" t="str">
        <f t="shared" si="42"/>
        <v>Duplicate ID</v>
      </c>
      <c r="Q678" t="str">
        <f t="shared" si="43"/>
        <v>20,000-24,999</v>
      </c>
      <c r="R678" s="6">
        <f>IF(COUNTIF($A$2:A678,A678)=1,1,0)</f>
        <v>0</v>
      </c>
    </row>
    <row r="679" spans="1:18" x14ac:dyDescent="0.25">
      <c r="A679" s="6">
        <v>1446</v>
      </c>
      <c r="B679" s="7">
        <v>44858</v>
      </c>
      <c r="C679" t="s">
        <v>119</v>
      </c>
      <c r="D679" s="6">
        <v>2014</v>
      </c>
      <c r="E679" s="8">
        <v>5139</v>
      </c>
      <c r="F679" s="8">
        <v>7000</v>
      </c>
      <c r="G679" s="8">
        <f t="shared" si="40"/>
        <v>1861</v>
      </c>
      <c r="H679" s="6">
        <v>25000</v>
      </c>
      <c r="I679" t="s">
        <v>69</v>
      </c>
      <c r="J679" t="s">
        <v>1647</v>
      </c>
      <c r="K679" t="s">
        <v>36</v>
      </c>
      <c r="L679" t="s">
        <v>73</v>
      </c>
      <c r="M679" t="s">
        <v>45</v>
      </c>
      <c r="N679" s="6">
        <v>0</v>
      </c>
      <c r="O679" t="str">
        <f t="shared" si="41"/>
        <v>Normal</v>
      </c>
      <c r="P679" t="str">
        <f t="shared" si="42"/>
        <v>Duplicate ID</v>
      </c>
      <c r="Q679" t="str">
        <f t="shared" si="43"/>
        <v>5,000-9,999</v>
      </c>
      <c r="R679" s="6">
        <f>IF(COUNTIF($A$2:A679,A679)=1,1,0)</f>
        <v>0</v>
      </c>
    </row>
    <row r="680" spans="1:18" x14ac:dyDescent="0.25">
      <c r="A680" s="6">
        <v>1388</v>
      </c>
      <c r="B680" s="7">
        <v>44871</v>
      </c>
      <c r="C680" t="s">
        <v>32</v>
      </c>
      <c r="D680" s="6">
        <v>2014</v>
      </c>
      <c r="E680" s="8">
        <v>14840</v>
      </c>
      <c r="F680" s="8">
        <v>18000</v>
      </c>
      <c r="G680" s="8">
        <f t="shared" si="40"/>
        <v>3160</v>
      </c>
      <c r="H680" s="6">
        <v>15000</v>
      </c>
      <c r="I680" t="s">
        <v>1647</v>
      </c>
      <c r="J680" t="s">
        <v>35</v>
      </c>
      <c r="K680" t="s">
        <v>36</v>
      </c>
      <c r="L680" t="s">
        <v>54</v>
      </c>
      <c r="M680" t="s">
        <v>90</v>
      </c>
      <c r="N680" s="6" t="s">
        <v>1647</v>
      </c>
      <c r="O680" t="str">
        <f t="shared" si="41"/>
        <v>Normal</v>
      </c>
      <c r="P680" t="str">
        <f t="shared" si="42"/>
        <v>Duplicate ID</v>
      </c>
      <c r="Q680" t="str">
        <f t="shared" si="43"/>
        <v>10,000-14,999</v>
      </c>
      <c r="R680" s="6">
        <f>IF(COUNTIF($A$2:A680,A680)=1,1,0)</f>
        <v>1</v>
      </c>
    </row>
    <row r="681" spans="1:18" x14ac:dyDescent="0.25">
      <c r="A681" s="6">
        <v>1540</v>
      </c>
      <c r="B681" s="7">
        <v>45265</v>
      </c>
      <c r="C681" t="s">
        <v>1648</v>
      </c>
      <c r="D681" s="6">
        <v>2018</v>
      </c>
      <c r="E681" s="8">
        <v>28998</v>
      </c>
      <c r="F681" s="8">
        <v>31000</v>
      </c>
      <c r="G681" s="8">
        <f t="shared" si="40"/>
        <v>2002</v>
      </c>
      <c r="H681" s="6">
        <v>120000</v>
      </c>
      <c r="I681" t="s">
        <v>69</v>
      </c>
      <c r="J681" t="s">
        <v>72</v>
      </c>
      <c r="K681" t="s">
        <v>96</v>
      </c>
      <c r="L681" t="s">
        <v>100</v>
      </c>
      <c r="M681" t="s">
        <v>126</v>
      </c>
      <c r="N681" s="6">
        <v>2</v>
      </c>
      <c r="O681" t="str">
        <f t="shared" si="41"/>
        <v>Normal</v>
      </c>
      <c r="P681" t="str">
        <f t="shared" si="42"/>
        <v>Duplicate ID</v>
      </c>
      <c r="Q681" t="str">
        <f t="shared" si="43"/>
        <v>25,000-30,000</v>
      </c>
      <c r="R681" s="6">
        <f>IF(COUNTIF($A$2:A681,A681)=1,1,0)</f>
        <v>1</v>
      </c>
    </row>
    <row r="682" spans="1:18" x14ac:dyDescent="0.25">
      <c r="A682" s="6">
        <v>1079</v>
      </c>
      <c r="B682" s="7">
        <v>44618</v>
      </c>
      <c r="C682" t="s">
        <v>51</v>
      </c>
      <c r="D682" s="6">
        <v>2015</v>
      </c>
      <c r="E682" s="8">
        <v>19015</v>
      </c>
      <c r="F682" s="8">
        <v>22000</v>
      </c>
      <c r="G682" s="8">
        <f t="shared" si="40"/>
        <v>2985</v>
      </c>
      <c r="H682" s="6">
        <v>80000</v>
      </c>
      <c r="I682" t="s">
        <v>58</v>
      </c>
      <c r="J682" t="s">
        <v>72</v>
      </c>
      <c r="K682" t="s">
        <v>96</v>
      </c>
      <c r="L682" t="s">
        <v>100</v>
      </c>
      <c r="M682" t="s">
        <v>98</v>
      </c>
      <c r="N682" s="6">
        <v>0</v>
      </c>
      <c r="O682" t="str">
        <f t="shared" si="41"/>
        <v>Normal</v>
      </c>
      <c r="P682" t="str">
        <f t="shared" si="42"/>
        <v>Duplicate ID</v>
      </c>
      <c r="Q682" t="str">
        <f t="shared" si="43"/>
        <v>15,000-19,999</v>
      </c>
      <c r="R682" s="6">
        <f>IF(COUNTIF($A$2:A682,A682)=1,1,0)</f>
        <v>0</v>
      </c>
    </row>
    <row r="683" spans="1:18" x14ac:dyDescent="0.25">
      <c r="A683" s="6">
        <v>1157</v>
      </c>
      <c r="B683" s="7">
        <v>45126</v>
      </c>
      <c r="C683" t="s">
        <v>51</v>
      </c>
      <c r="D683" s="6">
        <v>2017</v>
      </c>
      <c r="E683" s="8">
        <v>15196</v>
      </c>
      <c r="F683" s="8">
        <v>22000</v>
      </c>
      <c r="G683" s="8">
        <f t="shared" si="40"/>
        <v>6804</v>
      </c>
      <c r="H683" s="6">
        <v>40000</v>
      </c>
      <c r="I683" t="s">
        <v>69</v>
      </c>
      <c r="J683" t="s">
        <v>72</v>
      </c>
      <c r="K683" t="s">
        <v>96</v>
      </c>
      <c r="L683" t="s">
        <v>1647</v>
      </c>
      <c r="M683" t="s">
        <v>90</v>
      </c>
      <c r="N683" s="6">
        <v>3</v>
      </c>
      <c r="O683" t="str">
        <f t="shared" si="41"/>
        <v>Normal</v>
      </c>
      <c r="P683" t="str">
        <f t="shared" si="42"/>
        <v>Duplicate ID</v>
      </c>
      <c r="Q683" t="str">
        <f t="shared" si="43"/>
        <v>15,000-19,999</v>
      </c>
      <c r="R683" s="6">
        <f>IF(COUNTIF($A$2:A683,A683)=1,1,0)</f>
        <v>0</v>
      </c>
    </row>
    <row r="684" spans="1:18" x14ac:dyDescent="0.25">
      <c r="A684" s="6">
        <v>1591</v>
      </c>
      <c r="B684" s="7">
        <v>44826</v>
      </c>
      <c r="C684" t="s">
        <v>57</v>
      </c>
      <c r="D684" s="6">
        <v>2015</v>
      </c>
      <c r="E684" s="8">
        <v>15655</v>
      </c>
      <c r="F684" s="8">
        <v>18000</v>
      </c>
      <c r="G684" s="8">
        <f t="shared" si="40"/>
        <v>2345</v>
      </c>
      <c r="H684" s="6">
        <v>60000</v>
      </c>
      <c r="I684" t="s">
        <v>41</v>
      </c>
      <c r="J684" t="s">
        <v>35</v>
      </c>
      <c r="K684" t="s">
        <v>36</v>
      </c>
      <c r="L684" t="s">
        <v>48</v>
      </c>
      <c r="M684" t="s">
        <v>90</v>
      </c>
      <c r="N684" s="6">
        <v>2</v>
      </c>
      <c r="O684" t="str">
        <f t="shared" si="41"/>
        <v>Normal</v>
      </c>
      <c r="P684" t="str">
        <f t="shared" si="42"/>
        <v>Duplicate ID</v>
      </c>
      <c r="Q684" t="str">
        <f t="shared" si="43"/>
        <v>15,000-19,999</v>
      </c>
      <c r="R684" s="6">
        <f>IF(COUNTIF($A$2:A684,A684)=1,1,0)</f>
        <v>1</v>
      </c>
    </row>
    <row r="685" spans="1:18" x14ac:dyDescent="0.25">
      <c r="A685" s="6">
        <v>1563</v>
      </c>
      <c r="B685" s="7">
        <v>44439</v>
      </c>
      <c r="C685" t="s">
        <v>40</v>
      </c>
      <c r="D685" s="6">
        <v>2021</v>
      </c>
      <c r="E685" s="8">
        <v>27825</v>
      </c>
      <c r="F685" s="8">
        <v>31000</v>
      </c>
      <c r="G685" s="8">
        <f t="shared" si="40"/>
        <v>3175</v>
      </c>
      <c r="H685" s="6">
        <v>40000</v>
      </c>
      <c r="I685" t="s">
        <v>34</v>
      </c>
      <c r="J685" t="s">
        <v>1647</v>
      </c>
      <c r="K685" t="s">
        <v>96</v>
      </c>
      <c r="L685" t="s">
        <v>73</v>
      </c>
      <c r="M685" t="s">
        <v>98</v>
      </c>
      <c r="N685" s="6">
        <v>2</v>
      </c>
      <c r="O685" t="str">
        <f t="shared" si="41"/>
        <v>Normal</v>
      </c>
      <c r="P685" t="str">
        <f t="shared" si="42"/>
        <v>Duplicate ID</v>
      </c>
      <c r="Q685" t="str">
        <f t="shared" si="43"/>
        <v>25,000-30,000</v>
      </c>
      <c r="R685" s="6">
        <f>IF(COUNTIF($A$2:A685,A685)=1,1,0)</f>
        <v>0</v>
      </c>
    </row>
    <row r="686" spans="1:18" x14ac:dyDescent="0.25">
      <c r="A686" s="6">
        <v>1198</v>
      </c>
      <c r="B686" s="7">
        <v>45062</v>
      </c>
      <c r="C686" t="s">
        <v>79</v>
      </c>
      <c r="D686" s="6">
        <v>2015</v>
      </c>
      <c r="E686" s="8">
        <v>2867</v>
      </c>
      <c r="F686" s="8">
        <v>7000</v>
      </c>
      <c r="G686" s="8">
        <f t="shared" si="40"/>
        <v>4133</v>
      </c>
      <c r="H686" s="6">
        <v>120000</v>
      </c>
      <c r="I686" t="s">
        <v>1647</v>
      </c>
      <c r="J686" t="s">
        <v>1647</v>
      </c>
      <c r="K686" t="s">
        <v>96</v>
      </c>
      <c r="L686" t="s">
        <v>73</v>
      </c>
      <c r="M686" t="s">
        <v>126</v>
      </c>
      <c r="N686" s="6">
        <v>1</v>
      </c>
      <c r="O686" t="str">
        <f t="shared" si="41"/>
        <v>Normal</v>
      </c>
      <c r="P686" t="str">
        <f t="shared" si="42"/>
        <v>Duplicate ID</v>
      </c>
      <c r="Q686" t="str">
        <f t="shared" si="43"/>
        <v>0-4,999</v>
      </c>
      <c r="R686" s="6">
        <f>IF(COUNTIF($A$2:A686,A686)=1,1,0)</f>
        <v>1</v>
      </c>
    </row>
    <row r="687" spans="1:18" x14ac:dyDescent="0.25">
      <c r="A687" s="6">
        <v>1272</v>
      </c>
      <c r="B687" s="7">
        <v>45375</v>
      </c>
      <c r="C687" t="s">
        <v>32</v>
      </c>
      <c r="D687" s="6">
        <v>2017</v>
      </c>
      <c r="E687" s="8">
        <v>7708</v>
      </c>
      <c r="F687" s="8">
        <v>9000</v>
      </c>
      <c r="G687" s="8">
        <f t="shared" si="40"/>
        <v>1292</v>
      </c>
      <c r="H687" s="6">
        <v>15000</v>
      </c>
      <c r="I687" t="s">
        <v>34</v>
      </c>
      <c r="J687" t="s">
        <v>72</v>
      </c>
      <c r="K687" t="s">
        <v>96</v>
      </c>
      <c r="L687" t="s">
        <v>73</v>
      </c>
      <c r="M687" t="s">
        <v>90</v>
      </c>
      <c r="N687" s="6">
        <v>2</v>
      </c>
      <c r="O687" t="str">
        <f t="shared" si="41"/>
        <v>Normal</v>
      </c>
      <c r="P687" t="str">
        <f t="shared" si="42"/>
        <v>Duplicate ID</v>
      </c>
      <c r="Q687" t="str">
        <f t="shared" si="43"/>
        <v>5,000-9,999</v>
      </c>
      <c r="R687" s="6">
        <f>IF(COUNTIF($A$2:A687,A687)=1,1,0)</f>
        <v>1</v>
      </c>
    </row>
    <row r="688" spans="1:18" x14ac:dyDescent="0.25">
      <c r="A688" s="6">
        <v>1294</v>
      </c>
      <c r="B688" s="7">
        <v>44786</v>
      </c>
      <c r="C688" t="s">
        <v>1648</v>
      </c>
      <c r="D688" s="6">
        <v>2017</v>
      </c>
      <c r="E688" s="8">
        <v>8153</v>
      </c>
      <c r="F688" s="8">
        <v>12000</v>
      </c>
      <c r="G688" s="8">
        <f t="shared" si="40"/>
        <v>3847</v>
      </c>
      <c r="H688" s="6">
        <v>25000</v>
      </c>
      <c r="I688" t="s">
        <v>1647</v>
      </c>
      <c r="J688" t="s">
        <v>72</v>
      </c>
      <c r="K688" t="s">
        <v>36</v>
      </c>
      <c r="L688" t="s">
        <v>100</v>
      </c>
      <c r="M688" t="s">
        <v>45</v>
      </c>
      <c r="N688" s="6">
        <v>0</v>
      </c>
      <c r="O688" t="str">
        <f t="shared" si="41"/>
        <v>Normal</v>
      </c>
      <c r="P688" t="str">
        <f t="shared" si="42"/>
        <v>Duplicate ID</v>
      </c>
      <c r="Q688" t="str">
        <f t="shared" si="43"/>
        <v>5,000-9,999</v>
      </c>
      <c r="R688" s="6">
        <f>IF(COUNTIF($A$2:A688,A688)=1,1,0)</f>
        <v>0</v>
      </c>
    </row>
    <row r="689" spans="1:18" x14ac:dyDescent="0.25">
      <c r="A689" s="6">
        <v>1485</v>
      </c>
      <c r="B689" s="7">
        <v>44223</v>
      </c>
      <c r="C689" t="s">
        <v>57</v>
      </c>
      <c r="D689" s="6">
        <v>2016</v>
      </c>
      <c r="E689" s="8">
        <v>19839</v>
      </c>
      <c r="F689" s="8">
        <v>22000</v>
      </c>
      <c r="G689" s="8">
        <f t="shared" si="40"/>
        <v>2161</v>
      </c>
      <c r="H689" s="6">
        <v>60000</v>
      </c>
      <c r="I689" t="s">
        <v>41</v>
      </c>
      <c r="J689" t="s">
        <v>35</v>
      </c>
      <c r="K689" t="s">
        <v>36</v>
      </c>
      <c r="L689" t="s">
        <v>54</v>
      </c>
      <c r="M689" t="s">
        <v>98</v>
      </c>
      <c r="N689" s="6" t="s">
        <v>1647</v>
      </c>
      <c r="O689" t="str">
        <f t="shared" si="41"/>
        <v>Normal</v>
      </c>
      <c r="P689" t="str">
        <f t="shared" si="42"/>
        <v>Duplicate ID</v>
      </c>
      <c r="Q689" t="str">
        <f t="shared" si="43"/>
        <v>15,000-19,999</v>
      </c>
      <c r="R689" s="6">
        <f>IF(COUNTIF($A$2:A689,A689)=1,1,0)</f>
        <v>0</v>
      </c>
    </row>
    <row r="690" spans="1:18" x14ac:dyDescent="0.25">
      <c r="A690" s="6">
        <v>1017</v>
      </c>
      <c r="B690" s="7">
        <v>44289</v>
      </c>
      <c r="C690" t="s">
        <v>40</v>
      </c>
      <c r="D690" s="6">
        <v>2021</v>
      </c>
      <c r="E690" s="8">
        <v>13104</v>
      </c>
      <c r="F690" s="8">
        <v>15000</v>
      </c>
      <c r="G690" s="8">
        <f t="shared" si="40"/>
        <v>1896</v>
      </c>
      <c r="H690" s="6">
        <v>60000</v>
      </c>
      <c r="I690" t="s">
        <v>58</v>
      </c>
      <c r="J690" t="s">
        <v>35</v>
      </c>
      <c r="K690" t="s">
        <v>36</v>
      </c>
      <c r="L690" t="s">
        <v>73</v>
      </c>
      <c r="M690" t="s">
        <v>45</v>
      </c>
      <c r="N690" s="6">
        <v>2</v>
      </c>
      <c r="O690" t="str">
        <f t="shared" si="41"/>
        <v>Normal</v>
      </c>
      <c r="P690" t="str">
        <f t="shared" si="42"/>
        <v>Duplicate ID</v>
      </c>
      <c r="Q690" t="str">
        <f t="shared" si="43"/>
        <v>10,000-14,999</v>
      </c>
      <c r="R690" s="6">
        <f>IF(COUNTIF($A$2:A690,A690)=1,1,0)</f>
        <v>1</v>
      </c>
    </row>
    <row r="691" spans="1:18" x14ac:dyDescent="0.25">
      <c r="A691" s="6">
        <v>1259</v>
      </c>
      <c r="B691" s="7">
        <v>45193</v>
      </c>
      <c r="C691" t="s">
        <v>1648</v>
      </c>
      <c r="D691" s="6">
        <v>2021</v>
      </c>
      <c r="E691" s="8">
        <v>18892</v>
      </c>
      <c r="F691" s="8">
        <v>22000</v>
      </c>
      <c r="G691" s="8">
        <f t="shared" si="40"/>
        <v>3108</v>
      </c>
      <c r="H691" s="6">
        <v>80000</v>
      </c>
      <c r="I691" t="s">
        <v>69</v>
      </c>
      <c r="J691" t="s">
        <v>1647</v>
      </c>
      <c r="K691" t="s">
        <v>1647</v>
      </c>
      <c r="L691" t="s">
        <v>48</v>
      </c>
      <c r="M691" t="s">
        <v>126</v>
      </c>
      <c r="N691" s="6">
        <v>2</v>
      </c>
      <c r="O691" t="str">
        <f t="shared" si="41"/>
        <v>Normal</v>
      </c>
      <c r="P691" t="str">
        <f t="shared" si="42"/>
        <v>Duplicate ID</v>
      </c>
      <c r="Q691" t="str">
        <f t="shared" si="43"/>
        <v>15,000-19,999</v>
      </c>
      <c r="R691" s="6">
        <f>IF(COUNTIF($A$2:A691,A691)=1,1,0)</f>
        <v>1</v>
      </c>
    </row>
    <row r="692" spans="1:18" x14ac:dyDescent="0.25">
      <c r="A692" s="6">
        <v>1365</v>
      </c>
      <c r="B692" s="7">
        <v>44487</v>
      </c>
      <c r="C692" t="s">
        <v>40</v>
      </c>
      <c r="D692" s="6">
        <v>2016</v>
      </c>
      <c r="E692" s="8">
        <v>19599</v>
      </c>
      <c r="F692" s="8">
        <v>26000</v>
      </c>
      <c r="G692" s="8">
        <f t="shared" si="40"/>
        <v>6401</v>
      </c>
      <c r="H692" s="6">
        <v>25000</v>
      </c>
      <c r="I692" t="s">
        <v>34</v>
      </c>
      <c r="J692" t="s">
        <v>72</v>
      </c>
      <c r="K692" t="s">
        <v>36</v>
      </c>
      <c r="L692" t="s">
        <v>73</v>
      </c>
      <c r="M692" t="s">
        <v>90</v>
      </c>
      <c r="N692" s="6">
        <v>3</v>
      </c>
      <c r="O692" t="str">
        <f t="shared" si="41"/>
        <v>Normal</v>
      </c>
      <c r="P692" t="str">
        <f t="shared" si="42"/>
        <v>Duplicate ID</v>
      </c>
      <c r="Q692" t="str">
        <f t="shared" si="43"/>
        <v>15,000-19,999</v>
      </c>
      <c r="R692" s="6">
        <f>IF(COUNTIF($A$2:A692,A692)=1,1,0)</f>
        <v>1</v>
      </c>
    </row>
    <row r="693" spans="1:18" x14ac:dyDescent="0.25">
      <c r="A693" s="6">
        <v>1357</v>
      </c>
      <c r="B693" s="7">
        <v>44740</v>
      </c>
      <c r="C693" t="s">
        <v>32</v>
      </c>
      <c r="D693" s="6">
        <v>2018</v>
      </c>
      <c r="E693" s="8">
        <v>28567</v>
      </c>
      <c r="F693" s="8">
        <v>31000</v>
      </c>
      <c r="G693" s="8">
        <f t="shared" si="40"/>
        <v>2433</v>
      </c>
      <c r="H693" s="6">
        <v>80000</v>
      </c>
      <c r="I693" t="s">
        <v>69</v>
      </c>
      <c r="J693" t="s">
        <v>72</v>
      </c>
      <c r="K693" t="s">
        <v>36</v>
      </c>
      <c r="L693" t="s">
        <v>73</v>
      </c>
      <c r="M693" t="s">
        <v>1647</v>
      </c>
      <c r="N693" s="6">
        <v>2</v>
      </c>
      <c r="O693" t="str">
        <f t="shared" si="41"/>
        <v>Normal</v>
      </c>
      <c r="P693" t="str">
        <f t="shared" si="42"/>
        <v>Duplicate ID</v>
      </c>
      <c r="Q693" t="str">
        <f t="shared" si="43"/>
        <v>25,000-30,000</v>
      </c>
      <c r="R693" s="6">
        <f>IF(COUNTIF($A$2:A693,A693)=1,1,0)</f>
        <v>0</v>
      </c>
    </row>
    <row r="694" spans="1:18" x14ac:dyDescent="0.25">
      <c r="A694" s="6">
        <v>1112</v>
      </c>
      <c r="B694" s="7">
        <v>44787</v>
      </c>
      <c r="C694" t="s">
        <v>32</v>
      </c>
      <c r="D694" s="6">
        <v>2020</v>
      </c>
      <c r="E694" s="8">
        <v>27158</v>
      </c>
      <c r="F694" s="8">
        <v>31000</v>
      </c>
      <c r="G694" s="8">
        <f t="shared" si="40"/>
        <v>3842</v>
      </c>
      <c r="H694" s="6">
        <v>80000</v>
      </c>
      <c r="I694" t="s">
        <v>1647</v>
      </c>
      <c r="J694" t="s">
        <v>35</v>
      </c>
      <c r="K694" t="s">
        <v>1647</v>
      </c>
      <c r="L694" t="s">
        <v>54</v>
      </c>
      <c r="M694" t="s">
        <v>1647</v>
      </c>
      <c r="N694" s="6">
        <v>1</v>
      </c>
      <c r="O694" t="str">
        <f t="shared" si="41"/>
        <v>Normal</v>
      </c>
      <c r="P694" t="str">
        <f t="shared" si="42"/>
        <v>Duplicate ID</v>
      </c>
      <c r="Q694" t="str">
        <f t="shared" si="43"/>
        <v>25,000-30,000</v>
      </c>
      <c r="R694" s="6">
        <f>IF(COUNTIF($A$2:A694,A694)=1,1,0)</f>
        <v>1</v>
      </c>
    </row>
    <row r="695" spans="1:18" x14ac:dyDescent="0.25">
      <c r="A695" s="6">
        <v>1464</v>
      </c>
      <c r="B695" s="7">
        <v>44228</v>
      </c>
      <c r="C695" t="s">
        <v>51</v>
      </c>
      <c r="D695" s="6">
        <v>2021</v>
      </c>
      <c r="E695" s="8">
        <v>14586</v>
      </c>
      <c r="F695" s="8">
        <v>18000</v>
      </c>
      <c r="G695" s="8">
        <f t="shared" si="40"/>
        <v>3414</v>
      </c>
      <c r="H695" s="6">
        <v>15000</v>
      </c>
      <c r="I695" t="s">
        <v>41</v>
      </c>
      <c r="J695" t="s">
        <v>72</v>
      </c>
      <c r="K695" t="s">
        <v>96</v>
      </c>
      <c r="L695" t="s">
        <v>73</v>
      </c>
      <c r="M695" t="s">
        <v>98</v>
      </c>
      <c r="N695" s="6">
        <v>2</v>
      </c>
      <c r="O695" t="str">
        <f t="shared" si="41"/>
        <v>Normal</v>
      </c>
      <c r="P695" t="str">
        <f t="shared" si="42"/>
        <v>Duplicate ID</v>
      </c>
      <c r="Q695" t="str">
        <f t="shared" si="43"/>
        <v>10,000-14,999</v>
      </c>
      <c r="R695" s="6">
        <f>IF(COUNTIF($A$2:A695,A695)=1,1,0)</f>
        <v>0</v>
      </c>
    </row>
    <row r="696" spans="1:18" x14ac:dyDescent="0.25">
      <c r="A696" s="6">
        <v>1514</v>
      </c>
      <c r="B696" s="7">
        <v>44777</v>
      </c>
      <c r="C696" t="s">
        <v>40</v>
      </c>
      <c r="D696" s="6">
        <v>2014</v>
      </c>
      <c r="E696" s="8">
        <v>14132</v>
      </c>
      <c r="F696" s="8">
        <v>18000</v>
      </c>
      <c r="G696" s="8">
        <f t="shared" si="40"/>
        <v>3868</v>
      </c>
      <c r="H696" s="6">
        <v>25000</v>
      </c>
      <c r="I696" t="s">
        <v>41</v>
      </c>
      <c r="J696" t="s">
        <v>72</v>
      </c>
      <c r="K696" t="s">
        <v>36</v>
      </c>
      <c r="L696" t="s">
        <v>100</v>
      </c>
      <c r="M696" t="s">
        <v>98</v>
      </c>
      <c r="N696" s="6" t="s">
        <v>1647</v>
      </c>
      <c r="O696" t="str">
        <f t="shared" si="41"/>
        <v>Normal</v>
      </c>
      <c r="P696" t="str">
        <f t="shared" si="42"/>
        <v>Duplicate ID</v>
      </c>
      <c r="Q696" t="str">
        <f t="shared" si="43"/>
        <v>10,000-14,999</v>
      </c>
      <c r="R696" s="6">
        <f>IF(COUNTIF($A$2:A696,A696)=1,1,0)</f>
        <v>1</v>
      </c>
    </row>
    <row r="697" spans="1:18" x14ac:dyDescent="0.25">
      <c r="A697" s="6">
        <v>1254</v>
      </c>
      <c r="B697" s="7">
        <v>44923</v>
      </c>
      <c r="C697" t="s">
        <v>40</v>
      </c>
      <c r="D697" s="6">
        <v>2018</v>
      </c>
      <c r="E697" s="8">
        <v>10124</v>
      </c>
      <c r="F697" s="8">
        <v>15000</v>
      </c>
      <c r="G697" s="8">
        <f t="shared" si="40"/>
        <v>4876</v>
      </c>
      <c r="H697" s="6">
        <v>15000</v>
      </c>
      <c r="I697" t="s">
        <v>41</v>
      </c>
      <c r="J697" t="s">
        <v>72</v>
      </c>
      <c r="K697" t="s">
        <v>96</v>
      </c>
      <c r="L697" t="s">
        <v>54</v>
      </c>
      <c r="M697" t="s">
        <v>90</v>
      </c>
      <c r="N697" s="6" t="s">
        <v>1647</v>
      </c>
      <c r="O697" t="str">
        <f t="shared" si="41"/>
        <v>Normal</v>
      </c>
      <c r="P697" t="str">
        <f t="shared" si="42"/>
        <v>Duplicate ID</v>
      </c>
      <c r="Q697" t="str">
        <f t="shared" si="43"/>
        <v>10,000-14,999</v>
      </c>
      <c r="R697" s="6">
        <f>IF(COUNTIF($A$2:A697,A697)=1,1,0)</f>
        <v>0</v>
      </c>
    </row>
    <row r="698" spans="1:18" x14ac:dyDescent="0.25">
      <c r="A698" s="6">
        <v>1256</v>
      </c>
      <c r="B698" s="7">
        <v>44605</v>
      </c>
      <c r="C698" t="s">
        <v>1648</v>
      </c>
      <c r="D698" s="6">
        <v>2018</v>
      </c>
      <c r="E698" s="8">
        <v>19860</v>
      </c>
      <c r="F698" s="8">
        <v>22000</v>
      </c>
      <c r="G698" s="8">
        <f t="shared" si="40"/>
        <v>2140</v>
      </c>
      <c r="H698" s="6">
        <v>80000</v>
      </c>
      <c r="I698" t="s">
        <v>41</v>
      </c>
      <c r="J698" t="s">
        <v>72</v>
      </c>
      <c r="K698" t="s">
        <v>1647</v>
      </c>
      <c r="L698" t="s">
        <v>48</v>
      </c>
      <c r="M698" t="s">
        <v>1647</v>
      </c>
      <c r="N698" s="6">
        <v>1</v>
      </c>
      <c r="O698" t="str">
        <f t="shared" si="41"/>
        <v>Normal</v>
      </c>
      <c r="P698" t="str">
        <f t="shared" si="42"/>
        <v>Duplicate ID</v>
      </c>
      <c r="Q698" t="str">
        <f t="shared" si="43"/>
        <v>15,000-19,999</v>
      </c>
      <c r="R698" s="6">
        <f>IF(COUNTIF($A$2:A698,A698)=1,1,0)</f>
        <v>1</v>
      </c>
    </row>
    <row r="699" spans="1:18" x14ac:dyDescent="0.25">
      <c r="A699" s="6">
        <v>1320</v>
      </c>
      <c r="B699" s="7">
        <v>45102</v>
      </c>
      <c r="C699" t="s">
        <v>79</v>
      </c>
      <c r="D699" s="6">
        <v>2020</v>
      </c>
      <c r="E699" s="8">
        <v>3687</v>
      </c>
      <c r="F699" s="8">
        <v>9000</v>
      </c>
      <c r="G699" s="8">
        <f t="shared" si="40"/>
        <v>5313</v>
      </c>
      <c r="H699" s="6">
        <v>25000</v>
      </c>
      <c r="I699" t="s">
        <v>69</v>
      </c>
      <c r="J699" t="s">
        <v>72</v>
      </c>
      <c r="K699" t="s">
        <v>96</v>
      </c>
      <c r="L699" t="s">
        <v>48</v>
      </c>
      <c r="M699" t="s">
        <v>98</v>
      </c>
      <c r="N699" s="6">
        <v>3</v>
      </c>
      <c r="O699" t="str">
        <f t="shared" si="41"/>
        <v>Normal</v>
      </c>
      <c r="P699" t="str">
        <f t="shared" si="42"/>
        <v>Duplicate ID</v>
      </c>
      <c r="Q699" t="str">
        <f t="shared" si="43"/>
        <v>0-4,999</v>
      </c>
      <c r="R699" s="6">
        <f>IF(COUNTIF($A$2:A699,A699)=1,1,0)</f>
        <v>0</v>
      </c>
    </row>
    <row r="700" spans="1:18" x14ac:dyDescent="0.25">
      <c r="A700" s="6">
        <v>1309</v>
      </c>
      <c r="B700" s="7">
        <v>44484</v>
      </c>
      <c r="C700" t="s">
        <v>40</v>
      </c>
      <c r="D700" s="6">
        <v>2022</v>
      </c>
      <c r="E700" s="8">
        <v>5276</v>
      </c>
      <c r="F700" s="8">
        <v>7000</v>
      </c>
      <c r="G700" s="8">
        <f t="shared" si="40"/>
        <v>1724</v>
      </c>
      <c r="H700" s="6">
        <v>60000</v>
      </c>
      <c r="I700" t="s">
        <v>69</v>
      </c>
      <c r="J700" t="s">
        <v>35</v>
      </c>
      <c r="K700" t="s">
        <v>96</v>
      </c>
      <c r="L700" t="s">
        <v>100</v>
      </c>
      <c r="M700" t="s">
        <v>98</v>
      </c>
      <c r="N700" s="6">
        <v>0</v>
      </c>
      <c r="O700" t="str">
        <f t="shared" si="41"/>
        <v>Normal</v>
      </c>
      <c r="P700" t="str">
        <f t="shared" si="42"/>
        <v>Duplicate ID</v>
      </c>
      <c r="Q700" t="str">
        <f t="shared" si="43"/>
        <v>5,000-9,999</v>
      </c>
      <c r="R700" s="6">
        <f>IF(COUNTIF($A$2:A700,A700)=1,1,0)</f>
        <v>1</v>
      </c>
    </row>
    <row r="701" spans="1:18" x14ac:dyDescent="0.25">
      <c r="A701" s="6">
        <v>1276</v>
      </c>
      <c r="B701" s="7">
        <v>44309</v>
      </c>
      <c r="C701" t="s">
        <v>1648</v>
      </c>
      <c r="D701" s="6">
        <v>2022</v>
      </c>
      <c r="E701" s="8">
        <v>29307</v>
      </c>
      <c r="F701" s="8">
        <v>31000</v>
      </c>
      <c r="G701" s="8">
        <f t="shared" si="40"/>
        <v>1693</v>
      </c>
      <c r="H701" s="6">
        <v>15000</v>
      </c>
      <c r="I701" t="s">
        <v>41</v>
      </c>
      <c r="J701" t="s">
        <v>72</v>
      </c>
      <c r="K701" t="s">
        <v>1647</v>
      </c>
      <c r="L701" t="s">
        <v>48</v>
      </c>
      <c r="M701" t="s">
        <v>45</v>
      </c>
      <c r="N701" s="6">
        <v>0</v>
      </c>
      <c r="O701" t="str">
        <f t="shared" si="41"/>
        <v>Normal</v>
      </c>
      <c r="P701" t="str">
        <f t="shared" si="42"/>
        <v>Duplicate ID</v>
      </c>
      <c r="Q701" t="str">
        <f t="shared" si="43"/>
        <v>25,000-30,000</v>
      </c>
      <c r="R701" s="6">
        <f>IF(COUNTIF($A$2:A701,A701)=1,1,0)</f>
        <v>1</v>
      </c>
    </row>
    <row r="702" spans="1:18" x14ac:dyDescent="0.25">
      <c r="A702" s="6">
        <v>1147</v>
      </c>
      <c r="B702" s="7">
        <v>45254</v>
      </c>
      <c r="C702" t="s">
        <v>32</v>
      </c>
      <c r="D702" s="6"/>
      <c r="E702" s="8">
        <v>4321</v>
      </c>
      <c r="F702" s="8">
        <v>7000</v>
      </c>
      <c r="G702" s="8">
        <f t="shared" si="40"/>
        <v>2679</v>
      </c>
      <c r="H702" s="6">
        <v>120000</v>
      </c>
      <c r="I702" t="s">
        <v>58</v>
      </c>
      <c r="J702" t="s">
        <v>72</v>
      </c>
      <c r="K702" t="s">
        <v>96</v>
      </c>
      <c r="L702" t="s">
        <v>73</v>
      </c>
      <c r="M702" t="s">
        <v>98</v>
      </c>
      <c r="N702" s="6" t="s">
        <v>1647</v>
      </c>
      <c r="O702" t="str">
        <f t="shared" si="41"/>
        <v>Normal</v>
      </c>
      <c r="P702" t="str">
        <f t="shared" si="42"/>
        <v>Duplicate ID</v>
      </c>
      <c r="Q702" t="str">
        <f t="shared" si="43"/>
        <v>0-4,999</v>
      </c>
      <c r="R702" s="6">
        <f>IF(COUNTIF($A$2:A702,A702)=1,1,0)</f>
        <v>1</v>
      </c>
    </row>
    <row r="703" spans="1:18" x14ac:dyDescent="0.25">
      <c r="A703" s="6">
        <v>1532</v>
      </c>
      <c r="B703" s="7">
        <v>44444</v>
      </c>
      <c r="C703" t="s">
        <v>57</v>
      </c>
      <c r="D703" s="6">
        <v>2015</v>
      </c>
      <c r="E703" s="8">
        <v>6747</v>
      </c>
      <c r="F703" s="8">
        <v>9000</v>
      </c>
      <c r="G703" s="8">
        <f t="shared" si="40"/>
        <v>2253</v>
      </c>
      <c r="H703" s="6">
        <v>15000</v>
      </c>
      <c r="I703" t="s">
        <v>1647</v>
      </c>
      <c r="J703" t="s">
        <v>72</v>
      </c>
      <c r="K703" t="s">
        <v>36</v>
      </c>
      <c r="L703" t="s">
        <v>73</v>
      </c>
      <c r="M703" t="s">
        <v>45</v>
      </c>
      <c r="N703" s="6">
        <v>3</v>
      </c>
      <c r="O703" t="str">
        <f t="shared" si="41"/>
        <v>Normal</v>
      </c>
      <c r="P703" t="str">
        <f t="shared" si="42"/>
        <v>Duplicate ID</v>
      </c>
      <c r="Q703" t="str">
        <f t="shared" si="43"/>
        <v>5,000-9,999</v>
      </c>
      <c r="R703" s="6">
        <f>IF(COUNTIF($A$2:A703,A703)=1,1,0)</f>
        <v>0</v>
      </c>
    </row>
    <row r="704" spans="1:18" x14ac:dyDescent="0.25">
      <c r="A704" s="6">
        <v>1126</v>
      </c>
      <c r="B704" s="7">
        <v>45096</v>
      </c>
      <c r="C704" t="s">
        <v>1648</v>
      </c>
      <c r="D704" s="6">
        <v>2016</v>
      </c>
      <c r="E704" s="8">
        <v>11868</v>
      </c>
      <c r="F704" s="8">
        <v>15000</v>
      </c>
      <c r="G704" s="8">
        <f t="shared" si="40"/>
        <v>3132</v>
      </c>
      <c r="H704" s="6">
        <v>80000</v>
      </c>
      <c r="I704" t="s">
        <v>58</v>
      </c>
      <c r="J704" t="s">
        <v>35</v>
      </c>
      <c r="K704" t="s">
        <v>1647</v>
      </c>
      <c r="L704" t="s">
        <v>1647</v>
      </c>
      <c r="M704" t="s">
        <v>90</v>
      </c>
      <c r="N704" s="6">
        <v>3</v>
      </c>
      <c r="O704" t="str">
        <f t="shared" si="41"/>
        <v>Normal</v>
      </c>
      <c r="P704" t="str">
        <f t="shared" si="42"/>
        <v>Duplicate ID</v>
      </c>
      <c r="Q704" t="str">
        <f t="shared" si="43"/>
        <v>10,000-14,999</v>
      </c>
      <c r="R704" s="6">
        <f>IF(COUNTIF($A$2:A704,A704)=1,1,0)</f>
        <v>1</v>
      </c>
    </row>
    <row r="705" spans="1:18" x14ac:dyDescent="0.25">
      <c r="A705" s="6">
        <v>1376</v>
      </c>
      <c r="B705" s="7">
        <v>45206</v>
      </c>
      <c r="C705" t="s">
        <v>1648</v>
      </c>
      <c r="D705" s="6">
        <v>2018</v>
      </c>
      <c r="E705" s="8">
        <v>16181</v>
      </c>
      <c r="F705" s="8">
        <v>18000</v>
      </c>
      <c r="G705" s="8">
        <f t="shared" si="40"/>
        <v>1819</v>
      </c>
      <c r="H705" s="6">
        <v>120000</v>
      </c>
      <c r="I705" t="s">
        <v>41</v>
      </c>
      <c r="J705" t="s">
        <v>72</v>
      </c>
      <c r="K705" t="s">
        <v>96</v>
      </c>
      <c r="L705" t="s">
        <v>48</v>
      </c>
      <c r="M705" t="s">
        <v>90</v>
      </c>
      <c r="N705" s="6">
        <v>0</v>
      </c>
      <c r="O705" t="str">
        <f t="shared" si="41"/>
        <v>Normal</v>
      </c>
      <c r="P705" t="str">
        <f t="shared" si="42"/>
        <v>Duplicate ID</v>
      </c>
      <c r="Q705" t="str">
        <f t="shared" si="43"/>
        <v>15,000-19,999</v>
      </c>
      <c r="R705" s="6">
        <f>IF(COUNTIF($A$2:A705,A705)=1,1,0)</f>
        <v>1</v>
      </c>
    </row>
    <row r="706" spans="1:18" x14ac:dyDescent="0.25">
      <c r="A706" s="6">
        <v>1594</v>
      </c>
      <c r="B706" s="7">
        <v>44219</v>
      </c>
      <c r="C706" t="s">
        <v>51</v>
      </c>
      <c r="D706" s="6">
        <v>2021</v>
      </c>
      <c r="E706" s="8">
        <v>4810</v>
      </c>
      <c r="F706" s="8">
        <v>9000</v>
      </c>
      <c r="G706" s="8">
        <f t="shared" ref="G706:G769" si="44">IF(OR(F706="",E706=""),"",F706-E706)</f>
        <v>4190</v>
      </c>
      <c r="H706" s="6">
        <v>80000</v>
      </c>
      <c r="I706" t="s">
        <v>1647</v>
      </c>
      <c r="J706" t="s">
        <v>35</v>
      </c>
      <c r="K706" t="s">
        <v>96</v>
      </c>
      <c r="L706" t="s">
        <v>100</v>
      </c>
      <c r="M706" t="s">
        <v>98</v>
      </c>
      <c r="N706" s="6">
        <v>3</v>
      </c>
      <c r="O706" t="str">
        <f t="shared" ref="O706:O769" si="45">IF(E706&lt;1000,"Outlier","Normal")</f>
        <v>Normal</v>
      </c>
      <c r="P706" t="str">
        <f t="shared" ref="P706:P769" si="46">IF(COUNTIF($A$2:$A$2501,A706)&gt;1,"Duplicate ID","Unique ID")</f>
        <v>Duplicate ID</v>
      </c>
      <c r="Q706" t="str">
        <f t="shared" ref="Q706:Q769" si="47">IF(E706&lt;5000,"0-4,999",IF(E706&lt;10000,"5,000-9,999",IF(E706&lt;15000,"10,000-14,999",IF(E706&lt;20000,"15,000-19,999",IF(E706&lt;25000,"20,000-24,999","25,000-30,000")))))</f>
        <v>0-4,999</v>
      </c>
      <c r="R706" s="6">
        <f>IF(COUNTIF($A$2:A706,A706)=1,1,0)</f>
        <v>0</v>
      </c>
    </row>
    <row r="707" spans="1:18" x14ac:dyDescent="0.25">
      <c r="A707" s="6">
        <v>1215</v>
      </c>
      <c r="B707" s="7">
        <v>45227</v>
      </c>
      <c r="C707" t="s">
        <v>119</v>
      </c>
      <c r="D707" s="6">
        <v>2014</v>
      </c>
      <c r="E707" s="8">
        <v>6899</v>
      </c>
      <c r="F707" s="8">
        <v>12000</v>
      </c>
      <c r="G707" s="8">
        <f t="shared" si="44"/>
        <v>5101</v>
      </c>
      <c r="H707" s="6">
        <v>40000</v>
      </c>
      <c r="I707" t="s">
        <v>41</v>
      </c>
      <c r="J707" t="s">
        <v>35</v>
      </c>
      <c r="K707" t="s">
        <v>36</v>
      </c>
      <c r="L707" t="s">
        <v>54</v>
      </c>
      <c r="M707" t="s">
        <v>45</v>
      </c>
      <c r="N707" s="6">
        <v>3</v>
      </c>
      <c r="O707" t="str">
        <f t="shared" si="45"/>
        <v>Normal</v>
      </c>
      <c r="P707" t="str">
        <f t="shared" si="46"/>
        <v>Duplicate ID</v>
      </c>
      <c r="Q707" t="str">
        <f t="shared" si="47"/>
        <v>5,000-9,999</v>
      </c>
      <c r="R707" s="6">
        <f>IF(COUNTIF($A$2:A707,A707)=1,1,0)</f>
        <v>0</v>
      </c>
    </row>
    <row r="708" spans="1:18" x14ac:dyDescent="0.25">
      <c r="A708" s="6">
        <v>1385</v>
      </c>
      <c r="B708" s="7">
        <v>45187</v>
      </c>
      <c r="C708" t="s">
        <v>32</v>
      </c>
      <c r="D708" s="6">
        <v>2018</v>
      </c>
      <c r="E708" s="8">
        <v>16442</v>
      </c>
      <c r="F708" s="8">
        <v>18000</v>
      </c>
      <c r="G708" s="8">
        <f t="shared" si="44"/>
        <v>1558</v>
      </c>
      <c r="H708" s="6">
        <v>60000</v>
      </c>
      <c r="I708" t="s">
        <v>69</v>
      </c>
      <c r="J708" t="s">
        <v>35</v>
      </c>
      <c r="K708" t="s">
        <v>96</v>
      </c>
      <c r="L708" t="s">
        <v>54</v>
      </c>
      <c r="M708" t="s">
        <v>98</v>
      </c>
      <c r="N708" s="6">
        <v>0</v>
      </c>
      <c r="O708" t="str">
        <f t="shared" si="45"/>
        <v>Normal</v>
      </c>
      <c r="P708" t="str">
        <f t="shared" si="46"/>
        <v>Duplicate ID</v>
      </c>
      <c r="Q708" t="str">
        <f t="shared" si="47"/>
        <v>15,000-19,999</v>
      </c>
      <c r="R708" s="6">
        <f>IF(COUNTIF($A$2:A708,A708)=1,1,0)</f>
        <v>1</v>
      </c>
    </row>
    <row r="709" spans="1:18" x14ac:dyDescent="0.25">
      <c r="A709" s="6">
        <v>1511</v>
      </c>
      <c r="B709" s="7">
        <v>44414</v>
      </c>
      <c r="C709" t="s">
        <v>40</v>
      </c>
      <c r="D709" s="6">
        <v>2014</v>
      </c>
      <c r="E709" s="8">
        <v>10210</v>
      </c>
      <c r="F709" s="8">
        <v>12000</v>
      </c>
      <c r="G709" s="8">
        <f t="shared" si="44"/>
        <v>1790</v>
      </c>
      <c r="H709" s="6">
        <v>25000</v>
      </c>
      <c r="I709" t="s">
        <v>58</v>
      </c>
      <c r="J709" t="s">
        <v>35</v>
      </c>
      <c r="K709" t="s">
        <v>36</v>
      </c>
      <c r="L709" t="s">
        <v>48</v>
      </c>
      <c r="M709" t="s">
        <v>98</v>
      </c>
      <c r="N709" s="6">
        <v>0</v>
      </c>
      <c r="O709" t="str">
        <f t="shared" si="45"/>
        <v>Normal</v>
      </c>
      <c r="P709" t="str">
        <f t="shared" si="46"/>
        <v>Duplicate ID</v>
      </c>
      <c r="Q709" t="str">
        <f t="shared" si="47"/>
        <v>10,000-14,999</v>
      </c>
      <c r="R709" s="6">
        <f>IF(COUNTIF($A$2:A709,A709)=1,1,0)</f>
        <v>0</v>
      </c>
    </row>
    <row r="710" spans="1:18" x14ac:dyDescent="0.25">
      <c r="A710" s="6">
        <v>1452</v>
      </c>
      <c r="B710" s="7">
        <v>44346</v>
      </c>
      <c r="C710" t="s">
        <v>40</v>
      </c>
      <c r="D710" s="6"/>
      <c r="E710" s="8">
        <v>16694</v>
      </c>
      <c r="F710" s="8">
        <v>18000</v>
      </c>
      <c r="G710" s="8">
        <f t="shared" si="44"/>
        <v>1306</v>
      </c>
      <c r="H710" s="6">
        <v>15000</v>
      </c>
      <c r="I710" t="s">
        <v>58</v>
      </c>
      <c r="J710" t="s">
        <v>72</v>
      </c>
      <c r="K710" t="s">
        <v>36</v>
      </c>
      <c r="L710" t="s">
        <v>48</v>
      </c>
      <c r="M710" t="s">
        <v>98</v>
      </c>
      <c r="N710" s="6">
        <v>1</v>
      </c>
      <c r="O710" t="str">
        <f t="shared" si="45"/>
        <v>Normal</v>
      </c>
      <c r="P710" t="str">
        <f t="shared" si="46"/>
        <v>Duplicate ID</v>
      </c>
      <c r="Q710" t="str">
        <f t="shared" si="47"/>
        <v>15,000-19,999</v>
      </c>
      <c r="R710" s="6">
        <f>IF(COUNTIF($A$2:A710,A710)=1,1,0)</f>
        <v>0</v>
      </c>
    </row>
    <row r="711" spans="1:18" x14ac:dyDescent="0.25">
      <c r="A711" s="6">
        <v>1230</v>
      </c>
      <c r="B711" s="7">
        <v>44782</v>
      </c>
      <c r="C711" t="s">
        <v>57</v>
      </c>
      <c r="D711" s="6">
        <v>2017</v>
      </c>
      <c r="E711" s="8">
        <v>13416</v>
      </c>
      <c r="F711" s="8">
        <v>18000</v>
      </c>
      <c r="G711" s="8">
        <f t="shared" si="44"/>
        <v>4584</v>
      </c>
      <c r="H711" s="6">
        <v>60000</v>
      </c>
      <c r="I711" t="s">
        <v>58</v>
      </c>
      <c r="J711" t="s">
        <v>35</v>
      </c>
      <c r="K711" t="s">
        <v>1647</v>
      </c>
      <c r="L711" t="s">
        <v>73</v>
      </c>
      <c r="M711" t="s">
        <v>126</v>
      </c>
      <c r="N711" s="6">
        <v>1</v>
      </c>
      <c r="O711" t="str">
        <f t="shared" si="45"/>
        <v>Normal</v>
      </c>
      <c r="P711" t="str">
        <f t="shared" si="46"/>
        <v>Duplicate ID</v>
      </c>
      <c r="Q711" t="str">
        <f t="shared" si="47"/>
        <v>10,000-14,999</v>
      </c>
      <c r="R711" s="6">
        <f>IF(COUNTIF($A$2:A711,A711)=1,1,0)</f>
        <v>0</v>
      </c>
    </row>
    <row r="712" spans="1:18" x14ac:dyDescent="0.25">
      <c r="A712" s="6">
        <v>1559</v>
      </c>
      <c r="B712" s="7">
        <v>45360</v>
      </c>
      <c r="C712" t="s">
        <v>40</v>
      </c>
      <c r="D712" s="6">
        <v>2016</v>
      </c>
      <c r="E712" s="8">
        <v>2658</v>
      </c>
      <c r="F712" s="8">
        <v>7000</v>
      </c>
      <c r="G712" s="8">
        <f t="shared" si="44"/>
        <v>4342</v>
      </c>
      <c r="H712" s="6">
        <v>40000</v>
      </c>
      <c r="I712" t="s">
        <v>1647</v>
      </c>
      <c r="J712" t="s">
        <v>35</v>
      </c>
      <c r="K712" t="s">
        <v>36</v>
      </c>
      <c r="L712" t="s">
        <v>48</v>
      </c>
      <c r="M712" t="s">
        <v>1647</v>
      </c>
      <c r="N712" s="6">
        <v>2</v>
      </c>
      <c r="O712" t="str">
        <f t="shared" si="45"/>
        <v>Normal</v>
      </c>
      <c r="P712" t="str">
        <f t="shared" si="46"/>
        <v>Duplicate ID</v>
      </c>
      <c r="Q712" t="str">
        <f t="shared" si="47"/>
        <v>0-4,999</v>
      </c>
      <c r="R712" s="6">
        <f>IF(COUNTIF($A$2:A712,A712)=1,1,0)</f>
        <v>0</v>
      </c>
    </row>
    <row r="713" spans="1:18" x14ac:dyDescent="0.25">
      <c r="A713" s="6">
        <v>1385</v>
      </c>
      <c r="B713" s="7">
        <v>45072</v>
      </c>
      <c r="C713" t="s">
        <v>79</v>
      </c>
      <c r="D713" s="6"/>
      <c r="E713" s="8">
        <v>7405</v>
      </c>
      <c r="F713" s="8">
        <v>12000</v>
      </c>
      <c r="G713" s="8">
        <f t="shared" si="44"/>
        <v>4595</v>
      </c>
      <c r="H713" s="6">
        <v>15000</v>
      </c>
      <c r="I713" t="s">
        <v>69</v>
      </c>
      <c r="J713" t="s">
        <v>35</v>
      </c>
      <c r="K713" t="s">
        <v>36</v>
      </c>
      <c r="L713" t="s">
        <v>48</v>
      </c>
      <c r="M713" t="s">
        <v>90</v>
      </c>
      <c r="N713" s="6">
        <v>0</v>
      </c>
      <c r="O713" t="str">
        <f t="shared" si="45"/>
        <v>Normal</v>
      </c>
      <c r="P713" t="str">
        <f t="shared" si="46"/>
        <v>Duplicate ID</v>
      </c>
      <c r="Q713" t="str">
        <f t="shared" si="47"/>
        <v>5,000-9,999</v>
      </c>
      <c r="R713" s="6">
        <f>IF(COUNTIF($A$2:A713,A713)=1,1,0)</f>
        <v>0</v>
      </c>
    </row>
    <row r="714" spans="1:18" x14ac:dyDescent="0.25">
      <c r="A714" s="6">
        <v>1366</v>
      </c>
      <c r="B714" s="7">
        <v>44996</v>
      </c>
      <c r="C714" t="s">
        <v>51</v>
      </c>
      <c r="D714" s="6">
        <v>2014</v>
      </c>
      <c r="E714" s="8">
        <v>11941</v>
      </c>
      <c r="F714" s="8">
        <v>15000</v>
      </c>
      <c r="G714" s="8">
        <f t="shared" si="44"/>
        <v>3059</v>
      </c>
      <c r="H714" s="6">
        <v>40000</v>
      </c>
      <c r="I714" t="s">
        <v>41</v>
      </c>
      <c r="J714" t="s">
        <v>1647</v>
      </c>
      <c r="K714" t="s">
        <v>1647</v>
      </c>
      <c r="L714" t="s">
        <v>100</v>
      </c>
      <c r="M714" t="s">
        <v>1647</v>
      </c>
      <c r="N714" s="6" t="s">
        <v>1647</v>
      </c>
      <c r="O714" t="str">
        <f t="shared" si="45"/>
        <v>Normal</v>
      </c>
      <c r="P714" t="str">
        <f t="shared" si="46"/>
        <v>Duplicate ID</v>
      </c>
      <c r="Q714" t="str">
        <f t="shared" si="47"/>
        <v>10,000-14,999</v>
      </c>
      <c r="R714" s="6">
        <f>IF(COUNTIF($A$2:A714,A714)=1,1,0)</f>
        <v>0</v>
      </c>
    </row>
    <row r="715" spans="1:18" x14ac:dyDescent="0.25">
      <c r="A715" s="6">
        <v>1596</v>
      </c>
      <c r="B715" s="7">
        <v>44424</v>
      </c>
      <c r="C715" t="s">
        <v>51</v>
      </c>
      <c r="D715" s="6">
        <v>2020</v>
      </c>
      <c r="E715" s="8">
        <v>286</v>
      </c>
      <c r="F715" s="8">
        <v>7000</v>
      </c>
      <c r="G715" s="8">
        <f t="shared" si="44"/>
        <v>6714</v>
      </c>
      <c r="H715" s="6">
        <v>80000</v>
      </c>
      <c r="I715" t="s">
        <v>41</v>
      </c>
      <c r="J715" t="s">
        <v>35</v>
      </c>
      <c r="K715" t="s">
        <v>96</v>
      </c>
      <c r="L715" t="s">
        <v>48</v>
      </c>
      <c r="M715" t="s">
        <v>45</v>
      </c>
      <c r="N715" s="6">
        <v>1</v>
      </c>
      <c r="O715" t="str">
        <f t="shared" si="45"/>
        <v>Outlier</v>
      </c>
      <c r="P715" t="str">
        <f t="shared" si="46"/>
        <v>Unique ID</v>
      </c>
      <c r="Q715" t="str">
        <f t="shared" si="47"/>
        <v>0-4,999</v>
      </c>
      <c r="R715" s="6">
        <f>IF(COUNTIF($A$2:A715,A715)=1,1,0)</f>
        <v>1</v>
      </c>
    </row>
    <row r="716" spans="1:18" x14ac:dyDescent="0.25">
      <c r="A716" s="6">
        <v>1063</v>
      </c>
      <c r="B716" s="7">
        <v>44872</v>
      </c>
      <c r="C716" t="s">
        <v>51</v>
      </c>
      <c r="D716" s="6">
        <v>2014</v>
      </c>
      <c r="E716" s="8">
        <v>6519</v>
      </c>
      <c r="F716" s="8">
        <v>12000</v>
      </c>
      <c r="G716" s="8">
        <f t="shared" si="44"/>
        <v>5481</v>
      </c>
      <c r="H716" s="6">
        <v>25000</v>
      </c>
      <c r="I716" t="s">
        <v>41</v>
      </c>
      <c r="J716" t="s">
        <v>72</v>
      </c>
      <c r="K716" t="s">
        <v>36</v>
      </c>
      <c r="L716" t="s">
        <v>48</v>
      </c>
      <c r="M716" t="s">
        <v>126</v>
      </c>
      <c r="N716" s="6" t="s">
        <v>1647</v>
      </c>
      <c r="O716" t="str">
        <f t="shared" si="45"/>
        <v>Normal</v>
      </c>
      <c r="P716" t="str">
        <f t="shared" si="46"/>
        <v>Duplicate ID</v>
      </c>
      <c r="Q716" t="str">
        <f t="shared" si="47"/>
        <v>5,000-9,999</v>
      </c>
      <c r="R716" s="6">
        <f>IF(COUNTIF($A$2:A716,A716)=1,1,0)</f>
        <v>0</v>
      </c>
    </row>
    <row r="717" spans="1:18" x14ac:dyDescent="0.25">
      <c r="A717" s="6">
        <v>1036</v>
      </c>
      <c r="B717" s="7">
        <v>44410</v>
      </c>
      <c r="C717" t="s">
        <v>1648</v>
      </c>
      <c r="D717" s="6">
        <v>2016</v>
      </c>
      <c r="E717" s="8">
        <v>16659</v>
      </c>
      <c r="F717" s="8">
        <v>18000</v>
      </c>
      <c r="G717" s="8">
        <f t="shared" si="44"/>
        <v>1341</v>
      </c>
      <c r="H717" s="6">
        <v>120000</v>
      </c>
      <c r="I717" t="s">
        <v>1647</v>
      </c>
      <c r="J717" t="s">
        <v>72</v>
      </c>
      <c r="K717" t="s">
        <v>36</v>
      </c>
      <c r="L717" t="s">
        <v>73</v>
      </c>
      <c r="M717" t="s">
        <v>126</v>
      </c>
      <c r="N717" s="6">
        <v>0</v>
      </c>
      <c r="O717" t="str">
        <f t="shared" si="45"/>
        <v>Normal</v>
      </c>
      <c r="P717" t="str">
        <f t="shared" si="46"/>
        <v>Duplicate ID</v>
      </c>
      <c r="Q717" t="str">
        <f t="shared" si="47"/>
        <v>15,000-19,999</v>
      </c>
      <c r="R717" s="6">
        <f>IF(COUNTIF($A$2:A717,A717)=1,1,0)</f>
        <v>0</v>
      </c>
    </row>
    <row r="718" spans="1:18" x14ac:dyDescent="0.25">
      <c r="A718" s="6">
        <v>1565</v>
      </c>
      <c r="B718" s="7">
        <v>44234</v>
      </c>
      <c r="C718" t="s">
        <v>57</v>
      </c>
      <c r="D718" s="6">
        <v>2022</v>
      </c>
      <c r="E718" s="8">
        <v>19400</v>
      </c>
      <c r="F718" s="8">
        <v>26000</v>
      </c>
      <c r="G718" s="8">
        <f t="shared" si="44"/>
        <v>6600</v>
      </c>
      <c r="H718" s="6">
        <v>120000</v>
      </c>
      <c r="I718" t="s">
        <v>58</v>
      </c>
      <c r="J718" t="s">
        <v>72</v>
      </c>
      <c r="K718" t="s">
        <v>96</v>
      </c>
      <c r="L718" t="s">
        <v>1647</v>
      </c>
      <c r="M718" t="s">
        <v>90</v>
      </c>
      <c r="N718" s="6">
        <v>0</v>
      </c>
      <c r="O718" t="str">
        <f t="shared" si="45"/>
        <v>Normal</v>
      </c>
      <c r="P718" t="str">
        <f t="shared" si="46"/>
        <v>Duplicate ID</v>
      </c>
      <c r="Q718" t="str">
        <f t="shared" si="47"/>
        <v>15,000-19,999</v>
      </c>
      <c r="R718" s="6">
        <f>IF(COUNTIF($A$2:A718,A718)=1,1,0)</f>
        <v>1</v>
      </c>
    </row>
    <row r="719" spans="1:18" x14ac:dyDescent="0.25">
      <c r="A719" s="6">
        <v>1447</v>
      </c>
      <c r="B719" s="7">
        <v>44899</v>
      </c>
      <c r="C719" t="s">
        <v>1648</v>
      </c>
      <c r="D719" s="6">
        <v>2015</v>
      </c>
      <c r="E719" s="8">
        <v>19414</v>
      </c>
      <c r="F719" s="8">
        <v>22000</v>
      </c>
      <c r="G719" s="8">
        <f t="shared" si="44"/>
        <v>2586</v>
      </c>
      <c r="H719" s="6">
        <v>40000</v>
      </c>
      <c r="I719" t="s">
        <v>41</v>
      </c>
      <c r="J719" t="s">
        <v>35</v>
      </c>
      <c r="K719" t="s">
        <v>96</v>
      </c>
      <c r="L719" t="s">
        <v>1647</v>
      </c>
      <c r="M719" t="s">
        <v>126</v>
      </c>
      <c r="N719" s="6">
        <v>0</v>
      </c>
      <c r="O719" t="str">
        <f t="shared" si="45"/>
        <v>Normal</v>
      </c>
      <c r="P719" t="str">
        <f t="shared" si="46"/>
        <v>Duplicate ID</v>
      </c>
      <c r="Q719" t="str">
        <f t="shared" si="47"/>
        <v>15,000-19,999</v>
      </c>
      <c r="R719" s="6">
        <f>IF(COUNTIF($A$2:A719,A719)=1,1,0)</f>
        <v>0</v>
      </c>
    </row>
    <row r="720" spans="1:18" x14ac:dyDescent="0.25">
      <c r="A720" s="6">
        <v>1184</v>
      </c>
      <c r="B720" s="7">
        <v>45095</v>
      </c>
      <c r="C720" t="s">
        <v>119</v>
      </c>
      <c r="D720" s="6">
        <v>2014</v>
      </c>
      <c r="E720" s="8">
        <v>6962</v>
      </c>
      <c r="F720" s="8">
        <v>9000</v>
      </c>
      <c r="G720" s="8">
        <f t="shared" si="44"/>
        <v>2038</v>
      </c>
      <c r="H720" s="6">
        <v>15000</v>
      </c>
      <c r="I720" t="s">
        <v>58</v>
      </c>
      <c r="J720" t="s">
        <v>72</v>
      </c>
      <c r="K720" t="s">
        <v>36</v>
      </c>
      <c r="L720" t="s">
        <v>48</v>
      </c>
      <c r="M720" t="s">
        <v>98</v>
      </c>
      <c r="N720" s="6">
        <v>0</v>
      </c>
      <c r="O720" t="str">
        <f t="shared" si="45"/>
        <v>Normal</v>
      </c>
      <c r="P720" t="str">
        <f t="shared" si="46"/>
        <v>Duplicate ID</v>
      </c>
      <c r="Q720" t="str">
        <f t="shared" si="47"/>
        <v>5,000-9,999</v>
      </c>
      <c r="R720" s="6">
        <f>IF(COUNTIF($A$2:A720,A720)=1,1,0)</f>
        <v>0</v>
      </c>
    </row>
    <row r="721" spans="1:18" x14ac:dyDescent="0.25">
      <c r="A721" s="6">
        <v>1365</v>
      </c>
      <c r="B721" s="7">
        <v>45210</v>
      </c>
      <c r="C721" t="s">
        <v>40</v>
      </c>
      <c r="D721" s="6">
        <v>2015</v>
      </c>
      <c r="E721" s="8">
        <v>15314</v>
      </c>
      <c r="F721" s="8">
        <v>18000</v>
      </c>
      <c r="G721" s="8">
        <f t="shared" si="44"/>
        <v>2686</v>
      </c>
      <c r="H721" s="6">
        <v>80000</v>
      </c>
      <c r="I721" t="s">
        <v>69</v>
      </c>
      <c r="J721" t="s">
        <v>72</v>
      </c>
      <c r="K721" t="s">
        <v>1647</v>
      </c>
      <c r="L721" t="s">
        <v>54</v>
      </c>
      <c r="M721" t="s">
        <v>90</v>
      </c>
      <c r="N721" s="6" t="s">
        <v>1647</v>
      </c>
      <c r="O721" t="str">
        <f t="shared" si="45"/>
        <v>Normal</v>
      </c>
      <c r="P721" t="str">
        <f t="shared" si="46"/>
        <v>Duplicate ID</v>
      </c>
      <c r="Q721" t="str">
        <f t="shared" si="47"/>
        <v>15,000-19,999</v>
      </c>
      <c r="R721" s="6">
        <f>IF(COUNTIF($A$2:A721,A721)=1,1,0)</f>
        <v>0</v>
      </c>
    </row>
    <row r="722" spans="1:18" x14ac:dyDescent="0.25">
      <c r="A722" s="6">
        <v>1497</v>
      </c>
      <c r="B722" s="7">
        <v>45038</v>
      </c>
      <c r="C722" t="s">
        <v>119</v>
      </c>
      <c r="D722" s="6">
        <v>2019</v>
      </c>
      <c r="E722" s="8">
        <v>5161</v>
      </c>
      <c r="F722" s="8">
        <v>9000</v>
      </c>
      <c r="G722" s="8">
        <f t="shared" si="44"/>
        <v>3839</v>
      </c>
      <c r="H722" s="6">
        <v>15000</v>
      </c>
      <c r="I722" t="s">
        <v>58</v>
      </c>
      <c r="J722" t="s">
        <v>72</v>
      </c>
      <c r="K722" t="s">
        <v>1647</v>
      </c>
      <c r="L722" t="s">
        <v>100</v>
      </c>
      <c r="M722" t="s">
        <v>126</v>
      </c>
      <c r="N722" s="6">
        <v>2</v>
      </c>
      <c r="O722" t="str">
        <f t="shared" si="45"/>
        <v>Normal</v>
      </c>
      <c r="P722" t="str">
        <f t="shared" si="46"/>
        <v>Duplicate ID</v>
      </c>
      <c r="Q722" t="str">
        <f t="shared" si="47"/>
        <v>5,000-9,999</v>
      </c>
      <c r="R722" s="6">
        <f>IF(COUNTIF($A$2:A722,A722)=1,1,0)</f>
        <v>0</v>
      </c>
    </row>
    <row r="723" spans="1:18" x14ac:dyDescent="0.25">
      <c r="A723" s="6">
        <v>1116</v>
      </c>
      <c r="B723" s="7">
        <v>45126</v>
      </c>
      <c r="C723" t="s">
        <v>32</v>
      </c>
      <c r="D723" s="6">
        <v>2014</v>
      </c>
      <c r="E723" s="8">
        <v>10394</v>
      </c>
      <c r="F723" s="8">
        <v>15000</v>
      </c>
      <c r="G723" s="8">
        <f t="shared" si="44"/>
        <v>4606</v>
      </c>
      <c r="H723" s="6">
        <v>120000</v>
      </c>
      <c r="I723" t="s">
        <v>34</v>
      </c>
      <c r="J723" t="s">
        <v>72</v>
      </c>
      <c r="K723" t="s">
        <v>36</v>
      </c>
      <c r="L723" t="s">
        <v>73</v>
      </c>
      <c r="M723" t="s">
        <v>45</v>
      </c>
      <c r="N723" s="6" t="s">
        <v>1647</v>
      </c>
      <c r="O723" t="str">
        <f t="shared" si="45"/>
        <v>Normal</v>
      </c>
      <c r="P723" t="str">
        <f t="shared" si="46"/>
        <v>Duplicate ID</v>
      </c>
      <c r="Q723" t="str">
        <f t="shared" si="47"/>
        <v>10,000-14,999</v>
      </c>
      <c r="R723" s="6">
        <f>IF(COUNTIF($A$2:A723,A723)=1,1,0)</f>
        <v>1</v>
      </c>
    </row>
    <row r="724" spans="1:18" x14ac:dyDescent="0.25">
      <c r="A724" s="6">
        <v>1045</v>
      </c>
      <c r="B724" s="7">
        <v>45106</v>
      </c>
      <c r="C724" t="s">
        <v>79</v>
      </c>
      <c r="D724" s="6">
        <v>2021</v>
      </c>
      <c r="E724" s="8">
        <v>2849</v>
      </c>
      <c r="F724" s="8">
        <v>7000</v>
      </c>
      <c r="G724" s="8">
        <f t="shared" si="44"/>
        <v>4151</v>
      </c>
      <c r="H724" s="6">
        <v>60000</v>
      </c>
      <c r="I724" t="s">
        <v>41</v>
      </c>
      <c r="J724" t="s">
        <v>72</v>
      </c>
      <c r="K724" t="s">
        <v>36</v>
      </c>
      <c r="L724" t="s">
        <v>1647</v>
      </c>
      <c r="M724" t="s">
        <v>45</v>
      </c>
      <c r="N724" s="6">
        <v>0</v>
      </c>
      <c r="O724" t="str">
        <f t="shared" si="45"/>
        <v>Normal</v>
      </c>
      <c r="P724" t="str">
        <f t="shared" si="46"/>
        <v>Duplicate ID</v>
      </c>
      <c r="Q724" t="str">
        <f t="shared" si="47"/>
        <v>0-4,999</v>
      </c>
      <c r="R724" s="6">
        <f>IF(COUNTIF($A$2:A724,A724)=1,1,0)</f>
        <v>1</v>
      </c>
    </row>
    <row r="725" spans="1:18" x14ac:dyDescent="0.25">
      <c r="A725" s="6">
        <v>1437</v>
      </c>
      <c r="B725" s="7">
        <v>45085</v>
      </c>
      <c r="C725" t="s">
        <v>51</v>
      </c>
      <c r="D725" s="6">
        <v>2018</v>
      </c>
      <c r="E725" s="8">
        <v>11207</v>
      </c>
      <c r="F725" s="8">
        <v>15000</v>
      </c>
      <c r="G725" s="8">
        <f t="shared" si="44"/>
        <v>3793</v>
      </c>
      <c r="H725" s="6">
        <v>15000</v>
      </c>
      <c r="I725" t="s">
        <v>41</v>
      </c>
      <c r="J725" t="s">
        <v>1647</v>
      </c>
      <c r="K725" t="s">
        <v>96</v>
      </c>
      <c r="L725" t="s">
        <v>54</v>
      </c>
      <c r="M725" t="s">
        <v>1647</v>
      </c>
      <c r="N725" s="6">
        <v>3</v>
      </c>
      <c r="O725" t="str">
        <f t="shared" si="45"/>
        <v>Normal</v>
      </c>
      <c r="P725" t="str">
        <f t="shared" si="46"/>
        <v>Duplicate ID</v>
      </c>
      <c r="Q725" t="str">
        <f t="shared" si="47"/>
        <v>10,000-14,999</v>
      </c>
      <c r="R725" s="6">
        <f>IF(COUNTIF($A$2:A725,A725)=1,1,0)</f>
        <v>0</v>
      </c>
    </row>
    <row r="726" spans="1:18" x14ac:dyDescent="0.25">
      <c r="A726" s="6">
        <v>1243</v>
      </c>
      <c r="B726" s="7">
        <v>45154</v>
      </c>
      <c r="C726" t="s">
        <v>1648</v>
      </c>
      <c r="D726" s="6"/>
      <c r="E726" s="8">
        <v>13877</v>
      </c>
      <c r="F726" s="8">
        <v>18000</v>
      </c>
      <c r="G726" s="8">
        <f t="shared" si="44"/>
        <v>4123</v>
      </c>
      <c r="H726" s="6">
        <v>25000</v>
      </c>
      <c r="I726" t="s">
        <v>69</v>
      </c>
      <c r="J726" t="s">
        <v>35</v>
      </c>
      <c r="K726" t="s">
        <v>36</v>
      </c>
      <c r="L726" t="s">
        <v>1647</v>
      </c>
      <c r="M726" t="s">
        <v>45</v>
      </c>
      <c r="N726" s="6">
        <v>2</v>
      </c>
      <c r="O726" t="str">
        <f t="shared" si="45"/>
        <v>Normal</v>
      </c>
      <c r="P726" t="str">
        <f t="shared" si="46"/>
        <v>Duplicate ID</v>
      </c>
      <c r="Q726" t="str">
        <f t="shared" si="47"/>
        <v>10,000-14,999</v>
      </c>
      <c r="R726" s="6">
        <f>IF(COUNTIF($A$2:A726,A726)=1,1,0)</f>
        <v>0</v>
      </c>
    </row>
    <row r="727" spans="1:18" x14ac:dyDescent="0.25">
      <c r="A727" s="6">
        <v>1012</v>
      </c>
      <c r="B727" s="7">
        <v>44710</v>
      </c>
      <c r="C727" t="s">
        <v>79</v>
      </c>
      <c r="D727" s="6">
        <v>2014</v>
      </c>
      <c r="E727" s="8">
        <v>14799</v>
      </c>
      <c r="F727" s="8">
        <v>18000</v>
      </c>
      <c r="G727" s="8">
        <f t="shared" si="44"/>
        <v>3201</v>
      </c>
      <c r="H727" s="6">
        <v>40000</v>
      </c>
      <c r="I727" t="s">
        <v>69</v>
      </c>
      <c r="J727" t="s">
        <v>35</v>
      </c>
      <c r="K727" t="s">
        <v>96</v>
      </c>
      <c r="L727" t="s">
        <v>48</v>
      </c>
      <c r="M727" t="s">
        <v>126</v>
      </c>
      <c r="N727" s="6">
        <v>3</v>
      </c>
      <c r="O727" t="str">
        <f t="shared" si="45"/>
        <v>Normal</v>
      </c>
      <c r="P727" t="str">
        <f t="shared" si="46"/>
        <v>Duplicate ID</v>
      </c>
      <c r="Q727" t="str">
        <f t="shared" si="47"/>
        <v>10,000-14,999</v>
      </c>
      <c r="R727" s="6">
        <f>IF(COUNTIF($A$2:A727,A727)=1,1,0)</f>
        <v>1</v>
      </c>
    </row>
    <row r="728" spans="1:18" x14ac:dyDescent="0.25">
      <c r="A728" s="6">
        <v>1223</v>
      </c>
      <c r="B728" s="7">
        <v>45336</v>
      </c>
      <c r="C728" t="s">
        <v>40</v>
      </c>
      <c r="D728" s="6">
        <v>2021</v>
      </c>
      <c r="E728" s="8">
        <v>2067</v>
      </c>
      <c r="F728" s="8">
        <v>7000</v>
      </c>
      <c r="G728" s="8">
        <f t="shared" si="44"/>
        <v>4933</v>
      </c>
      <c r="H728" s="6">
        <v>40000</v>
      </c>
      <c r="I728" t="s">
        <v>69</v>
      </c>
      <c r="J728" t="s">
        <v>35</v>
      </c>
      <c r="K728" t="s">
        <v>96</v>
      </c>
      <c r="L728" t="s">
        <v>100</v>
      </c>
      <c r="M728" t="s">
        <v>45</v>
      </c>
      <c r="N728" s="6">
        <v>2</v>
      </c>
      <c r="O728" t="str">
        <f t="shared" si="45"/>
        <v>Normal</v>
      </c>
      <c r="P728" t="str">
        <f t="shared" si="46"/>
        <v>Duplicate ID</v>
      </c>
      <c r="Q728" t="str">
        <f t="shared" si="47"/>
        <v>0-4,999</v>
      </c>
      <c r="R728" s="6">
        <f>IF(COUNTIF($A$2:A728,A728)=1,1,0)</f>
        <v>0</v>
      </c>
    </row>
    <row r="729" spans="1:18" x14ac:dyDescent="0.25">
      <c r="A729" s="6">
        <v>1150</v>
      </c>
      <c r="B729" s="7">
        <v>44554</v>
      </c>
      <c r="C729" t="s">
        <v>119</v>
      </c>
      <c r="D729" s="6">
        <v>2021</v>
      </c>
      <c r="E729" s="8">
        <v>5837</v>
      </c>
      <c r="F729" s="8">
        <v>12000</v>
      </c>
      <c r="G729" s="8">
        <f t="shared" si="44"/>
        <v>6163</v>
      </c>
      <c r="H729" s="6">
        <v>25000</v>
      </c>
      <c r="I729" t="s">
        <v>41</v>
      </c>
      <c r="J729" t="s">
        <v>35</v>
      </c>
      <c r="K729" t="s">
        <v>1647</v>
      </c>
      <c r="L729" t="s">
        <v>48</v>
      </c>
      <c r="M729" t="s">
        <v>45</v>
      </c>
      <c r="N729" s="6">
        <v>0</v>
      </c>
      <c r="O729" t="str">
        <f t="shared" si="45"/>
        <v>Normal</v>
      </c>
      <c r="P729" t="str">
        <f t="shared" si="46"/>
        <v>Duplicate ID</v>
      </c>
      <c r="Q729" t="str">
        <f t="shared" si="47"/>
        <v>5,000-9,999</v>
      </c>
      <c r="R729" s="6">
        <f>IF(COUNTIF($A$2:A729,A729)=1,1,0)</f>
        <v>0</v>
      </c>
    </row>
    <row r="730" spans="1:18" x14ac:dyDescent="0.25">
      <c r="A730" s="6">
        <v>1553</v>
      </c>
      <c r="B730" s="7">
        <v>44920</v>
      </c>
      <c r="C730" t="s">
        <v>119</v>
      </c>
      <c r="D730" s="6">
        <v>2014</v>
      </c>
      <c r="E730" s="8">
        <v>16868</v>
      </c>
      <c r="F730" s="8">
        <v>18000</v>
      </c>
      <c r="G730" s="8">
        <f t="shared" si="44"/>
        <v>1132</v>
      </c>
      <c r="H730" s="6">
        <v>40000</v>
      </c>
      <c r="I730" t="s">
        <v>41</v>
      </c>
      <c r="J730" t="s">
        <v>1647</v>
      </c>
      <c r="K730" t="s">
        <v>96</v>
      </c>
      <c r="L730" t="s">
        <v>73</v>
      </c>
      <c r="M730" t="s">
        <v>1647</v>
      </c>
      <c r="N730" s="6">
        <v>0</v>
      </c>
      <c r="O730" t="str">
        <f t="shared" si="45"/>
        <v>Normal</v>
      </c>
      <c r="P730" t="str">
        <f t="shared" si="46"/>
        <v>Duplicate ID</v>
      </c>
      <c r="Q730" t="str">
        <f t="shared" si="47"/>
        <v>15,000-19,999</v>
      </c>
      <c r="R730" s="6">
        <f>IF(COUNTIF($A$2:A730,A730)=1,1,0)</f>
        <v>0</v>
      </c>
    </row>
    <row r="731" spans="1:18" x14ac:dyDescent="0.25">
      <c r="A731" s="6">
        <v>1073</v>
      </c>
      <c r="B731" s="7">
        <v>45048</v>
      </c>
      <c r="C731" t="s">
        <v>119</v>
      </c>
      <c r="D731" s="6">
        <v>2017</v>
      </c>
      <c r="E731" s="8">
        <v>17958</v>
      </c>
      <c r="F731" s="8">
        <v>22000</v>
      </c>
      <c r="G731" s="8">
        <f t="shared" si="44"/>
        <v>4042</v>
      </c>
      <c r="H731" s="6">
        <v>80000</v>
      </c>
      <c r="I731" t="s">
        <v>69</v>
      </c>
      <c r="J731" t="s">
        <v>1647</v>
      </c>
      <c r="K731" t="s">
        <v>96</v>
      </c>
      <c r="L731" t="s">
        <v>54</v>
      </c>
      <c r="M731" t="s">
        <v>98</v>
      </c>
      <c r="N731" s="6">
        <v>2</v>
      </c>
      <c r="O731" t="str">
        <f t="shared" si="45"/>
        <v>Normal</v>
      </c>
      <c r="P731" t="str">
        <f t="shared" si="46"/>
        <v>Duplicate ID</v>
      </c>
      <c r="Q731" t="str">
        <f t="shared" si="47"/>
        <v>15,000-19,999</v>
      </c>
      <c r="R731" s="6">
        <f>IF(COUNTIF($A$2:A731,A731)=1,1,0)</f>
        <v>0</v>
      </c>
    </row>
    <row r="732" spans="1:18" x14ac:dyDescent="0.25">
      <c r="A732" s="6">
        <v>1297</v>
      </c>
      <c r="B732" s="7">
        <v>44288</v>
      </c>
      <c r="C732" t="s">
        <v>1648</v>
      </c>
      <c r="D732" s="6">
        <v>2018</v>
      </c>
      <c r="E732" s="8">
        <v>2983</v>
      </c>
      <c r="F732" s="8">
        <v>7000</v>
      </c>
      <c r="G732" s="8">
        <f t="shared" si="44"/>
        <v>4017</v>
      </c>
      <c r="H732" s="6">
        <v>25000</v>
      </c>
      <c r="I732" t="s">
        <v>58</v>
      </c>
      <c r="J732" t="s">
        <v>72</v>
      </c>
      <c r="K732" t="s">
        <v>1647</v>
      </c>
      <c r="L732" t="s">
        <v>1647</v>
      </c>
      <c r="M732" t="s">
        <v>45</v>
      </c>
      <c r="N732" s="6">
        <v>1</v>
      </c>
      <c r="O732" t="str">
        <f t="shared" si="45"/>
        <v>Normal</v>
      </c>
      <c r="P732" t="str">
        <f t="shared" si="46"/>
        <v>Duplicate ID</v>
      </c>
      <c r="Q732" t="str">
        <f t="shared" si="47"/>
        <v>0-4,999</v>
      </c>
      <c r="R732" s="6">
        <f>IF(COUNTIF($A$2:A732,A732)=1,1,0)</f>
        <v>1</v>
      </c>
    </row>
    <row r="733" spans="1:18" x14ac:dyDescent="0.25">
      <c r="A733" s="6">
        <v>1390</v>
      </c>
      <c r="B733" s="7">
        <v>44504</v>
      </c>
      <c r="C733" t="s">
        <v>79</v>
      </c>
      <c r="D733" s="6"/>
      <c r="E733" s="8">
        <v>51</v>
      </c>
      <c r="F733" s="8">
        <v>7000</v>
      </c>
      <c r="G733" s="8">
        <f t="shared" si="44"/>
        <v>6949</v>
      </c>
      <c r="H733" s="6">
        <v>120000</v>
      </c>
      <c r="I733" t="s">
        <v>58</v>
      </c>
      <c r="J733" t="s">
        <v>1647</v>
      </c>
      <c r="K733" t="s">
        <v>1647</v>
      </c>
      <c r="L733" t="s">
        <v>1647</v>
      </c>
      <c r="M733" t="s">
        <v>98</v>
      </c>
      <c r="N733" s="6" t="s">
        <v>1647</v>
      </c>
      <c r="O733" t="str">
        <f t="shared" si="45"/>
        <v>Outlier</v>
      </c>
      <c r="P733" t="str">
        <f t="shared" si="46"/>
        <v>Duplicate ID</v>
      </c>
      <c r="Q733" t="str">
        <f t="shared" si="47"/>
        <v>0-4,999</v>
      </c>
      <c r="R733" s="6">
        <f>IF(COUNTIF($A$2:A733,A733)=1,1,0)</f>
        <v>0</v>
      </c>
    </row>
    <row r="734" spans="1:18" x14ac:dyDescent="0.25">
      <c r="A734" s="6">
        <v>1532</v>
      </c>
      <c r="B734" s="7">
        <v>45271</v>
      </c>
      <c r="C734" t="s">
        <v>32</v>
      </c>
      <c r="D734" s="6">
        <v>2022</v>
      </c>
      <c r="E734" s="8">
        <v>2131</v>
      </c>
      <c r="F734" s="8">
        <v>7000</v>
      </c>
      <c r="G734" s="8">
        <f t="shared" si="44"/>
        <v>4869</v>
      </c>
      <c r="H734" s="6">
        <v>80000</v>
      </c>
      <c r="I734" t="s">
        <v>69</v>
      </c>
      <c r="J734" t="s">
        <v>35</v>
      </c>
      <c r="K734" t="s">
        <v>96</v>
      </c>
      <c r="L734" t="s">
        <v>100</v>
      </c>
      <c r="M734" t="s">
        <v>45</v>
      </c>
      <c r="N734" s="6">
        <v>1</v>
      </c>
      <c r="O734" t="str">
        <f t="shared" si="45"/>
        <v>Normal</v>
      </c>
      <c r="P734" t="str">
        <f t="shared" si="46"/>
        <v>Duplicate ID</v>
      </c>
      <c r="Q734" t="str">
        <f t="shared" si="47"/>
        <v>0-4,999</v>
      </c>
      <c r="R734" s="6">
        <f>IF(COUNTIF($A$2:A734,A734)=1,1,0)</f>
        <v>0</v>
      </c>
    </row>
    <row r="735" spans="1:18" x14ac:dyDescent="0.25">
      <c r="A735" s="6">
        <v>1419</v>
      </c>
      <c r="B735" s="7">
        <v>45108</v>
      </c>
      <c r="C735" t="s">
        <v>1648</v>
      </c>
      <c r="D735" s="6">
        <v>2019</v>
      </c>
      <c r="E735" s="8">
        <v>6026</v>
      </c>
      <c r="F735" s="8">
        <v>9000</v>
      </c>
      <c r="G735" s="8">
        <f t="shared" si="44"/>
        <v>2974</v>
      </c>
      <c r="H735" s="6">
        <v>120000</v>
      </c>
      <c r="I735" t="s">
        <v>69</v>
      </c>
      <c r="J735" t="s">
        <v>72</v>
      </c>
      <c r="K735" t="s">
        <v>1647</v>
      </c>
      <c r="L735" t="s">
        <v>100</v>
      </c>
      <c r="M735" t="s">
        <v>98</v>
      </c>
      <c r="N735" s="6">
        <v>3</v>
      </c>
      <c r="O735" t="str">
        <f t="shared" si="45"/>
        <v>Normal</v>
      </c>
      <c r="P735" t="str">
        <f t="shared" si="46"/>
        <v>Duplicate ID</v>
      </c>
      <c r="Q735" t="str">
        <f t="shared" si="47"/>
        <v>5,000-9,999</v>
      </c>
      <c r="R735" s="6">
        <f>IF(COUNTIF($A$2:A735,A735)=1,1,0)</f>
        <v>0</v>
      </c>
    </row>
    <row r="736" spans="1:18" x14ac:dyDescent="0.25">
      <c r="A736" s="6">
        <v>1598</v>
      </c>
      <c r="B736" s="7">
        <v>45031</v>
      </c>
      <c r="C736" t="s">
        <v>119</v>
      </c>
      <c r="D736" s="6"/>
      <c r="E736" s="8">
        <v>8994</v>
      </c>
      <c r="F736" s="8">
        <v>12000</v>
      </c>
      <c r="G736" s="8">
        <f t="shared" si="44"/>
        <v>3006</v>
      </c>
      <c r="H736" s="6">
        <v>80000</v>
      </c>
      <c r="I736" t="s">
        <v>69</v>
      </c>
      <c r="J736" t="s">
        <v>72</v>
      </c>
      <c r="K736" t="s">
        <v>36</v>
      </c>
      <c r="L736" t="s">
        <v>73</v>
      </c>
      <c r="M736" t="s">
        <v>98</v>
      </c>
      <c r="N736" s="6">
        <v>3</v>
      </c>
      <c r="O736" t="str">
        <f t="shared" si="45"/>
        <v>Normal</v>
      </c>
      <c r="P736" t="str">
        <f t="shared" si="46"/>
        <v>Duplicate ID</v>
      </c>
      <c r="Q736" t="str">
        <f t="shared" si="47"/>
        <v>5,000-9,999</v>
      </c>
      <c r="R736" s="6">
        <f>IF(COUNTIF($A$2:A736,A736)=1,1,0)</f>
        <v>0</v>
      </c>
    </row>
    <row r="737" spans="1:18" x14ac:dyDescent="0.25">
      <c r="A737" s="6">
        <v>1464</v>
      </c>
      <c r="B737" s="7">
        <v>44565</v>
      </c>
      <c r="C737" t="s">
        <v>32</v>
      </c>
      <c r="D737" s="6"/>
      <c r="E737" s="8">
        <v>28378</v>
      </c>
      <c r="F737" s="8">
        <v>31000</v>
      </c>
      <c r="G737" s="8">
        <f t="shared" si="44"/>
        <v>2622</v>
      </c>
      <c r="H737" s="6">
        <v>120000</v>
      </c>
      <c r="I737" t="s">
        <v>1647</v>
      </c>
      <c r="J737" t="s">
        <v>35</v>
      </c>
      <c r="K737" t="s">
        <v>36</v>
      </c>
      <c r="L737" t="s">
        <v>73</v>
      </c>
      <c r="M737" t="s">
        <v>98</v>
      </c>
      <c r="N737" s="6">
        <v>0</v>
      </c>
      <c r="O737" t="str">
        <f t="shared" si="45"/>
        <v>Normal</v>
      </c>
      <c r="P737" t="str">
        <f t="shared" si="46"/>
        <v>Duplicate ID</v>
      </c>
      <c r="Q737" t="str">
        <f t="shared" si="47"/>
        <v>25,000-30,000</v>
      </c>
      <c r="R737" s="6">
        <f>IF(COUNTIF($A$2:A737,A737)=1,1,0)</f>
        <v>0</v>
      </c>
    </row>
    <row r="738" spans="1:18" x14ac:dyDescent="0.25">
      <c r="A738" s="6">
        <v>1432</v>
      </c>
      <c r="B738" s="7">
        <v>44991</v>
      </c>
      <c r="C738" t="s">
        <v>57</v>
      </c>
      <c r="D738" s="6">
        <v>2015</v>
      </c>
      <c r="E738" s="8">
        <v>6664</v>
      </c>
      <c r="F738" s="8">
        <v>12000</v>
      </c>
      <c r="G738" s="8">
        <f t="shared" si="44"/>
        <v>5336</v>
      </c>
      <c r="H738" s="6">
        <v>80000</v>
      </c>
      <c r="I738" t="s">
        <v>69</v>
      </c>
      <c r="J738" t="s">
        <v>35</v>
      </c>
      <c r="K738" t="s">
        <v>96</v>
      </c>
      <c r="L738" t="s">
        <v>54</v>
      </c>
      <c r="M738" t="s">
        <v>126</v>
      </c>
      <c r="N738" s="6">
        <v>0</v>
      </c>
      <c r="O738" t="str">
        <f t="shared" si="45"/>
        <v>Normal</v>
      </c>
      <c r="P738" t="str">
        <f t="shared" si="46"/>
        <v>Duplicate ID</v>
      </c>
      <c r="Q738" t="str">
        <f t="shared" si="47"/>
        <v>5,000-9,999</v>
      </c>
      <c r="R738" s="6">
        <f>IF(COUNTIF($A$2:A738,A738)=1,1,0)</f>
        <v>0</v>
      </c>
    </row>
    <row r="739" spans="1:18" x14ac:dyDescent="0.25">
      <c r="A739" s="6">
        <v>1446</v>
      </c>
      <c r="B739" s="7">
        <v>45118</v>
      </c>
      <c r="C739" t="s">
        <v>40</v>
      </c>
      <c r="D739" s="6">
        <v>2019</v>
      </c>
      <c r="E739" s="8">
        <v>24833</v>
      </c>
      <c r="F739" s="8">
        <v>31000</v>
      </c>
      <c r="G739" s="8">
        <f t="shared" si="44"/>
        <v>6167</v>
      </c>
      <c r="H739" s="6">
        <v>60000</v>
      </c>
      <c r="I739" t="s">
        <v>58</v>
      </c>
      <c r="J739" t="s">
        <v>1647</v>
      </c>
      <c r="K739" t="s">
        <v>1647</v>
      </c>
      <c r="L739" t="s">
        <v>73</v>
      </c>
      <c r="M739" t="s">
        <v>90</v>
      </c>
      <c r="N739" s="6">
        <v>0</v>
      </c>
      <c r="O739" t="str">
        <f t="shared" si="45"/>
        <v>Normal</v>
      </c>
      <c r="P739" t="str">
        <f t="shared" si="46"/>
        <v>Duplicate ID</v>
      </c>
      <c r="Q739" t="str">
        <f t="shared" si="47"/>
        <v>20,000-24,999</v>
      </c>
      <c r="R739" s="6">
        <f>IF(COUNTIF($A$2:A739,A739)=1,1,0)</f>
        <v>0</v>
      </c>
    </row>
    <row r="740" spans="1:18" x14ac:dyDescent="0.25">
      <c r="A740" s="6">
        <v>1180</v>
      </c>
      <c r="B740" s="7">
        <v>45095</v>
      </c>
      <c r="C740" t="s">
        <v>79</v>
      </c>
      <c r="D740" s="6">
        <v>2018</v>
      </c>
      <c r="E740" s="8">
        <v>27375</v>
      </c>
      <c r="F740" s="8">
        <v>31000</v>
      </c>
      <c r="G740" s="8">
        <f t="shared" si="44"/>
        <v>3625</v>
      </c>
      <c r="H740" s="6">
        <v>60000</v>
      </c>
      <c r="I740" t="s">
        <v>41</v>
      </c>
      <c r="J740" t="s">
        <v>35</v>
      </c>
      <c r="K740" t="s">
        <v>96</v>
      </c>
      <c r="L740" t="s">
        <v>48</v>
      </c>
      <c r="M740" t="s">
        <v>45</v>
      </c>
      <c r="N740" s="6">
        <v>0</v>
      </c>
      <c r="O740" t="str">
        <f t="shared" si="45"/>
        <v>Normal</v>
      </c>
      <c r="P740" t="str">
        <f t="shared" si="46"/>
        <v>Duplicate ID</v>
      </c>
      <c r="Q740" t="str">
        <f t="shared" si="47"/>
        <v>25,000-30,000</v>
      </c>
      <c r="R740" s="6">
        <f>IF(COUNTIF($A$2:A740,A740)=1,1,0)</f>
        <v>1</v>
      </c>
    </row>
    <row r="741" spans="1:18" x14ac:dyDescent="0.25">
      <c r="A741" s="6">
        <v>1146</v>
      </c>
      <c r="B741" s="7">
        <v>44562</v>
      </c>
      <c r="C741" t="s">
        <v>1648</v>
      </c>
      <c r="D741" s="6">
        <v>2018</v>
      </c>
      <c r="E741" s="8">
        <v>18391</v>
      </c>
      <c r="F741" s="8">
        <v>22000</v>
      </c>
      <c r="G741" s="8">
        <f t="shared" si="44"/>
        <v>3609</v>
      </c>
      <c r="H741" s="6">
        <v>60000</v>
      </c>
      <c r="I741" t="s">
        <v>58</v>
      </c>
      <c r="J741" t="s">
        <v>72</v>
      </c>
      <c r="K741" t="s">
        <v>1647</v>
      </c>
      <c r="L741" t="s">
        <v>54</v>
      </c>
      <c r="M741" t="s">
        <v>45</v>
      </c>
      <c r="N741" s="6">
        <v>0</v>
      </c>
      <c r="O741" t="str">
        <f t="shared" si="45"/>
        <v>Normal</v>
      </c>
      <c r="P741" t="str">
        <f t="shared" si="46"/>
        <v>Duplicate ID</v>
      </c>
      <c r="Q741" t="str">
        <f t="shared" si="47"/>
        <v>15,000-19,999</v>
      </c>
      <c r="R741" s="6">
        <f>IF(COUNTIF($A$2:A741,A741)=1,1,0)</f>
        <v>0</v>
      </c>
    </row>
    <row r="742" spans="1:18" x14ac:dyDescent="0.25">
      <c r="A742" s="6">
        <v>1498</v>
      </c>
      <c r="B742" s="7">
        <v>44757</v>
      </c>
      <c r="C742" t="s">
        <v>79</v>
      </c>
      <c r="D742" s="6">
        <v>2018</v>
      </c>
      <c r="E742" s="8">
        <v>8642</v>
      </c>
      <c r="F742" s="8">
        <v>12000</v>
      </c>
      <c r="G742" s="8">
        <f t="shared" si="44"/>
        <v>3358</v>
      </c>
      <c r="H742" s="6">
        <v>15000</v>
      </c>
      <c r="I742" t="s">
        <v>69</v>
      </c>
      <c r="J742" t="s">
        <v>1647</v>
      </c>
      <c r="K742" t="s">
        <v>36</v>
      </c>
      <c r="L742" t="s">
        <v>100</v>
      </c>
      <c r="M742" t="s">
        <v>45</v>
      </c>
      <c r="N742" s="6">
        <v>1</v>
      </c>
      <c r="O742" t="str">
        <f t="shared" si="45"/>
        <v>Normal</v>
      </c>
      <c r="P742" t="str">
        <f t="shared" si="46"/>
        <v>Duplicate ID</v>
      </c>
      <c r="Q742" t="str">
        <f t="shared" si="47"/>
        <v>5,000-9,999</v>
      </c>
      <c r="R742" s="6">
        <f>IF(COUNTIF($A$2:A742,A742)=1,1,0)</f>
        <v>0</v>
      </c>
    </row>
    <row r="743" spans="1:18" x14ac:dyDescent="0.25">
      <c r="A743" s="6">
        <v>1552</v>
      </c>
      <c r="B743" s="7">
        <v>44278</v>
      </c>
      <c r="C743" t="s">
        <v>32</v>
      </c>
      <c r="D743" s="6">
        <v>2017</v>
      </c>
      <c r="E743" s="8">
        <v>6098</v>
      </c>
      <c r="F743" s="8">
        <v>12000</v>
      </c>
      <c r="G743" s="8">
        <f t="shared" si="44"/>
        <v>5902</v>
      </c>
      <c r="H743" s="6">
        <v>15000</v>
      </c>
      <c r="I743" t="s">
        <v>41</v>
      </c>
      <c r="J743" t="s">
        <v>72</v>
      </c>
      <c r="K743" t="s">
        <v>36</v>
      </c>
      <c r="L743" t="s">
        <v>54</v>
      </c>
      <c r="M743" t="s">
        <v>98</v>
      </c>
      <c r="N743" s="6">
        <v>3</v>
      </c>
      <c r="O743" t="str">
        <f t="shared" si="45"/>
        <v>Normal</v>
      </c>
      <c r="P743" t="str">
        <f t="shared" si="46"/>
        <v>Duplicate ID</v>
      </c>
      <c r="Q743" t="str">
        <f t="shared" si="47"/>
        <v>5,000-9,999</v>
      </c>
      <c r="R743" s="6">
        <f>IF(COUNTIF($A$2:A743,A743)=1,1,0)</f>
        <v>0</v>
      </c>
    </row>
    <row r="744" spans="1:18" x14ac:dyDescent="0.25">
      <c r="A744" s="6">
        <v>1455</v>
      </c>
      <c r="B744" s="7">
        <v>44442</v>
      </c>
      <c r="C744" t="s">
        <v>32</v>
      </c>
      <c r="D744" s="6">
        <v>2021</v>
      </c>
      <c r="E744" s="8">
        <v>11133</v>
      </c>
      <c r="F744" s="8">
        <v>18000</v>
      </c>
      <c r="G744" s="8">
        <f t="shared" si="44"/>
        <v>6867</v>
      </c>
      <c r="H744" s="6">
        <v>15000</v>
      </c>
      <c r="I744" t="s">
        <v>58</v>
      </c>
      <c r="J744" t="s">
        <v>72</v>
      </c>
      <c r="K744" t="s">
        <v>36</v>
      </c>
      <c r="L744" t="s">
        <v>54</v>
      </c>
      <c r="M744" t="s">
        <v>126</v>
      </c>
      <c r="N744" s="6">
        <v>1</v>
      </c>
      <c r="O744" t="str">
        <f t="shared" si="45"/>
        <v>Normal</v>
      </c>
      <c r="P744" t="str">
        <f t="shared" si="46"/>
        <v>Duplicate ID</v>
      </c>
      <c r="Q744" t="str">
        <f t="shared" si="47"/>
        <v>10,000-14,999</v>
      </c>
      <c r="R744" s="6">
        <f>IF(COUNTIF($A$2:A744,A744)=1,1,0)</f>
        <v>0</v>
      </c>
    </row>
    <row r="745" spans="1:18" x14ac:dyDescent="0.25">
      <c r="A745" s="6">
        <v>1464</v>
      </c>
      <c r="B745" s="7">
        <v>44762</v>
      </c>
      <c r="C745" t="s">
        <v>40</v>
      </c>
      <c r="D745" s="6">
        <v>2019</v>
      </c>
      <c r="E745" s="8">
        <v>8253</v>
      </c>
      <c r="F745" s="8">
        <v>12000</v>
      </c>
      <c r="G745" s="8">
        <f t="shared" si="44"/>
        <v>3747</v>
      </c>
      <c r="H745" s="6">
        <v>80000</v>
      </c>
      <c r="I745" t="s">
        <v>69</v>
      </c>
      <c r="J745" t="s">
        <v>35</v>
      </c>
      <c r="K745" t="s">
        <v>96</v>
      </c>
      <c r="L745" t="s">
        <v>73</v>
      </c>
      <c r="M745" t="s">
        <v>1647</v>
      </c>
      <c r="N745" s="6">
        <v>2</v>
      </c>
      <c r="O745" t="str">
        <f t="shared" si="45"/>
        <v>Normal</v>
      </c>
      <c r="P745" t="str">
        <f t="shared" si="46"/>
        <v>Duplicate ID</v>
      </c>
      <c r="Q745" t="str">
        <f t="shared" si="47"/>
        <v>5,000-9,999</v>
      </c>
      <c r="R745" s="6">
        <f>IF(COUNTIF($A$2:A745,A745)=1,1,0)</f>
        <v>0</v>
      </c>
    </row>
    <row r="746" spans="1:18" x14ac:dyDescent="0.25">
      <c r="A746" s="6">
        <v>1251</v>
      </c>
      <c r="B746" s="7">
        <v>44213</v>
      </c>
      <c r="C746" t="s">
        <v>57</v>
      </c>
      <c r="D746" s="6">
        <v>2022</v>
      </c>
      <c r="E746" s="8">
        <v>862</v>
      </c>
      <c r="F746" s="8">
        <v>7000</v>
      </c>
      <c r="G746" s="8">
        <f t="shared" si="44"/>
        <v>6138</v>
      </c>
      <c r="H746" s="6">
        <v>120000</v>
      </c>
      <c r="I746" t="s">
        <v>58</v>
      </c>
      <c r="J746" t="s">
        <v>72</v>
      </c>
      <c r="K746" t="s">
        <v>96</v>
      </c>
      <c r="L746" t="s">
        <v>100</v>
      </c>
      <c r="M746" t="s">
        <v>98</v>
      </c>
      <c r="N746" s="6">
        <v>1</v>
      </c>
      <c r="O746" t="str">
        <f t="shared" si="45"/>
        <v>Outlier</v>
      </c>
      <c r="P746" t="str">
        <f t="shared" si="46"/>
        <v>Duplicate ID</v>
      </c>
      <c r="Q746" t="str">
        <f t="shared" si="47"/>
        <v>0-4,999</v>
      </c>
      <c r="R746" s="6">
        <f>IF(COUNTIF($A$2:A746,A746)=1,1,0)</f>
        <v>0</v>
      </c>
    </row>
    <row r="747" spans="1:18" x14ac:dyDescent="0.25">
      <c r="A747" s="6">
        <v>1528</v>
      </c>
      <c r="B747" s="7">
        <v>44378</v>
      </c>
      <c r="C747" t="s">
        <v>1648</v>
      </c>
      <c r="D747" s="6">
        <v>2018</v>
      </c>
      <c r="E747" s="8">
        <v>5800</v>
      </c>
      <c r="F747" s="8">
        <v>12000</v>
      </c>
      <c r="G747" s="8">
        <f t="shared" si="44"/>
        <v>6200</v>
      </c>
      <c r="H747" s="6">
        <v>25000</v>
      </c>
      <c r="I747" t="s">
        <v>41</v>
      </c>
      <c r="J747" t="s">
        <v>72</v>
      </c>
      <c r="K747" t="s">
        <v>1647</v>
      </c>
      <c r="L747" t="s">
        <v>100</v>
      </c>
      <c r="M747" t="s">
        <v>90</v>
      </c>
      <c r="N747" s="6">
        <v>0</v>
      </c>
      <c r="O747" t="str">
        <f t="shared" si="45"/>
        <v>Normal</v>
      </c>
      <c r="P747" t="str">
        <f t="shared" si="46"/>
        <v>Duplicate ID</v>
      </c>
      <c r="Q747" t="str">
        <f t="shared" si="47"/>
        <v>5,000-9,999</v>
      </c>
      <c r="R747" s="6">
        <f>IF(COUNTIF($A$2:A747,A747)=1,1,0)</f>
        <v>0</v>
      </c>
    </row>
    <row r="748" spans="1:18" x14ac:dyDescent="0.25">
      <c r="A748" s="6">
        <v>1357</v>
      </c>
      <c r="B748" s="7">
        <v>44677</v>
      </c>
      <c r="C748" t="s">
        <v>1648</v>
      </c>
      <c r="D748" s="6">
        <v>2018</v>
      </c>
      <c r="E748" s="8">
        <v>20217</v>
      </c>
      <c r="F748" s="8">
        <v>26000</v>
      </c>
      <c r="G748" s="8">
        <f t="shared" si="44"/>
        <v>5783</v>
      </c>
      <c r="H748" s="6">
        <v>120000</v>
      </c>
      <c r="I748" t="s">
        <v>69</v>
      </c>
      <c r="J748" t="s">
        <v>35</v>
      </c>
      <c r="K748" t="s">
        <v>96</v>
      </c>
      <c r="L748" t="s">
        <v>48</v>
      </c>
      <c r="M748" t="s">
        <v>98</v>
      </c>
      <c r="N748" s="6">
        <v>3</v>
      </c>
      <c r="O748" t="str">
        <f t="shared" si="45"/>
        <v>Normal</v>
      </c>
      <c r="P748" t="str">
        <f t="shared" si="46"/>
        <v>Duplicate ID</v>
      </c>
      <c r="Q748" t="str">
        <f t="shared" si="47"/>
        <v>20,000-24,999</v>
      </c>
      <c r="R748" s="6">
        <f>IF(COUNTIF($A$2:A748,A748)=1,1,0)</f>
        <v>0</v>
      </c>
    </row>
    <row r="749" spans="1:18" x14ac:dyDescent="0.25">
      <c r="A749" s="6">
        <v>1115</v>
      </c>
      <c r="B749" s="7">
        <v>44645</v>
      </c>
      <c r="C749" t="s">
        <v>79</v>
      </c>
      <c r="D749" s="6">
        <v>2022</v>
      </c>
      <c r="E749" s="8">
        <v>29210</v>
      </c>
      <c r="F749" s="8">
        <v>31000</v>
      </c>
      <c r="G749" s="8">
        <f t="shared" si="44"/>
        <v>1790</v>
      </c>
      <c r="H749" s="6">
        <v>40000</v>
      </c>
      <c r="I749" t="s">
        <v>34</v>
      </c>
      <c r="J749" t="s">
        <v>72</v>
      </c>
      <c r="K749" t="s">
        <v>96</v>
      </c>
      <c r="L749" t="s">
        <v>100</v>
      </c>
      <c r="M749" t="s">
        <v>98</v>
      </c>
      <c r="N749" s="6">
        <v>0</v>
      </c>
      <c r="O749" t="str">
        <f t="shared" si="45"/>
        <v>Normal</v>
      </c>
      <c r="P749" t="str">
        <f t="shared" si="46"/>
        <v>Duplicate ID</v>
      </c>
      <c r="Q749" t="str">
        <f t="shared" si="47"/>
        <v>25,000-30,000</v>
      </c>
      <c r="R749" s="6">
        <f>IF(COUNTIF($A$2:A749,A749)=1,1,0)</f>
        <v>0</v>
      </c>
    </row>
    <row r="750" spans="1:18" x14ac:dyDescent="0.25">
      <c r="A750" s="6">
        <v>1407</v>
      </c>
      <c r="B750" s="7">
        <v>44908</v>
      </c>
      <c r="C750" t="s">
        <v>57</v>
      </c>
      <c r="D750" s="6">
        <v>2021</v>
      </c>
      <c r="E750" s="8">
        <v>20070</v>
      </c>
      <c r="F750" s="8">
        <v>22000</v>
      </c>
      <c r="G750" s="8">
        <f t="shared" si="44"/>
        <v>1930</v>
      </c>
      <c r="H750" s="6">
        <v>120000</v>
      </c>
      <c r="I750" t="s">
        <v>1647</v>
      </c>
      <c r="J750" t="s">
        <v>1647</v>
      </c>
      <c r="K750" t="s">
        <v>96</v>
      </c>
      <c r="L750" t="s">
        <v>100</v>
      </c>
      <c r="M750" t="s">
        <v>126</v>
      </c>
      <c r="N750" s="6">
        <v>2</v>
      </c>
      <c r="O750" t="str">
        <f t="shared" si="45"/>
        <v>Normal</v>
      </c>
      <c r="P750" t="str">
        <f t="shared" si="46"/>
        <v>Duplicate ID</v>
      </c>
      <c r="Q750" t="str">
        <f t="shared" si="47"/>
        <v>20,000-24,999</v>
      </c>
      <c r="R750" s="6">
        <f>IF(COUNTIF($A$2:A750,A750)=1,1,0)</f>
        <v>0</v>
      </c>
    </row>
    <row r="751" spans="1:18" x14ac:dyDescent="0.25">
      <c r="A751" s="6">
        <v>1330</v>
      </c>
      <c r="B751" s="7">
        <v>45348</v>
      </c>
      <c r="C751" t="s">
        <v>119</v>
      </c>
      <c r="D751" s="6">
        <v>2022</v>
      </c>
      <c r="E751" s="8">
        <v>13502</v>
      </c>
      <c r="F751" s="8">
        <v>15000</v>
      </c>
      <c r="G751" s="8">
        <f t="shared" si="44"/>
        <v>1498</v>
      </c>
      <c r="H751" s="6">
        <v>60000</v>
      </c>
      <c r="I751" t="s">
        <v>1647</v>
      </c>
      <c r="J751" t="s">
        <v>72</v>
      </c>
      <c r="K751" t="s">
        <v>96</v>
      </c>
      <c r="L751" t="s">
        <v>54</v>
      </c>
      <c r="M751" t="s">
        <v>126</v>
      </c>
      <c r="N751" s="6">
        <v>2</v>
      </c>
      <c r="O751" t="str">
        <f t="shared" si="45"/>
        <v>Normal</v>
      </c>
      <c r="P751" t="str">
        <f t="shared" si="46"/>
        <v>Duplicate ID</v>
      </c>
      <c r="Q751" t="str">
        <f t="shared" si="47"/>
        <v>10,000-14,999</v>
      </c>
      <c r="R751" s="6">
        <f>IF(COUNTIF($A$2:A751,A751)=1,1,0)</f>
        <v>0</v>
      </c>
    </row>
    <row r="752" spans="1:18" x14ac:dyDescent="0.25">
      <c r="A752" s="6">
        <v>1458</v>
      </c>
      <c r="B752" s="7">
        <v>44828</v>
      </c>
      <c r="C752" t="s">
        <v>1648</v>
      </c>
      <c r="D752" s="6">
        <v>2017</v>
      </c>
      <c r="E752" s="8">
        <v>20627</v>
      </c>
      <c r="F752" s="8">
        <v>22000</v>
      </c>
      <c r="G752" s="8">
        <f t="shared" si="44"/>
        <v>1373</v>
      </c>
      <c r="H752" s="6">
        <v>120000</v>
      </c>
      <c r="I752" t="s">
        <v>58</v>
      </c>
      <c r="J752" t="s">
        <v>35</v>
      </c>
      <c r="K752" t="s">
        <v>1647</v>
      </c>
      <c r="L752" t="s">
        <v>54</v>
      </c>
      <c r="M752" t="s">
        <v>90</v>
      </c>
      <c r="N752" s="6" t="s">
        <v>1647</v>
      </c>
      <c r="O752" t="str">
        <f t="shared" si="45"/>
        <v>Normal</v>
      </c>
      <c r="P752" t="str">
        <f t="shared" si="46"/>
        <v>Duplicate ID</v>
      </c>
      <c r="Q752" t="str">
        <f t="shared" si="47"/>
        <v>20,000-24,999</v>
      </c>
      <c r="R752" s="6">
        <f>IF(COUNTIF($A$2:A752,A752)=1,1,0)</f>
        <v>1</v>
      </c>
    </row>
    <row r="753" spans="1:18" x14ac:dyDescent="0.25">
      <c r="A753" s="6">
        <v>1361</v>
      </c>
      <c r="B753" s="7">
        <v>44879</v>
      </c>
      <c r="C753" t="s">
        <v>40</v>
      </c>
      <c r="D753" s="6">
        <v>2014</v>
      </c>
      <c r="E753" s="8">
        <v>19227</v>
      </c>
      <c r="F753" s="8">
        <v>26000</v>
      </c>
      <c r="G753" s="8">
        <f t="shared" si="44"/>
        <v>6773</v>
      </c>
      <c r="H753" s="6">
        <v>15000</v>
      </c>
      <c r="I753" t="s">
        <v>58</v>
      </c>
      <c r="J753" t="s">
        <v>72</v>
      </c>
      <c r="K753" t="s">
        <v>1647</v>
      </c>
      <c r="L753" t="s">
        <v>100</v>
      </c>
      <c r="M753" t="s">
        <v>90</v>
      </c>
      <c r="N753" s="6" t="s">
        <v>1647</v>
      </c>
      <c r="O753" t="str">
        <f t="shared" si="45"/>
        <v>Normal</v>
      </c>
      <c r="P753" t="str">
        <f t="shared" si="46"/>
        <v>Duplicate ID</v>
      </c>
      <c r="Q753" t="str">
        <f t="shared" si="47"/>
        <v>15,000-19,999</v>
      </c>
      <c r="R753" s="6">
        <f>IF(COUNTIF($A$2:A753,A753)=1,1,0)</f>
        <v>1</v>
      </c>
    </row>
    <row r="754" spans="1:18" x14ac:dyDescent="0.25">
      <c r="A754" s="6">
        <v>1423</v>
      </c>
      <c r="B754" s="7">
        <v>44875</v>
      </c>
      <c r="C754" t="s">
        <v>79</v>
      </c>
      <c r="D754" s="6">
        <v>2017</v>
      </c>
      <c r="E754" s="8">
        <v>13938</v>
      </c>
      <c r="F754" s="8">
        <v>18000</v>
      </c>
      <c r="G754" s="8">
        <f t="shared" si="44"/>
        <v>4062</v>
      </c>
      <c r="H754" s="6">
        <v>25000</v>
      </c>
      <c r="I754" t="s">
        <v>41</v>
      </c>
      <c r="J754" t="s">
        <v>35</v>
      </c>
      <c r="K754" t="s">
        <v>1647</v>
      </c>
      <c r="L754" t="s">
        <v>73</v>
      </c>
      <c r="M754" t="s">
        <v>1647</v>
      </c>
      <c r="N754" s="6">
        <v>3</v>
      </c>
      <c r="O754" t="str">
        <f t="shared" si="45"/>
        <v>Normal</v>
      </c>
      <c r="P754" t="str">
        <f t="shared" si="46"/>
        <v>Duplicate ID</v>
      </c>
      <c r="Q754" t="str">
        <f t="shared" si="47"/>
        <v>10,000-14,999</v>
      </c>
      <c r="R754" s="6">
        <f>IF(COUNTIF($A$2:A754,A754)=1,1,0)</f>
        <v>0</v>
      </c>
    </row>
    <row r="755" spans="1:18" x14ac:dyDescent="0.25">
      <c r="A755" s="6">
        <v>1235</v>
      </c>
      <c r="B755" s="7">
        <v>44246</v>
      </c>
      <c r="C755" t="s">
        <v>1648</v>
      </c>
      <c r="D755" s="6">
        <v>2014</v>
      </c>
      <c r="E755" s="8">
        <v>8531</v>
      </c>
      <c r="F755" s="8">
        <v>12000</v>
      </c>
      <c r="G755" s="8">
        <f t="shared" si="44"/>
        <v>3469</v>
      </c>
      <c r="H755" s="6">
        <v>40000</v>
      </c>
      <c r="I755" t="s">
        <v>41</v>
      </c>
      <c r="J755" t="s">
        <v>72</v>
      </c>
      <c r="K755" t="s">
        <v>96</v>
      </c>
      <c r="L755" t="s">
        <v>100</v>
      </c>
      <c r="M755" t="s">
        <v>45</v>
      </c>
      <c r="N755" s="6">
        <v>0</v>
      </c>
      <c r="O755" t="str">
        <f t="shared" si="45"/>
        <v>Normal</v>
      </c>
      <c r="P755" t="str">
        <f t="shared" si="46"/>
        <v>Duplicate ID</v>
      </c>
      <c r="Q755" t="str">
        <f t="shared" si="47"/>
        <v>5,000-9,999</v>
      </c>
      <c r="R755" s="6">
        <f>IF(COUNTIF($A$2:A755,A755)=1,1,0)</f>
        <v>1</v>
      </c>
    </row>
    <row r="756" spans="1:18" x14ac:dyDescent="0.25">
      <c r="A756" s="6">
        <v>1155</v>
      </c>
      <c r="B756" s="7">
        <v>45306</v>
      </c>
      <c r="C756" t="s">
        <v>40</v>
      </c>
      <c r="D756" s="6">
        <v>2015</v>
      </c>
      <c r="E756" s="8">
        <v>24880</v>
      </c>
      <c r="F756" s="8">
        <v>26000</v>
      </c>
      <c r="G756" s="8">
        <f t="shared" si="44"/>
        <v>1120</v>
      </c>
      <c r="H756" s="6">
        <v>15000</v>
      </c>
      <c r="I756" t="s">
        <v>69</v>
      </c>
      <c r="J756" t="s">
        <v>72</v>
      </c>
      <c r="K756" t="s">
        <v>96</v>
      </c>
      <c r="L756" t="s">
        <v>1647</v>
      </c>
      <c r="M756" t="s">
        <v>126</v>
      </c>
      <c r="N756" s="6">
        <v>2</v>
      </c>
      <c r="O756" t="str">
        <f t="shared" si="45"/>
        <v>Normal</v>
      </c>
      <c r="P756" t="str">
        <f t="shared" si="46"/>
        <v>Duplicate ID</v>
      </c>
      <c r="Q756" t="str">
        <f t="shared" si="47"/>
        <v>20,000-24,999</v>
      </c>
      <c r="R756" s="6">
        <f>IF(COUNTIF($A$2:A756,A756)=1,1,0)</f>
        <v>1</v>
      </c>
    </row>
    <row r="757" spans="1:18" x14ac:dyDescent="0.25">
      <c r="A757" s="6">
        <v>1482</v>
      </c>
      <c r="B757" s="7">
        <v>45377</v>
      </c>
      <c r="C757" t="s">
        <v>119</v>
      </c>
      <c r="D757" s="6">
        <v>2021</v>
      </c>
      <c r="E757" s="8">
        <v>11836</v>
      </c>
      <c r="F757" s="8">
        <v>15000</v>
      </c>
      <c r="G757" s="8">
        <f t="shared" si="44"/>
        <v>3164</v>
      </c>
      <c r="H757" s="6">
        <v>15000</v>
      </c>
      <c r="I757" t="s">
        <v>34</v>
      </c>
      <c r="J757" t="s">
        <v>1647</v>
      </c>
      <c r="K757" t="s">
        <v>96</v>
      </c>
      <c r="L757" t="s">
        <v>48</v>
      </c>
      <c r="M757" t="s">
        <v>45</v>
      </c>
      <c r="N757" s="6" t="s">
        <v>1647</v>
      </c>
      <c r="O757" t="str">
        <f t="shared" si="45"/>
        <v>Normal</v>
      </c>
      <c r="P757" t="str">
        <f t="shared" si="46"/>
        <v>Duplicate ID</v>
      </c>
      <c r="Q757" t="str">
        <f t="shared" si="47"/>
        <v>10,000-14,999</v>
      </c>
      <c r="R757" s="6">
        <f>IF(COUNTIF($A$2:A757,A757)=1,1,0)</f>
        <v>1</v>
      </c>
    </row>
    <row r="758" spans="1:18" x14ac:dyDescent="0.25">
      <c r="A758" s="6">
        <v>1381</v>
      </c>
      <c r="B758" s="7">
        <v>45003</v>
      </c>
      <c r="C758" t="s">
        <v>119</v>
      </c>
      <c r="D758" s="6">
        <v>2020</v>
      </c>
      <c r="E758" s="8">
        <v>40</v>
      </c>
      <c r="F758" s="8">
        <v>7000</v>
      </c>
      <c r="G758" s="8">
        <f t="shared" si="44"/>
        <v>6960</v>
      </c>
      <c r="H758" s="6">
        <v>60000</v>
      </c>
      <c r="I758" t="s">
        <v>41</v>
      </c>
      <c r="J758" t="s">
        <v>72</v>
      </c>
      <c r="K758" t="s">
        <v>36</v>
      </c>
      <c r="L758" t="s">
        <v>48</v>
      </c>
      <c r="M758" t="s">
        <v>45</v>
      </c>
      <c r="N758" s="6">
        <v>3</v>
      </c>
      <c r="O758" t="str">
        <f t="shared" si="45"/>
        <v>Outlier</v>
      </c>
      <c r="P758" t="str">
        <f t="shared" si="46"/>
        <v>Duplicate ID</v>
      </c>
      <c r="Q758" t="str">
        <f t="shared" si="47"/>
        <v>0-4,999</v>
      </c>
      <c r="R758" s="6">
        <f>IF(COUNTIF($A$2:A758,A758)=1,1,0)</f>
        <v>1</v>
      </c>
    </row>
    <row r="759" spans="1:18" x14ac:dyDescent="0.25">
      <c r="A759" s="6">
        <v>1097</v>
      </c>
      <c r="B759" s="7">
        <v>44368</v>
      </c>
      <c r="C759" t="s">
        <v>32</v>
      </c>
      <c r="D759" s="6">
        <v>2018</v>
      </c>
      <c r="E759" s="8">
        <v>15823</v>
      </c>
      <c r="F759" s="8">
        <v>18000</v>
      </c>
      <c r="G759" s="8">
        <f t="shared" si="44"/>
        <v>2177</v>
      </c>
      <c r="H759" s="6">
        <v>40000</v>
      </c>
      <c r="I759" t="s">
        <v>58</v>
      </c>
      <c r="J759" t="s">
        <v>35</v>
      </c>
      <c r="K759" t="s">
        <v>36</v>
      </c>
      <c r="L759" t="s">
        <v>48</v>
      </c>
      <c r="M759" t="s">
        <v>98</v>
      </c>
      <c r="N759" s="6" t="s">
        <v>1647</v>
      </c>
      <c r="O759" t="str">
        <f t="shared" si="45"/>
        <v>Normal</v>
      </c>
      <c r="P759" t="str">
        <f t="shared" si="46"/>
        <v>Duplicate ID</v>
      </c>
      <c r="Q759" t="str">
        <f t="shared" si="47"/>
        <v>15,000-19,999</v>
      </c>
      <c r="R759" s="6">
        <f>IF(COUNTIF($A$2:A759,A759)=1,1,0)</f>
        <v>0</v>
      </c>
    </row>
    <row r="760" spans="1:18" x14ac:dyDescent="0.25">
      <c r="A760" s="6">
        <v>1345</v>
      </c>
      <c r="B760" s="7">
        <v>44834</v>
      </c>
      <c r="C760" t="s">
        <v>119</v>
      </c>
      <c r="D760" s="6">
        <v>2014</v>
      </c>
      <c r="E760" s="8">
        <v>26627</v>
      </c>
      <c r="F760" s="8">
        <v>31000</v>
      </c>
      <c r="G760" s="8">
        <f t="shared" si="44"/>
        <v>4373</v>
      </c>
      <c r="H760" s="6">
        <v>40000</v>
      </c>
      <c r="I760" t="s">
        <v>34</v>
      </c>
      <c r="J760" t="s">
        <v>35</v>
      </c>
      <c r="K760" t="s">
        <v>96</v>
      </c>
      <c r="L760" t="s">
        <v>100</v>
      </c>
      <c r="M760" t="s">
        <v>1647</v>
      </c>
      <c r="N760" s="6">
        <v>3</v>
      </c>
      <c r="O760" t="str">
        <f t="shared" si="45"/>
        <v>Normal</v>
      </c>
      <c r="P760" t="str">
        <f t="shared" si="46"/>
        <v>Duplicate ID</v>
      </c>
      <c r="Q760" t="str">
        <f t="shared" si="47"/>
        <v>25,000-30,000</v>
      </c>
      <c r="R760" s="6">
        <f>IF(COUNTIF($A$2:A760,A760)=1,1,0)</f>
        <v>0</v>
      </c>
    </row>
    <row r="761" spans="1:18" x14ac:dyDescent="0.25">
      <c r="A761" s="6">
        <v>1526</v>
      </c>
      <c r="B761" s="7">
        <v>45186</v>
      </c>
      <c r="C761" t="s">
        <v>1648</v>
      </c>
      <c r="D761" s="6">
        <v>2019</v>
      </c>
      <c r="E761" s="8">
        <v>10221</v>
      </c>
      <c r="F761" s="8">
        <v>15000</v>
      </c>
      <c r="G761" s="8">
        <f t="shared" si="44"/>
        <v>4779</v>
      </c>
      <c r="H761" s="6">
        <v>40000</v>
      </c>
      <c r="I761" t="s">
        <v>41</v>
      </c>
      <c r="J761" t="s">
        <v>72</v>
      </c>
      <c r="K761" t="s">
        <v>36</v>
      </c>
      <c r="L761" t="s">
        <v>48</v>
      </c>
      <c r="M761" t="s">
        <v>90</v>
      </c>
      <c r="N761" s="6">
        <v>0</v>
      </c>
      <c r="O761" t="str">
        <f t="shared" si="45"/>
        <v>Normal</v>
      </c>
      <c r="P761" t="str">
        <f t="shared" si="46"/>
        <v>Duplicate ID</v>
      </c>
      <c r="Q761" t="str">
        <f t="shared" si="47"/>
        <v>10,000-14,999</v>
      </c>
      <c r="R761" s="6">
        <f>IF(COUNTIF($A$2:A761,A761)=1,1,0)</f>
        <v>0</v>
      </c>
    </row>
    <row r="762" spans="1:18" x14ac:dyDescent="0.25">
      <c r="A762" s="6">
        <v>1116</v>
      </c>
      <c r="B762" s="7">
        <v>45093</v>
      </c>
      <c r="C762" t="s">
        <v>57</v>
      </c>
      <c r="D762" s="6">
        <v>2022</v>
      </c>
      <c r="E762" s="8">
        <v>6384</v>
      </c>
      <c r="F762" s="8">
        <v>9000</v>
      </c>
      <c r="G762" s="8">
        <f t="shared" si="44"/>
        <v>2616</v>
      </c>
      <c r="H762" s="6">
        <v>25000</v>
      </c>
      <c r="I762" t="s">
        <v>1647</v>
      </c>
      <c r="J762" t="s">
        <v>35</v>
      </c>
      <c r="K762" t="s">
        <v>1647</v>
      </c>
      <c r="L762" t="s">
        <v>48</v>
      </c>
      <c r="M762" t="s">
        <v>98</v>
      </c>
      <c r="N762" s="6">
        <v>0</v>
      </c>
      <c r="O762" t="str">
        <f t="shared" si="45"/>
        <v>Normal</v>
      </c>
      <c r="P762" t="str">
        <f t="shared" si="46"/>
        <v>Duplicate ID</v>
      </c>
      <c r="Q762" t="str">
        <f t="shared" si="47"/>
        <v>5,000-9,999</v>
      </c>
      <c r="R762" s="6">
        <f>IF(COUNTIF($A$2:A762,A762)=1,1,0)</f>
        <v>0</v>
      </c>
    </row>
    <row r="763" spans="1:18" x14ac:dyDescent="0.25">
      <c r="A763" s="6">
        <v>1535</v>
      </c>
      <c r="B763" s="7">
        <v>44752</v>
      </c>
      <c r="C763" t="s">
        <v>51</v>
      </c>
      <c r="D763" s="6">
        <v>2015</v>
      </c>
      <c r="E763" s="8">
        <v>19103</v>
      </c>
      <c r="F763" s="8">
        <v>26000</v>
      </c>
      <c r="G763" s="8">
        <f t="shared" si="44"/>
        <v>6897</v>
      </c>
      <c r="H763" s="6">
        <v>40000</v>
      </c>
      <c r="I763" t="s">
        <v>58</v>
      </c>
      <c r="J763" t="s">
        <v>35</v>
      </c>
      <c r="K763" t="s">
        <v>96</v>
      </c>
      <c r="L763" t="s">
        <v>1647</v>
      </c>
      <c r="M763" t="s">
        <v>90</v>
      </c>
      <c r="N763" s="6" t="s">
        <v>1647</v>
      </c>
      <c r="O763" t="str">
        <f t="shared" si="45"/>
        <v>Normal</v>
      </c>
      <c r="P763" t="str">
        <f t="shared" si="46"/>
        <v>Duplicate ID</v>
      </c>
      <c r="Q763" t="str">
        <f t="shared" si="47"/>
        <v>15,000-19,999</v>
      </c>
      <c r="R763" s="6">
        <f>IF(COUNTIF($A$2:A763,A763)=1,1,0)</f>
        <v>0</v>
      </c>
    </row>
    <row r="764" spans="1:18" x14ac:dyDescent="0.25">
      <c r="A764" s="6">
        <v>1338</v>
      </c>
      <c r="B764" s="7">
        <v>44628</v>
      </c>
      <c r="C764" t="s">
        <v>79</v>
      </c>
      <c r="D764" s="6">
        <v>2022</v>
      </c>
      <c r="E764" s="8">
        <v>13209</v>
      </c>
      <c r="F764" s="8">
        <v>18000</v>
      </c>
      <c r="G764" s="8">
        <f t="shared" si="44"/>
        <v>4791</v>
      </c>
      <c r="H764" s="6">
        <v>60000</v>
      </c>
      <c r="I764" t="s">
        <v>58</v>
      </c>
      <c r="J764" t="s">
        <v>35</v>
      </c>
      <c r="K764" t="s">
        <v>1647</v>
      </c>
      <c r="L764" t="s">
        <v>48</v>
      </c>
      <c r="M764" t="s">
        <v>126</v>
      </c>
      <c r="N764" s="6">
        <v>2</v>
      </c>
      <c r="O764" t="str">
        <f t="shared" si="45"/>
        <v>Normal</v>
      </c>
      <c r="P764" t="str">
        <f t="shared" si="46"/>
        <v>Duplicate ID</v>
      </c>
      <c r="Q764" t="str">
        <f t="shared" si="47"/>
        <v>10,000-14,999</v>
      </c>
      <c r="R764" s="6">
        <f>IF(COUNTIF($A$2:A764,A764)=1,1,0)</f>
        <v>0</v>
      </c>
    </row>
    <row r="765" spans="1:18" x14ac:dyDescent="0.25">
      <c r="A765" s="6">
        <v>1319</v>
      </c>
      <c r="B765" s="7">
        <v>44208</v>
      </c>
      <c r="C765" t="s">
        <v>1648</v>
      </c>
      <c r="D765" s="6">
        <v>2016</v>
      </c>
      <c r="E765" s="8">
        <v>10451</v>
      </c>
      <c r="F765" s="8">
        <v>12000</v>
      </c>
      <c r="G765" s="8">
        <f t="shared" si="44"/>
        <v>1549</v>
      </c>
      <c r="H765" s="6">
        <v>60000</v>
      </c>
      <c r="I765" t="s">
        <v>1647</v>
      </c>
      <c r="J765" t="s">
        <v>72</v>
      </c>
      <c r="K765" t="s">
        <v>36</v>
      </c>
      <c r="L765" t="s">
        <v>73</v>
      </c>
      <c r="M765" t="s">
        <v>98</v>
      </c>
      <c r="N765" s="6" t="s">
        <v>1647</v>
      </c>
      <c r="O765" t="str">
        <f t="shared" si="45"/>
        <v>Normal</v>
      </c>
      <c r="P765" t="str">
        <f t="shared" si="46"/>
        <v>Duplicate ID</v>
      </c>
      <c r="Q765" t="str">
        <f t="shared" si="47"/>
        <v>10,000-14,999</v>
      </c>
      <c r="R765" s="6">
        <f>IF(COUNTIF($A$2:A765,A765)=1,1,0)</f>
        <v>1</v>
      </c>
    </row>
    <row r="766" spans="1:18" x14ac:dyDescent="0.25">
      <c r="A766" s="6">
        <v>1353</v>
      </c>
      <c r="B766" s="7">
        <v>44659</v>
      </c>
      <c r="C766" t="s">
        <v>57</v>
      </c>
      <c r="D766" s="6">
        <v>2015</v>
      </c>
      <c r="E766" s="8">
        <v>16420</v>
      </c>
      <c r="F766" s="8">
        <v>22000</v>
      </c>
      <c r="G766" s="8">
        <f t="shared" si="44"/>
        <v>5580</v>
      </c>
      <c r="H766" s="6">
        <v>120000</v>
      </c>
      <c r="I766" t="s">
        <v>34</v>
      </c>
      <c r="J766" t="s">
        <v>1647</v>
      </c>
      <c r="K766" t="s">
        <v>96</v>
      </c>
      <c r="L766" t="s">
        <v>54</v>
      </c>
      <c r="M766" t="s">
        <v>98</v>
      </c>
      <c r="N766" s="6">
        <v>2</v>
      </c>
      <c r="O766" t="str">
        <f t="shared" si="45"/>
        <v>Normal</v>
      </c>
      <c r="P766" t="str">
        <f t="shared" si="46"/>
        <v>Duplicate ID</v>
      </c>
      <c r="Q766" t="str">
        <f t="shared" si="47"/>
        <v>15,000-19,999</v>
      </c>
      <c r="R766" s="6">
        <f>IF(COUNTIF($A$2:A766,A766)=1,1,0)</f>
        <v>0</v>
      </c>
    </row>
    <row r="767" spans="1:18" x14ac:dyDescent="0.25">
      <c r="A767" s="6">
        <v>1286</v>
      </c>
      <c r="B767" s="7">
        <v>44640</v>
      </c>
      <c r="C767" t="s">
        <v>57</v>
      </c>
      <c r="D767" s="6">
        <v>2015</v>
      </c>
      <c r="E767" s="8">
        <v>5015</v>
      </c>
      <c r="F767" s="8">
        <v>12000</v>
      </c>
      <c r="G767" s="8">
        <f t="shared" si="44"/>
        <v>6985</v>
      </c>
      <c r="H767" s="6">
        <v>15000</v>
      </c>
      <c r="I767" t="s">
        <v>34</v>
      </c>
      <c r="J767" t="s">
        <v>72</v>
      </c>
      <c r="K767" t="s">
        <v>1647</v>
      </c>
      <c r="L767" t="s">
        <v>54</v>
      </c>
      <c r="M767" t="s">
        <v>98</v>
      </c>
      <c r="N767" s="6">
        <v>1</v>
      </c>
      <c r="O767" t="str">
        <f t="shared" si="45"/>
        <v>Normal</v>
      </c>
      <c r="P767" t="str">
        <f t="shared" si="46"/>
        <v>Duplicate ID</v>
      </c>
      <c r="Q767" t="str">
        <f t="shared" si="47"/>
        <v>5,000-9,999</v>
      </c>
      <c r="R767" s="6">
        <f>IF(COUNTIF($A$2:A767,A767)=1,1,0)</f>
        <v>1</v>
      </c>
    </row>
    <row r="768" spans="1:18" x14ac:dyDescent="0.25">
      <c r="A768" s="6">
        <v>1146</v>
      </c>
      <c r="B768" s="7">
        <v>44497</v>
      </c>
      <c r="C768" t="s">
        <v>57</v>
      </c>
      <c r="D768" s="6">
        <v>2014</v>
      </c>
      <c r="E768" s="8">
        <v>13252</v>
      </c>
      <c r="F768" s="8">
        <v>15000</v>
      </c>
      <c r="G768" s="8">
        <f t="shared" si="44"/>
        <v>1748</v>
      </c>
      <c r="H768" s="6">
        <v>25000</v>
      </c>
      <c r="I768" t="s">
        <v>41</v>
      </c>
      <c r="J768" t="s">
        <v>35</v>
      </c>
      <c r="K768" t="s">
        <v>1647</v>
      </c>
      <c r="L768" t="s">
        <v>48</v>
      </c>
      <c r="M768" t="s">
        <v>98</v>
      </c>
      <c r="N768" s="6">
        <v>3</v>
      </c>
      <c r="O768" t="str">
        <f t="shared" si="45"/>
        <v>Normal</v>
      </c>
      <c r="P768" t="str">
        <f t="shared" si="46"/>
        <v>Duplicate ID</v>
      </c>
      <c r="Q768" t="str">
        <f t="shared" si="47"/>
        <v>10,000-14,999</v>
      </c>
      <c r="R768" s="6">
        <f>IF(COUNTIF($A$2:A768,A768)=1,1,0)</f>
        <v>0</v>
      </c>
    </row>
    <row r="769" spans="1:18" x14ac:dyDescent="0.25">
      <c r="A769" s="6">
        <v>1386</v>
      </c>
      <c r="B769" s="7">
        <v>45002</v>
      </c>
      <c r="C769" t="s">
        <v>51</v>
      </c>
      <c r="D769" s="6">
        <v>2018</v>
      </c>
      <c r="E769" s="8">
        <v>3412</v>
      </c>
      <c r="F769" s="8">
        <v>9000</v>
      </c>
      <c r="G769" s="8">
        <f t="shared" si="44"/>
        <v>5588</v>
      </c>
      <c r="H769" s="6">
        <v>25000</v>
      </c>
      <c r="I769" t="s">
        <v>69</v>
      </c>
      <c r="J769" t="s">
        <v>1647</v>
      </c>
      <c r="K769" t="s">
        <v>36</v>
      </c>
      <c r="L769" t="s">
        <v>100</v>
      </c>
      <c r="M769" t="s">
        <v>90</v>
      </c>
      <c r="N769" s="6">
        <v>2</v>
      </c>
      <c r="O769" t="str">
        <f t="shared" si="45"/>
        <v>Normal</v>
      </c>
      <c r="P769" t="str">
        <f t="shared" si="46"/>
        <v>Duplicate ID</v>
      </c>
      <c r="Q769" t="str">
        <f t="shared" si="47"/>
        <v>0-4,999</v>
      </c>
      <c r="R769" s="6">
        <f>IF(COUNTIF($A$2:A769,A769)=1,1,0)</f>
        <v>1</v>
      </c>
    </row>
    <row r="770" spans="1:18" x14ac:dyDescent="0.25">
      <c r="A770" s="6">
        <v>1123</v>
      </c>
      <c r="B770" s="7">
        <v>44710</v>
      </c>
      <c r="C770" t="s">
        <v>32</v>
      </c>
      <c r="D770" s="6">
        <v>2020</v>
      </c>
      <c r="E770" s="8">
        <v>24306</v>
      </c>
      <c r="F770" s="8">
        <v>31000</v>
      </c>
      <c r="G770" s="8">
        <f t="shared" ref="G770:G833" si="48">IF(OR(F770="",E770=""),"",F770-E770)</f>
        <v>6694</v>
      </c>
      <c r="H770" s="6">
        <v>60000</v>
      </c>
      <c r="I770" t="s">
        <v>41</v>
      </c>
      <c r="J770" t="s">
        <v>72</v>
      </c>
      <c r="K770" t="s">
        <v>96</v>
      </c>
      <c r="L770" t="s">
        <v>54</v>
      </c>
      <c r="M770" t="s">
        <v>98</v>
      </c>
      <c r="N770" s="6">
        <v>1</v>
      </c>
      <c r="O770" t="str">
        <f t="shared" ref="O770:O833" si="49">IF(E770&lt;1000,"Outlier","Normal")</f>
        <v>Normal</v>
      </c>
      <c r="P770" t="str">
        <f t="shared" ref="P770:P833" si="50">IF(COUNTIF($A$2:$A$2501,A770)&gt;1,"Duplicate ID","Unique ID")</f>
        <v>Duplicate ID</v>
      </c>
      <c r="Q770" t="str">
        <f t="shared" ref="Q770:Q833" si="51">IF(E770&lt;5000,"0-4,999",IF(E770&lt;10000,"5,000-9,999",IF(E770&lt;15000,"10,000-14,999",IF(E770&lt;20000,"15,000-19,999",IF(E770&lt;25000,"20,000-24,999","25,000-30,000")))))</f>
        <v>20,000-24,999</v>
      </c>
      <c r="R770" s="6">
        <f>IF(COUNTIF($A$2:A770,A770)=1,1,0)</f>
        <v>0</v>
      </c>
    </row>
    <row r="771" spans="1:18" x14ac:dyDescent="0.25">
      <c r="A771" s="6">
        <v>1452</v>
      </c>
      <c r="B771" s="7">
        <v>44598</v>
      </c>
      <c r="C771" t="s">
        <v>57</v>
      </c>
      <c r="D771" s="6">
        <v>2020</v>
      </c>
      <c r="E771" s="8">
        <v>20913</v>
      </c>
      <c r="F771" s="8">
        <v>22000</v>
      </c>
      <c r="G771" s="8">
        <f t="shared" si="48"/>
        <v>1087</v>
      </c>
      <c r="H771" s="6">
        <v>25000</v>
      </c>
      <c r="I771" t="s">
        <v>69</v>
      </c>
      <c r="J771" t="s">
        <v>35</v>
      </c>
      <c r="K771" t="s">
        <v>96</v>
      </c>
      <c r="L771" t="s">
        <v>54</v>
      </c>
      <c r="M771" t="s">
        <v>1647</v>
      </c>
      <c r="N771" s="6">
        <v>0</v>
      </c>
      <c r="O771" t="str">
        <f t="shared" si="49"/>
        <v>Normal</v>
      </c>
      <c r="P771" t="str">
        <f t="shared" si="50"/>
        <v>Duplicate ID</v>
      </c>
      <c r="Q771" t="str">
        <f t="shared" si="51"/>
        <v>20,000-24,999</v>
      </c>
      <c r="R771" s="6">
        <f>IF(COUNTIF($A$2:A771,A771)=1,1,0)</f>
        <v>0</v>
      </c>
    </row>
    <row r="772" spans="1:18" x14ac:dyDescent="0.25">
      <c r="A772" s="6">
        <v>1044</v>
      </c>
      <c r="B772" s="7">
        <v>45012</v>
      </c>
      <c r="C772" t="s">
        <v>119</v>
      </c>
      <c r="D772" s="6">
        <v>2014</v>
      </c>
      <c r="E772" s="8">
        <v>13079</v>
      </c>
      <c r="F772" s="8">
        <v>18000</v>
      </c>
      <c r="G772" s="8">
        <f t="shared" si="48"/>
        <v>4921</v>
      </c>
      <c r="H772" s="6">
        <v>120000</v>
      </c>
      <c r="I772" t="s">
        <v>41</v>
      </c>
      <c r="J772" t="s">
        <v>1647</v>
      </c>
      <c r="K772" t="s">
        <v>36</v>
      </c>
      <c r="L772" t="s">
        <v>48</v>
      </c>
      <c r="M772" t="s">
        <v>98</v>
      </c>
      <c r="N772" s="6">
        <v>3</v>
      </c>
      <c r="O772" t="str">
        <f t="shared" si="49"/>
        <v>Normal</v>
      </c>
      <c r="P772" t="str">
        <f t="shared" si="50"/>
        <v>Duplicate ID</v>
      </c>
      <c r="Q772" t="str">
        <f t="shared" si="51"/>
        <v>10,000-14,999</v>
      </c>
      <c r="R772" s="6">
        <f>IF(COUNTIF($A$2:A772,A772)=1,1,0)</f>
        <v>1</v>
      </c>
    </row>
    <row r="773" spans="1:18" x14ac:dyDescent="0.25">
      <c r="A773" s="6">
        <v>1156</v>
      </c>
      <c r="B773" s="7">
        <v>44256</v>
      </c>
      <c r="C773" t="s">
        <v>57</v>
      </c>
      <c r="D773" s="6">
        <v>2021</v>
      </c>
      <c r="E773" s="8">
        <v>4973</v>
      </c>
      <c r="F773" s="8">
        <v>9000</v>
      </c>
      <c r="G773" s="8">
        <f t="shared" si="48"/>
        <v>4027</v>
      </c>
      <c r="H773" s="6">
        <v>15000</v>
      </c>
      <c r="I773" t="s">
        <v>41</v>
      </c>
      <c r="J773" t="s">
        <v>72</v>
      </c>
      <c r="K773" t="s">
        <v>36</v>
      </c>
      <c r="L773" t="s">
        <v>73</v>
      </c>
      <c r="M773" t="s">
        <v>98</v>
      </c>
      <c r="N773" s="6">
        <v>0</v>
      </c>
      <c r="O773" t="str">
        <f t="shared" si="49"/>
        <v>Normal</v>
      </c>
      <c r="P773" t="str">
        <f t="shared" si="50"/>
        <v>Duplicate ID</v>
      </c>
      <c r="Q773" t="str">
        <f t="shared" si="51"/>
        <v>0-4,999</v>
      </c>
      <c r="R773" s="6">
        <f>IF(COUNTIF($A$2:A773,A773)=1,1,0)</f>
        <v>0</v>
      </c>
    </row>
    <row r="774" spans="1:18" x14ac:dyDescent="0.25">
      <c r="A774" s="6">
        <v>1340</v>
      </c>
      <c r="B774" s="7">
        <v>44231</v>
      </c>
      <c r="C774" t="s">
        <v>51</v>
      </c>
      <c r="D774" s="6">
        <v>2015</v>
      </c>
      <c r="E774" s="8">
        <v>11634</v>
      </c>
      <c r="F774" s="8">
        <v>18000</v>
      </c>
      <c r="G774" s="8">
        <f t="shared" si="48"/>
        <v>6366</v>
      </c>
      <c r="H774" s="6">
        <v>25000</v>
      </c>
      <c r="I774" t="s">
        <v>58</v>
      </c>
      <c r="J774" t="s">
        <v>1647</v>
      </c>
      <c r="K774" t="s">
        <v>96</v>
      </c>
      <c r="L774" t="s">
        <v>1647</v>
      </c>
      <c r="M774" t="s">
        <v>126</v>
      </c>
      <c r="N774" s="6">
        <v>3</v>
      </c>
      <c r="O774" t="str">
        <f t="shared" si="49"/>
        <v>Normal</v>
      </c>
      <c r="P774" t="str">
        <f t="shared" si="50"/>
        <v>Duplicate ID</v>
      </c>
      <c r="Q774" t="str">
        <f t="shared" si="51"/>
        <v>10,000-14,999</v>
      </c>
      <c r="R774" s="6">
        <f>IF(COUNTIF($A$2:A774,A774)=1,1,0)</f>
        <v>1</v>
      </c>
    </row>
    <row r="775" spans="1:18" x14ac:dyDescent="0.25">
      <c r="A775" s="6">
        <v>1151</v>
      </c>
      <c r="B775" s="7">
        <v>45224</v>
      </c>
      <c r="C775" t="s">
        <v>1648</v>
      </c>
      <c r="D775" s="6">
        <v>2018</v>
      </c>
      <c r="E775" s="8">
        <v>4420</v>
      </c>
      <c r="F775" s="8">
        <v>7000</v>
      </c>
      <c r="G775" s="8">
        <f t="shared" si="48"/>
        <v>2580</v>
      </c>
      <c r="H775" s="6">
        <v>15000</v>
      </c>
      <c r="I775" t="s">
        <v>69</v>
      </c>
      <c r="J775" t="s">
        <v>1647</v>
      </c>
      <c r="K775" t="s">
        <v>36</v>
      </c>
      <c r="L775" t="s">
        <v>1647</v>
      </c>
      <c r="M775" t="s">
        <v>98</v>
      </c>
      <c r="N775" s="6">
        <v>1</v>
      </c>
      <c r="O775" t="str">
        <f t="shared" si="49"/>
        <v>Normal</v>
      </c>
      <c r="P775" t="str">
        <f t="shared" si="50"/>
        <v>Duplicate ID</v>
      </c>
      <c r="Q775" t="str">
        <f t="shared" si="51"/>
        <v>0-4,999</v>
      </c>
      <c r="R775" s="6">
        <f>IF(COUNTIF($A$2:A775,A775)=1,1,0)</f>
        <v>0</v>
      </c>
    </row>
    <row r="776" spans="1:18" x14ac:dyDescent="0.25">
      <c r="A776" s="6">
        <v>1349</v>
      </c>
      <c r="B776" s="7">
        <v>44438</v>
      </c>
      <c r="C776" t="s">
        <v>40</v>
      </c>
      <c r="D776" s="6">
        <v>2018</v>
      </c>
      <c r="E776" s="8">
        <v>14128</v>
      </c>
      <c r="F776" s="8">
        <v>18000</v>
      </c>
      <c r="G776" s="8">
        <f t="shared" si="48"/>
        <v>3872</v>
      </c>
      <c r="H776" s="6">
        <v>80000</v>
      </c>
      <c r="I776" t="s">
        <v>1647</v>
      </c>
      <c r="J776" t="s">
        <v>35</v>
      </c>
      <c r="K776" t="s">
        <v>36</v>
      </c>
      <c r="L776" t="s">
        <v>73</v>
      </c>
      <c r="M776" t="s">
        <v>90</v>
      </c>
      <c r="N776" s="6">
        <v>0</v>
      </c>
      <c r="O776" t="str">
        <f t="shared" si="49"/>
        <v>Normal</v>
      </c>
      <c r="P776" t="str">
        <f t="shared" si="50"/>
        <v>Duplicate ID</v>
      </c>
      <c r="Q776" t="str">
        <f t="shared" si="51"/>
        <v>10,000-14,999</v>
      </c>
      <c r="R776" s="6">
        <f>IF(COUNTIF($A$2:A776,A776)=1,1,0)</f>
        <v>0</v>
      </c>
    </row>
    <row r="777" spans="1:18" x14ac:dyDescent="0.25">
      <c r="A777" s="6">
        <v>1383</v>
      </c>
      <c r="B777" s="7">
        <v>44642</v>
      </c>
      <c r="C777" t="s">
        <v>57</v>
      </c>
      <c r="D777" s="6">
        <v>2019</v>
      </c>
      <c r="E777" s="8">
        <v>5915</v>
      </c>
      <c r="F777" s="8">
        <v>7000</v>
      </c>
      <c r="G777" s="8">
        <f t="shared" si="48"/>
        <v>1085</v>
      </c>
      <c r="H777" s="6">
        <v>25000</v>
      </c>
      <c r="I777" t="s">
        <v>69</v>
      </c>
      <c r="J777" t="s">
        <v>35</v>
      </c>
      <c r="K777" t="s">
        <v>36</v>
      </c>
      <c r="L777" t="s">
        <v>54</v>
      </c>
      <c r="M777" t="s">
        <v>126</v>
      </c>
      <c r="N777" s="6">
        <v>3</v>
      </c>
      <c r="O777" t="str">
        <f t="shared" si="49"/>
        <v>Normal</v>
      </c>
      <c r="P777" t="str">
        <f t="shared" si="50"/>
        <v>Duplicate ID</v>
      </c>
      <c r="Q777" t="str">
        <f t="shared" si="51"/>
        <v>5,000-9,999</v>
      </c>
      <c r="R777" s="6">
        <f>IF(COUNTIF($A$2:A777,A777)=1,1,0)</f>
        <v>0</v>
      </c>
    </row>
    <row r="778" spans="1:18" x14ac:dyDescent="0.25">
      <c r="A778" s="6">
        <v>1423</v>
      </c>
      <c r="B778" s="7">
        <v>44843</v>
      </c>
      <c r="C778" t="s">
        <v>51</v>
      </c>
      <c r="D778" s="6">
        <v>2016</v>
      </c>
      <c r="E778" s="8">
        <v>12372</v>
      </c>
      <c r="F778" s="8">
        <v>18000</v>
      </c>
      <c r="G778" s="8">
        <f t="shared" si="48"/>
        <v>5628</v>
      </c>
      <c r="H778" s="6">
        <v>25000</v>
      </c>
      <c r="I778" t="s">
        <v>58</v>
      </c>
      <c r="J778" t="s">
        <v>72</v>
      </c>
      <c r="K778" t="s">
        <v>96</v>
      </c>
      <c r="L778" t="s">
        <v>48</v>
      </c>
      <c r="M778" t="s">
        <v>45</v>
      </c>
      <c r="N778" s="6">
        <v>0</v>
      </c>
      <c r="O778" t="str">
        <f t="shared" si="49"/>
        <v>Normal</v>
      </c>
      <c r="P778" t="str">
        <f t="shared" si="50"/>
        <v>Duplicate ID</v>
      </c>
      <c r="Q778" t="str">
        <f t="shared" si="51"/>
        <v>10,000-14,999</v>
      </c>
      <c r="R778" s="6">
        <f>IF(COUNTIF($A$2:A778,A778)=1,1,0)</f>
        <v>0</v>
      </c>
    </row>
    <row r="779" spans="1:18" x14ac:dyDescent="0.25">
      <c r="A779" s="6">
        <v>1460</v>
      </c>
      <c r="B779" s="7">
        <v>45268</v>
      </c>
      <c r="C779" t="s">
        <v>1648</v>
      </c>
      <c r="D779" s="6">
        <v>2019</v>
      </c>
      <c r="E779" s="8">
        <v>15743</v>
      </c>
      <c r="F779" s="8">
        <v>22000</v>
      </c>
      <c r="G779" s="8">
        <f t="shared" si="48"/>
        <v>6257</v>
      </c>
      <c r="H779" s="6">
        <v>40000</v>
      </c>
      <c r="I779" t="s">
        <v>34</v>
      </c>
      <c r="J779" t="s">
        <v>35</v>
      </c>
      <c r="K779" t="s">
        <v>1647</v>
      </c>
      <c r="L779" t="s">
        <v>100</v>
      </c>
      <c r="M779" t="s">
        <v>98</v>
      </c>
      <c r="N779" s="6">
        <v>2</v>
      </c>
      <c r="O779" t="str">
        <f t="shared" si="49"/>
        <v>Normal</v>
      </c>
      <c r="P779" t="str">
        <f t="shared" si="50"/>
        <v>Duplicate ID</v>
      </c>
      <c r="Q779" t="str">
        <f t="shared" si="51"/>
        <v>15,000-19,999</v>
      </c>
      <c r="R779" s="6">
        <f>IF(COUNTIF($A$2:A779,A779)=1,1,0)</f>
        <v>0</v>
      </c>
    </row>
    <row r="780" spans="1:18" x14ac:dyDescent="0.25">
      <c r="A780" s="6">
        <v>1275</v>
      </c>
      <c r="B780" s="7">
        <v>45326</v>
      </c>
      <c r="C780" t="s">
        <v>51</v>
      </c>
      <c r="D780" s="6">
        <v>2017</v>
      </c>
      <c r="E780" s="8">
        <v>16874</v>
      </c>
      <c r="F780" s="8">
        <v>22000</v>
      </c>
      <c r="G780" s="8">
        <f t="shared" si="48"/>
        <v>5126</v>
      </c>
      <c r="H780" s="6">
        <v>120000</v>
      </c>
      <c r="I780" t="s">
        <v>1647</v>
      </c>
      <c r="J780" t="s">
        <v>72</v>
      </c>
      <c r="K780" t="s">
        <v>36</v>
      </c>
      <c r="L780" t="s">
        <v>73</v>
      </c>
      <c r="M780" t="s">
        <v>1647</v>
      </c>
      <c r="N780" s="6">
        <v>1</v>
      </c>
      <c r="O780" t="str">
        <f t="shared" si="49"/>
        <v>Normal</v>
      </c>
      <c r="P780" t="str">
        <f t="shared" si="50"/>
        <v>Duplicate ID</v>
      </c>
      <c r="Q780" t="str">
        <f t="shared" si="51"/>
        <v>15,000-19,999</v>
      </c>
      <c r="R780" s="6">
        <f>IF(COUNTIF($A$2:A780,A780)=1,1,0)</f>
        <v>1</v>
      </c>
    </row>
    <row r="781" spans="1:18" x14ac:dyDescent="0.25">
      <c r="A781" s="6">
        <v>1577</v>
      </c>
      <c r="B781" s="7">
        <v>44959</v>
      </c>
      <c r="C781" t="s">
        <v>1648</v>
      </c>
      <c r="D781" s="6">
        <v>2016</v>
      </c>
      <c r="E781" s="8">
        <v>27355</v>
      </c>
      <c r="F781" s="8">
        <v>31000</v>
      </c>
      <c r="G781" s="8">
        <f t="shared" si="48"/>
        <v>3645</v>
      </c>
      <c r="H781" s="6">
        <v>80000</v>
      </c>
      <c r="I781" t="s">
        <v>41</v>
      </c>
      <c r="J781" t="s">
        <v>72</v>
      </c>
      <c r="K781" t="s">
        <v>36</v>
      </c>
      <c r="L781" t="s">
        <v>100</v>
      </c>
      <c r="M781" t="s">
        <v>98</v>
      </c>
      <c r="N781" s="6">
        <v>3</v>
      </c>
      <c r="O781" t="str">
        <f t="shared" si="49"/>
        <v>Normal</v>
      </c>
      <c r="P781" t="str">
        <f t="shared" si="50"/>
        <v>Duplicate ID</v>
      </c>
      <c r="Q781" t="str">
        <f t="shared" si="51"/>
        <v>25,000-30,000</v>
      </c>
      <c r="R781" s="6">
        <f>IF(COUNTIF($A$2:A781,A781)=1,1,0)</f>
        <v>0</v>
      </c>
    </row>
    <row r="782" spans="1:18" x14ac:dyDescent="0.25">
      <c r="A782" s="6">
        <v>1166</v>
      </c>
      <c r="B782" s="7">
        <v>44824</v>
      </c>
      <c r="C782" t="s">
        <v>51</v>
      </c>
      <c r="D782" s="6">
        <v>2019</v>
      </c>
      <c r="E782" s="8">
        <v>5068</v>
      </c>
      <c r="F782" s="8">
        <v>9000</v>
      </c>
      <c r="G782" s="8">
        <f t="shared" si="48"/>
        <v>3932</v>
      </c>
      <c r="H782" s="6">
        <v>25000</v>
      </c>
      <c r="I782" t="s">
        <v>1647</v>
      </c>
      <c r="J782" t="s">
        <v>1647</v>
      </c>
      <c r="K782" t="s">
        <v>1647</v>
      </c>
      <c r="L782" t="s">
        <v>48</v>
      </c>
      <c r="M782" t="s">
        <v>98</v>
      </c>
      <c r="N782" s="6">
        <v>3</v>
      </c>
      <c r="O782" t="str">
        <f t="shared" si="49"/>
        <v>Normal</v>
      </c>
      <c r="P782" t="str">
        <f t="shared" si="50"/>
        <v>Duplicate ID</v>
      </c>
      <c r="Q782" t="str">
        <f t="shared" si="51"/>
        <v>5,000-9,999</v>
      </c>
      <c r="R782" s="6">
        <f>IF(COUNTIF($A$2:A782,A782)=1,1,0)</f>
        <v>0</v>
      </c>
    </row>
    <row r="783" spans="1:18" x14ac:dyDescent="0.25">
      <c r="A783" s="6">
        <v>1410</v>
      </c>
      <c r="B783" s="7">
        <v>45185</v>
      </c>
      <c r="C783" t="s">
        <v>119</v>
      </c>
      <c r="D783" s="6">
        <v>2018</v>
      </c>
      <c r="E783" s="8">
        <v>18233</v>
      </c>
      <c r="F783" s="8">
        <v>22000</v>
      </c>
      <c r="G783" s="8">
        <f t="shared" si="48"/>
        <v>3767</v>
      </c>
      <c r="H783" s="6">
        <v>80000</v>
      </c>
      <c r="I783" t="s">
        <v>41</v>
      </c>
      <c r="J783" t="s">
        <v>72</v>
      </c>
      <c r="K783" t="s">
        <v>96</v>
      </c>
      <c r="L783" t="s">
        <v>54</v>
      </c>
      <c r="M783" t="s">
        <v>98</v>
      </c>
      <c r="N783" s="6" t="s">
        <v>1647</v>
      </c>
      <c r="O783" t="str">
        <f t="shared" si="49"/>
        <v>Normal</v>
      </c>
      <c r="P783" t="str">
        <f t="shared" si="50"/>
        <v>Duplicate ID</v>
      </c>
      <c r="Q783" t="str">
        <f t="shared" si="51"/>
        <v>15,000-19,999</v>
      </c>
      <c r="R783" s="6">
        <f>IF(COUNTIF($A$2:A783,A783)=1,1,0)</f>
        <v>0</v>
      </c>
    </row>
    <row r="784" spans="1:18" x14ac:dyDescent="0.25">
      <c r="A784" s="6">
        <v>1203</v>
      </c>
      <c r="B784" s="7">
        <v>45270</v>
      </c>
      <c r="C784" t="s">
        <v>40</v>
      </c>
      <c r="D784" s="6">
        <v>2016</v>
      </c>
      <c r="E784" s="8">
        <v>6111</v>
      </c>
      <c r="F784" s="8">
        <v>12000</v>
      </c>
      <c r="G784" s="8">
        <f t="shared" si="48"/>
        <v>5889</v>
      </c>
      <c r="H784" s="6">
        <v>40000</v>
      </c>
      <c r="I784" t="s">
        <v>69</v>
      </c>
      <c r="J784" t="s">
        <v>35</v>
      </c>
      <c r="K784" t="s">
        <v>36</v>
      </c>
      <c r="L784" t="s">
        <v>54</v>
      </c>
      <c r="M784" t="s">
        <v>90</v>
      </c>
      <c r="N784" s="6">
        <v>2</v>
      </c>
      <c r="O784" t="str">
        <f t="shared" si="49"/>
        <v>Normal</v>
      </c>
      <c r="P784" t="str">
        <f t="shared" si="50"/>
        <v>Duplicate ID</v>
      </c>
      <c r="Q784" t="str">
        <f t="shared" si="51"/>
        <v>5,000-9,999</v>
      </c>
      <c r="R784" s="6">
        <f>IF(COUNTIF($A$2:A784,A784)=1,1,0)</f>
        <v>0</v>
      </c>
    </row>
    <row r="785" spans="1:18" x14ac:dyDescent="0.25">
      <c r="A785" s="6">
        <v>1205</v>
      </c>
      <c r="B785" s="7">
        <v>44499</v>
      </c>
      <c r="C785" t="s">
        <v>1648</v>
      </c>
      <c r="D785" s="6">
        <v>2020</v>
      </c>
      <c r="E785" s="8">
        <v>10994</v>
      </c>
      <c r="F785" s="8">
        <v>12000</v>
      </c>
      <c r="G785" s="8">
        <f t="shared" si="48"/>
        <v>1006</v>
      </c>
      <c r="H785" s="6">
        <v>60000</v>
      </c>
      <c r="I785" t="s">
        <v>58</v>
      </c>
      <c r="J785" t="s">
        <v>35</v>
      </c>
      <c r="K785" t="s">
        <v>96</v>
      </c>
      <c r="L785" t="s">
        <v>73</v>
      </c>
      <c r="M785" t="s">
        <v>90</v>
      </c>
      <c r="N785" s="6">
        <v>1</v>
      </c>
      <c r="O785" t="str">
        <f t="shared" si="49"/>
        <v>Normal</v>
      </c>
      <c r="P785" t="str">
        <f t="shared" si="50"/>
        <v>Duplicate ID</v>
      </c>
      <c r="Q785" t="str">
        <f t="shared" si="51"/>
        <v>10,000-14,999</v>
      </c>
      <c r="R785" s="6">
        <f>IF(COUNTIF($A$2:A785,A785)=1,1,0)</f>
        <v>1</v>
      </c>
    </row>
    <row r="786" spans="1:18" x14ac:dyDescent="0.25">
      <c r="A786" s="6">
        <v>1482</v>
      </c>
      <c r="B786" s="7">
        <v>44401</v>
      </c>
      <c r="C786" t="s">
        <v>79</v>
      </c>
      <c r="D786" s="6">
        <v>2014</v>
      </c>
      <c r="E786" s="8">
        <v>27177</v>
      </c>
      <c r="F786" s="8">
        <v>31000</v>
      </c>
      <c r="G786" s="8">
        <f t="shared" si="48"/>
        <v>3823</v>
      </c>
      <c r="H786" s="6">
        <v>25000</v>
      </c>
      <c r="I786" t="s">
        <v>1647</v>
      </c>
      <c r="J786" t="s">
        <v>72</v>
      </c>
      <c r="K786" t="s">
        <v>96</v>
      </c>
      <c r="L786" t="s">
        <v>100</v>
      </c>
      <c r="M786" t="s">
        <v>126</v>
      </c>
      <c r="N786" s="6">
        <v>3</v>
      </c>
      <c r="O786" t="str">
        <f t="shared" si="49"/>
        <v>Normal</v>
      </c>
      <c r="P786" t="str">
        <f t="shared" si="50"/>
        <v>Duplicate ID</v>
      </c>
      <c r="Q786" t="str">
        <f t="shared" si="51"/>
        <v>25,000-30,000</v>
      </c>
      <c r="R786" s="6">
        <f>IF(COUNTIF($A$2:A786,A786)=1,1,0)</f>
        <v>0</v>
      </c>
    </row>
    <row r="787" spans="1:18" x14ac:dyDescent="0.25">
      <c r="A787" s="6">
        <v>1434</v>
      </c>
      <c r="B787" s="7">
        <v>44776</v>
      </c>
      <c r="C787" t="s">
        <v>32</v>
      </c>
      <c r="D787" s="6">
        <v>2019</v>
      </c>
      <c r="E787" s="8">
        <v>8321</v>
      </c>
      <c r="F787" s="8">
        <v>12000</v>
      </c>
      <c r="G787" s="8">
        <f t="shared" si="48"/>
        <v>3679</v>
      </c>
      <c r="H787" s="6">
        <v>60000</v>
      </c>
      <c r="I787" t="s">
        <v>41</v>
      </c>
      <c r="J787" t="s">
        <v>35</v>
      </c>
      <c r="K787" t="s">
        <v>1647</v>
      </c>
      <c r="L787" t="s">
        <v>100</v>
      </c>
      <c r="M787" t="s">
        <v>90</v>
      </c>
      <c r="N787" s="6">
        <v>2</v>
      </c>
      <c r="O787" t="str">
        <f t="shared" si="49"/>
        <v>Normal</v>
      </c>
      <c r="P787" t="str">
        <f t="shared" si="50"/>
        <v>Duplicate ID</v>
      </c>
      <c r="Q787" t="str">
        <f t="shared" si="51"/>
        <v>5,000-9,999</v>
      </c>
      <c r="R787" s="6">
        <f>IF(COUNTIF($A$2:A787,A787)=1,1,0)</f>
        <v>0</v>
      </c>
    </row>
    <row r="788" spans="1:18" x14ac:dyDescent="0.25">
      <c r="A788" s="6">
        <v>1079</v>
      </c>
      <c r="B788" s="7">
        <v>45012</v>
      </c>
      <c r="C788" t="s">
        <v>79</v>
      </c>
      <c r="D788" s="6">
        <v>2019</v>
      </c>
      <c r="E788" s="8">
        <v>1092</v>
      </c>
      <c r="F788" s="8">
        <v>7000</v>
      </c>
      <c r="G788" s="8">
        <f t="shared" si="48"/>
        <v>5908</v>
      </c>
      <c r="H788" s="6">
        <v>80000</v>
      </c>
      <c r="I788" t="s">
        <v>58</v>
      </c>
      <c r="J788" t="s">
        <v>72</v>
      </c>
      <c r="K788" t="s">
        <v>96</v>
      </c>
      <c r="L788" t="s">
        <v>73</v>
      </c>
      <c r="M788" t="s">
        <v>45</v>
      </c>
      <c r="N788" s="6">
        <v>3</v>
      </c>
      <c r="O788" t="str">
        <f t="shared" si="49"/>
        <v>Normal</v>
      </c>
      <c r="P788" t="str">
        <f t="shared" si="50"/>
        <v>Duplicate ID</v>
      </c>
      <c r="Q788" t="str">
        <f t="shared" si="51"/>
        <v>0-4,999</v>
      </c>
      <c r="R788" s="6">
        <f>IF(COUNTIF($A$2:A788,A788)=1,1,0)</f>
        <v>0</v>
      </c>
    </row>
    <row r="789" spans="1:18" x14ac:dyDescent="0.25">
      <c r="A789" s="6">
        <v>1492</v>
      </c>
      <c r="B789" s="7">
        <v>44989</v>
      </c>
      <c r="C789" t="s">
        <v>57</v>
      </c>
      <c r="D789" s="6">
        <v>2020</v>
      </c>
      <c r="E789" s="8">
        <v>8452</v>
      </c>
      <c r="F789" s="8">
        <v>12000</v>
      </c>
      <c r="G789" s="8">
        <f t="shared" si="48"/>
        <v>3548</v>
      </c>
      <c r="H789" s="6">
        <v>40000</v>
      </c>
      <c r="I789" t="s">
        <v>58</v>
      </c>
      <c r="J789" t="s">
        <v>72</v>
      </c>
      <c r="K789" t="s">
        <v>1647</v>
      </c>
      <c r="L789" t="s">
        <v>73</v>
      </c>
      <c r="M789" t="s">
        <v>98</v>
      </c>
      <c r="N789" s="6">
        <v>0</v>
      </c>
      <c r="O789" t="str">
        <f t="shared" si="49"/>
        <v>Normal</v>
      </c>
      <c r="P789" t="str">
        <f t="shared" si="50"/>
        <v>Duplicate ID</v>
      </c>
      <c r="Q789" t="str">
        <f t="shared" si="51"/>
        <v>5,000-9,999</v>
      </c>
      <c r="R789" s="6">
        <f>IF(COUNTIF($A$2:A789,A789)=1,1,0)</f>
        <v>0</v>
      </c>
    </row>
    <row r="790" spans="1:18" x14ac:dyDescent="0.25">
      <c r="A790" s="6">
        <v>1164</v>
      </c>
      <c r="B790" s="7">
        <v>44222</v>
      </c>
      <c r="C790" t="s">
        <v>79</v>
      </c>
      <c r="D790" s="6">
        <v>2018</v>
      </c>
      <c r="E790" s="8">
        <v>4687</v>
      </c>
      <c r="F790" s="8">
        <v>9000</v>
      </c>
      <c r="G790" s="8">
        <f t="shared" si="48"/>
        <v>4313</v>
      </c>
      <c r="H790" s="6">
        <v>120000</v>
      </c>
      <c r="I790" t="s">
        <v>1647</v>
      </c>
      <c r="J790" t="s">
        <v>35</v>
      </c>
      <c r="K790" t="s">
        <v>96</v>
      </c>
      <c r="L790" t="s">
        <v>48</v>
      </c>
      <c r="M790" t="s">
        <v>98</v>
      </c>
      <c r="N790" s="6">
        <v>0</v>
      </c>
      <c r="O790" t="str">
        <f t="shared" si="49"/>
        <v>Normal</v>
      </c>
      <c r="P790" t="str">
        <f t="shared" si="50"/>
        <v>Duplicate ID</v>
      </c>
      <c r="Q790" t="str">
        <f t="shared" si="51"/>
        <v>0-4,999</v>
      </c>
      <c r="R790" s="6">
        <f>IF(COUNTIF($A$2:A790,A790)=1,1,0)</f>
        <v>0</v>
      </c>
    </row>
    <row r="791" spans="1:18" x14ac:dyDescent="0.25">
      <c r="A791" s="6">
        <v>1461</v>
      </c>
      <c r="B791" s="7">
        <v>44434</v>
      </c>
      <c r="C791" t="s">
        <v>51</v>
      </c>
      <c r="D791" s="6">
        <v>2020</v>
      </c>
      <c r="E791" s="8">
        <v>11806</v>
      </c>
      <c r="F791" s="8">
        <v>18000</v>
      </c>
      <c r="G791" s="8">
        <f t="shared" si="48"/>
        <v>6194</v>
      </c>
      <c r="H791" s="6">
        <v>120000</v>
      </c>
      <c r="I791" t="s">
        <v>69</v>
      </c>
      <c r="J791" t="s">
        <v>35</v>
      </c>
      <c r="K791" t="s">
        <v>36</v>
      </c>
      <c r="L791" t="s">
        <v>48</v>
      </c>
      <c r="M791" t="s">
        <v>1647</v>
      </c>
      <c r="N791" s="6">
        <v>3</v>
      </c>
      <c r="O791" t="str">
        <f t="shared" si="49"/>
        <v>Normal</v>
      </c>
      <c r="P791" t="str">
        <f t="shared" si="50"/>
        <v>Duplicate ID</v>
      </c>
      <c r="Q791" t="str">
        <f t="shared" si="51"/>
        <v>10,000-14,999</v>
      </c>
      <c r="R791" s="6">
        <f>IF(COUNTIF($A$2:A791,A791)=1,1,0)</f>
        <v>1</v>
      </c>
    </row>
    <row r="792" spans="1:18" x14ac:dyDescent="0.25">
      <c r="A792" s="6">
        <v>1202</v>
      </c>
      <c r="B792" s="7">
        <v>44725</v>
      </c>
      <c r="C792" t="s">
        <v>40</v>
      </c>
      <c r="D792" s="6">
        <v>2016</v>
      </c>
      <c r="E792" s="8">
        <v>204</v>
      </c>
      <c r="F792" s="8">
        <v>7000</v>
      </c>
      <c r="G792" s="8">
        <f t="shared" si="48"/>
        <v>6796</v>
      </c>
      <c r="H792" s="6">
        <v>40000</v>
      </c>
      <c r="I792" t="s">
        <v>34</v>
      </c>
      <c r="J792" t="s">
        <v>35</v>
      </c>
      <c r="K792" t="s">
        <v>96</v>
      </c>
      <c r="L792" t="s">
        <v>54</v>
      </c>
      <c r="M792" t="s">
        <v>126</v>
      </c>
      <c r="N792" s="6">
        <v>0</v>
      </c>
      <c r="O792" t="str">
        <f t="shared" si="49"/>
        <v>Outlier</v>
      </c>
      <c r="P792" t="str">
        <f t="shared" si="50"/>
        <v>Duplicate ID</v>
      </c>
      <c r="Q792" t="str">
        <f t="shared" si="51"/>
        <v>0-4,999</v>
      </c>
      <c r="R792" s="6">
        <f>IF(COUNTIF($A$2:A792,A792)=1,1,0)</f>
        <v>0</v>
      </c>
    </row>
    <row r="793" spans="1:18" x14ac:dyDescent="0.25">
      <c r="A793" s="6">
        <v>1258</v>
      </c>
      <c r="B793" s="7">
        <v>44953</v>
      </c>
      <c r="C793" t="s">
        <v>1648</v>
      </c>
      <c r="D793" s="6">
        <v>2021</v>
      </c>
      <c r="E793" s="8">
        <v>16091</v>
      </c>
      <c r="F793" s="8">
        <v>22000</v>
      </c>
      <c r="G793" s="8">
        <f t="shared" si="48"/>
        <v>5909</v>
      </c>
      <c r="H793" s="6">
        <v>15000</v>
      </c>
      <c r="I793" t="s">
        <v>41</v>
      </c>
      <c r="J793" t="s">
        <v>1647</v>
      </c>
      <c r="K793" t="s">
        <v>96</v>
      </c>
      <c r="L793" t="s">
        <v>100</v>
      </c>
      <c r="M793" t="s">
        <v>45</v>
      </c>
      <c r="N793" s="6">
        <v>2</v>
      </c>
      <c r="O793" t="str">
        <f t="shared" si="49"/>
        <v>Normal</v>
      </c>
      <c r="P793" t="str">
        <f t="shared" si="50"/>
        <v>Duplicate ID</v>
      </c>
      <c r="Q793" t="str">
        <f t="shared" si="51"/>
        <v>15,000-19,999</v>
      </c>
      <c r="R793" s="6">
        <f>IF(COUNTIF($A$2:A793,A793)=1,1,0)</f>
        <v>0</v>
      </c>
    </row>
    <row r="794" spans="1:18" x14ac:dyDescent="0.25">
      <c r="A794" s="6">
        <v>1114</v>
      </c>
      <c r="B794" s="7">
        <v>44269</v>
      </c>
      <c r="C794" t="s">
        <v>1648</v>
      </c>
      <c r="D794" s="6">
        <v>2014</v>
      </c>
      <c r="E794" s="8">
        <v>27562</v>
      </c>
      <c r="F794" s="8">
        <v>31000</v>
      </c>
      <c r="G794" s="8">
        <f t="shared" si="48"/>
        <v>3438</v>
      </c>
      <c r="H794" s="6">
        <v>40000</v>
      </c>
      <c r="I794" t="s">
        <v>58</v>
      </c>
      <c r="J794" t="s">
        <v>35</v>
      </c>
      <c r="K794" t="s">
        <v>36</v>
      </c>
      <c r="L794" t="s">
        <v>1647</v>
      </c>
      <c r="M794" t="s">
        <v>126</v>
      </c>
      <c r="N794" s="6">
        <v>1</v>
      </c>
      <c r="O794" t="str">
        <f t="shared" si="49"/>
        <v>Normal</v>
      </c>
      <c r="P794" t="str">
        <f t="shared" si="50"/>
        <v>Duplicate ID</v>
      </c>
      <c r="Q794" t="str">
        <f t="shared" si="51"/>
        <v>25,000-30,000</v>
      </c>
      <c r="R794" s="6">
        <f>IF(COUNTIF($A$2:A794,A794)=1,1,0)</f>
        <v>0</v>
      </c>
    </row>
    <row r="795" spans="1:18" x14ac:dyDescent="0.25">
      <c r="A795" s="6">
        <v>1469</v>
      </c>
      <c r="B795" s="7">
        <v>44904</v>
      </c>
      <c r="C795" t="s">
        <v>32</v>
      </c>
      <c r="D795" s="6">
        <v>2018</v>
      </c>
      <c r="E795" s="8">
        <v>27750</v>
      </c>
      <c r="F795" s="8">
        <v>31000</v>
      </c>
      <c r="G795" s="8">
        <f t="shared" si="48"/>
        <v>3250</v>
      </c>
      <c r="H795" s="6">
        <v>60000</v>
      </c>
      <c r="I795" t="s">
        <v>1647</v>
      </c>
      <c r="J795" t="s">
        <v>35</v>
      </c>
      <c r="K795" t="s">
        <v>36</v>
      </c>
      <c r="L795" t="s">
        <v>54</v>
      </c>
      <c r="M795" t="s">
        <v>45</v>
      </c>
      <c r="N795" s="6">
        <v>0</v>
      </c>
      <c r="O795" t="str">
        <f t="shared" si="49"/>
        <v>Normal</v>
      </c>
      <c r="P795" t="str">
        <f t="shared" si="50"/>
        <v>Duplicate ID</v>
      </c>
      <c r="Q795" t="str">
        <f t="shared" si="51"/>
        <v>25,000-30,000</v>
      </c>
      <c r="R795" s="6">
        <f>IF(COUNTIF($A$2:A795,A795)=1,1,0)</f>
        <v>0</v>
      </c>
    </row>
    <row r="796" spans="1:18" x14ac:dyDescent="0.25">
      <c r="A796" s="6">
        <v>1345</v>
      </c>
      <c r="B796" s="7">
        <v>44358</v>
      </c>
      <c r="C796" t="s">
        <v>32</v>
      </c>
      <c r="D796" s="6"/>
      <c r="E796" s="8">
        <v>3801</v>
      </c>
      <c r="F796" s="8">
        <v>9000</v>
      </c>
      <c r="G796" s="8">
        <f t="shared" si="48"/>
        <v>5199</v>
      </c>
      <c r="H796" s="6">
        <v>60000</v>
      </c>
      <c r="I796" t="s">
        <v>41</v>
      </c>
      <c r="J796" t="s">
        <v>35</v>
      </c>
      <c r="K796" t="s">
        <v>96</v>
      </c>
      <c r="L796" t="s">
        <v>73</v>
      </c>
      <c r="M796" t="s">
        <v>98</v>
      </c>
      <c r="N796" s="6">
        <v>0</v>
      </c>
      <c r="O796" t="str">
        <f t="shared" si="49"/>
        <v>Normal</v>
      </c>
      <c r="P796" t="str">
        <f t="shared" si="50"/>
        <v>Duplicate ID</v>
      </c>
      <c r="Q796" t="str">
        <f t="shared" si="51"/>
        <v>0-4,999</v>
      </c>
      <c r="R796" s="6">
        <f>IF(COUNTIF($A$2:A796,A796)=1,1,0)</f>
        <v>0</v>
      </c>
    </row>
    <row r="797" spans="1:18" x14ac:dyDescent="0.25">
      <c r="A797" s="6">
        <v>1552</v>
      </c>
      <c r="B797" s="7">
        <v>45249</v>
      </c>
      <c r="C797" t="s">
        <v>57</v>
      </c>
      <c r="D797" s="6"/>
      <c r="E797" s="8">
        <v>11958</v>
      </c>
      <c r="F797" s="8">
        <v>18000</v>
      </c>
      <c r="G797" s="8">
        <f t="shared" si="48"/>
        <v>6042</v>
      </c>
      <c r="H797" s="6">
        <v>40000</v>
      </c>
      <c r="I797" t="s">
        <v>69</v>
      </c>
      <c r="J797" t="s">
        <v>1647</v>
      </c>
      <c r="K797" t="s">
        <v>96</v>
      </c>
      <c r="L797" t="s">
        <v>100</v>
      </c>
      <c r="M797" t="s">
        <v>98</v>
      </c>
      <c r="N797" s="6">
        <v>2</v>
      </c>
      <c r="O797" t="str">
        <f t="shared" si="49"/>
        <v>Normal</v>
      </c>
      <c r="P797" t="str">
        <f t="shared" si="50"/>
        <v>Duplicate ID</v>
      </c>
      <c r="Q797" t="str">
        <f t="shared" si="51"/>
        <v>10,000-14,999</v>
      </c>
      <c r="R797" s="6">
        <f>IF(COUNTIF($A$2:A797,A797)=1,1,0)</f>
        <v>0</v>
      </c>
    </row>
    <row r="798" spans="1:18" x14ac:dyDescent="0.25">
      <c r="A798" s="6">
        <v>1291</v>
      </c>
      <c r="B798" s="7">
        <v>44568</v>
      </c>
      <c r="C798" t="s">
        <v>57</v>
      </c>
      <c r="D798" s="6">
        <v>2018</v>
      </c>
      <c r="E798" s="8">
        <v>2735</v>
      </c>
      <c r="F798" s="8">
        <v>7000</v>
      </c>
      <c r="G798" s="8">
        <f t="shared" si="48"/>
        <v>4265</v>
      </c>
      <c r="H798" s="6">
        <v>80000</v>
      </c>
      <c r="I798" t="s">
        <v>34</v>
      </c>
      <c r="J798" t="s">
        <v>35</v>
      </c>
      <c r="K798" t="s">
        <v>96</v>
      </c>
      <c r="L798" t="s">
        <v>54</v>
      </c>
      <c r="M798" t="s">
        <v>98</v>
      </c>
      <c r="N798" s="6" t="s">
        <v>1647</v>
      </c>
      <c r="O798" t="str">
        <f t="shared" si="49"/>
        <v>Normal</v>
      </c>
      <c r="P798" t="str">
        <f t="shared" si="50"/>
        <v>Duplicate ID</v>
      </c>
      <c r="Q798" t="str">
        <f t="shared" si="51"/>
        <v>0-4,999</v>
      </c>
      <c r="R798" s="6">
        <f>IF(COUNTIF($A$2:A798,A798)=1,1,0)</f>
        <v>0</v>
      </c>
    </row>
    <row r="799" spans="1:18" x14ac:dyDescent="0.25">
      <c r="A799" s="6">
        <v>1226</v>
      </c>
      <c r="B799" s="7">
        <v>44861</v>
      </c>
      <c r="C799" t="s">
        <v>51</v>
      </c>
      <c r="D799" s="6">
        <v>2015</v>
      </c>
      <c r="E799" s="8">
        <v>13852</v>
      </c>
      <c r="F799" s="8">
        <v>15000</v>
      </c>
      <c r="G799" s="8">
        <f t="shared" si="48"/>
        <v>1148</v>
      </c>
      <c r="H799" s="6">
        <v>25000</v>
      </c>
      <c r="I799" t="s">
        <v>1647</v>
      </c>
      <c r="J799" t="s">
        <v>1647</v>
      </c>
      <c r="K799" t="s">
        <v>96</v>
      </c>
      <c r="L799" t="s">
        <v>54</v>
      </c>
      <c r="M799" t="s">
        <v>1647</v>
      </c>
      <c r="N799" s="6">
        <v>3</v>
      </c>
      <c r="O799" t="str">
        <f t="shared" si="49"/>
        <v>Normal</v>
      </c>
      <c r="P799" t="str">
        <f t="shared" si="50"/>
        <v>Duplicate ID</v>
      </c>
      <c r="Q799" t="str">
        <f t="shared" si="51"/>
        <v>10,000-14,999</v>
      </c>
      <c r="R799" s="6">
        <f>IF(COUNTIF($A$2:A799,A799)=1,1,0)</f>
        <v>0</v>
      </c>
    </row>
    <row r="800" spans="1:18" x14ac:dyDescent="0.25">
      <c r="A800" s="6">
        <v>1354</v>
      </c>
      <c r="B800" s="7">
        <v>44851</v>
      </c>
      <c r="C800" t="s">
        <v>1648</v>
      </c>
      <c r="D800" s="6">
        <v>2022</v>
      </c>
      <c r="E800" s="8">
        <v>3210</v>
      </c>
      <c r="F800" s="8">
        <v>7000</v>
      </c>
      <c r="G800" s="8">
        <f t="shared" si="48"/>
        <v>3790</v>
      </c>
      <c r="H800" s="6">
        <v>40000</v>
      </c>
      <c r="I800" t="s">
        <v>1647</v>
      </c>
      <c r="J800" t="s">
        <v>35</v>
      </c>
      <c r="K800" t="s">
        <v>1647</v>
      </c>
      <c r="L800" t="s">
        <v>100</v>
      </c>
      <c r="M800" t="s">
        <v>98</v>
      </c>
      <c r="N800" s="6">
        <v>2</v>
      </c>
      <c r="O800" t="str">
        <f t="shared" si="49"/>
        <v>Normal</v>
      </c>
      <c r="P800" t="str">
        <f t="shared" si="50"/>
        <v>Duplicate ID</v>
      </c>
      <c r="Q800" t="str">
        <f t="shared" si="51"/>
        <v>0-4,999</v>
      </c>
      <c r="R800" s="6">
        <f>IF(COUNTIF($A$2:A800,A800)=1,1,0)</f>
        <v>0</v>
      </c>
    </row>
    <row r="801" spans="1:18" x14ac:dyDescent="0.25">
      <c r="A801" s="6">
        <v>1353</v>
      </c>
      <c r="B801" s="7">
        <v>45346</v>
      </c>
      <c r="C801" t="s">
        <v>79</v>
      </c>
      <c r="D801" s="6">
        <v>2014</v>
      </c>
      <c r="E801" s="8">
        <v>4015</v>
      </c>
      <c r="F801" s="8">
        <v>9000</v>
      </c>
      <c r="G801" s="8">
        <f t="shared" si="48"/>
        <v>4985</v>
      </c>
      <c r="H801" s="6">
        <v>120000</v>
      </c>
      <c r="I801" t="s">
        <v>69</v>
      </c>
      <c r="J801" t="s">
        <v>72</v>
      </c>
      <c r="K801" t="s">
        <v>96</v>
      </c>
      <c r="L801" t="s">
        <v>48</v>
      </c>
      <c r="M801" t="s">
        <v>98</v>
      </c>
      <c r="N801" s="6">
        <v>0</v>
      </c>
      <c r="O801" t="str">
        <f t="shared" si="49"/>
        <v>Normal</v>
      </c>
      <c r="P801" t="str">
        <f t="shared" si="50"/>
        <v>Duplicate ID</v>
      </c>
      <c r="Q801" t="str">
        <f t="shared" si="51"/>
        <v>0-4,999</v>
      </c>
      <c r="R801" s="6">
        <f>IF(COUNTIF($A$2:A801,A801)=1,1,0)</f>
        <v>0</v>
      </c>
    </row>
    <row r="802" spans="1:18" x14ac:dyDescent="0.25">
      <c r="A802" s="6">
        <v>1441</v>
      </c>
      <c r="B802" s="7">
        <v>45353</v>
      </c>
      <c r="C802" t="s">
        <v>32</v>
      </c>
      <c r="D802" s="6"/>
      <c r="E802" s="8">
        <v>8120</v>
      </c>
      <c r="F802" s="8">
        <v>12000</v>
      </c>
      <c r="G802" s="8">
        <f t="shared" si="48"/>
        <v>3880</v>
      </c>
      <c r="H802" s="6">
        <v>80000</v>
      </c>
      <c r="I802" t="s">
        <v>69</v>
      </c>
      <c r="J802" t="s">
        <v>1647</v>
      </c>
      <c r="K802" t="s">
        <v>96</v>
      </c>
      <c r="L802" t="s">
        <v>100</v>
      </c>
      <c r="M802" t="s">
        <v>98</v>
      </c>
      <c r="N802" s="6" t="s">
        <v>1647</v>
      </c>
      <c r="O802" t="str">
        <f t="shared" si="49"/>
        <v>Normal</v>
      </c>
      <c r="P802" t="str">
        <f t="shared" si="50"/>
        <v>Duplicate ID</v>
      </c>
      <c r="Q802" t="str">
        <f t="shared" si="51"/>
        <v>5,000-9,999</v>
      </c>
      <c r="R802" s="6">
        <f>IF(COUNTIF($A$2:A802,A802)=1,1,0)</f>
        <v>0</v>
      </c>
    </row>
    <row r="803" spans="1:18" x14ac:dyDescent="0.25">
      <c r="A803" s="6">
        <v>1216</v>
      </c>
      <c r="B803" s="7">
        <v>44644</v>
      </c>
      <c r="C803" t="s">
        <v>32</v>
      </c>
      <c r="D803" s="6">
        <v>2020</v>
      </c>
      <c r="E803" s="8">
        <v>4759</v>
      </c>
      <c r="F803" s="8">
        <v>9000</v>
      </c>
      <c r="G803" s="8">
        <f t="shared" si="48"/>
        <v>4241</v>
      </c>
      <c r="H803" s="6">
        <v>15000</v>
      </c>
      <c r="I803" t="s">
        <v>58</v>
      </c>
      <c r="J803" t="s">
        <v>72</v>
      </c>
      <c r="K803" t="s">
        <v>1647</v>
      </c>
      <c r="L803" t="s">
        <v>48</v>
      </c>
      <c r="M803" t="s">
        <v>45</v>
      </c>
      <c r="N803" s="6">
        <v>1</v>
      </c>
      <c r="O803" t="str">
        <f t="shared" si="49"/>
        <v>Normal</v>
      </c>
      <c r="P803" t="str">
        <f t="shared" si="50"/>
        <v>Duplicate ID</v>
      </c>
      <c r="Q803" t="str">
        <f t="shared" si="51"/>
        <v>0-4,999</v>
      </c>
      <c r="R803" s="6">
        <f>IF(COUNTIF($A$2:A803,A803)=1,1,0)</f>
        <v>0</v>
      </c>
    </row>
    <row r="804" spans="1:18" x14ac:dyDescent="0.25">
      <c r="A804" s="6">
        <v>1325</v>
      </c>
      <c r="B804" s="7">
        <v>44413</v>
      </c>
      <c r="C804" t="s">
        <v>1648</v>
      </c>
      <c r="D804" s="6"/>
      <c r="E804" s="8">
        <v>14025</v>
      </c>
      <c r="F804" s="8">
        <v>18000</v>
      </c>
      <c r="G804" s="8">
        <f t="shared" si="48"/>
        <v>3975</v>
      </c>
      <c r="H804" s="6">
        <v>40000</v>
      </c>
      <c r="I804" t="s">
        <v>34</v>
      </c>
      <c r="J804" t="s">
        <v>72</v>
      </c>
      <c r="K804" t="s">
        <v>96</v>
      </c>
      <c r="L804" t="s">
        <v>54</v>
      </c>
      <c r="M804" t="s">
        <v>98</v>
      </c>
      <c r="N804" s="6">
        <v>1</v>
      </c>
      <c r="O804" t="str">
        <f t="shared" si="49"/>
        <v>Normal</v>
      </c>
      <c r="P804" t="str">
        <f t="shared" si="50"/>
        <v>Duplicate ID</v>
      </c>
      <c r="Q804" t="str">
        <f t="shared" si="51"/>
        <v>10,000-14,999</v>
      </c>
      <c r="R804" s="6">
        <f>IF(COUNTIF($A$2:A804,A804)=1,1,0)</f>
        <v>1</v>
      </c>
    </row>
    <row r="805" spans="1:18" x14ac:dyDescent="0.25">
      <c r="A805" s="6">
        <v>1475</v>
      </c>
      <c r="B805" s="7">
        <v>44881</v>
      </c>
      <c r="C805" t="s">
        <v>57</v>
      </c>
      <c r="D805" s="6">
        <v>2020</v>
      </c>
      <c r="E805" s="8">
        <v>12637</v>
      </c>
      <c r="F805" s="8">
        <v>18000</v>
      </c>
      <c r="G805" s="8">
        <f t="shared" si="48"/>
        <v>5363</v>
      </c>
      <c r="H805" s="6">
        <v>15000</v>
      </c>
      <c r="I805" t="s">
        <v>34</v>
      </c>
      <c r="J805" t="s">
        <v>72</v>
      </c>
      <c r="K805" t="s">
        <v>96</v>
      </c>
      <c r="L805" t="s">
        <v>100</v>
      </c>
      <c r="M805" t="s">
        <v>126</v>
      </c>
      <c r="N805" s="6" t="s">
        <v>1647</v>
      </c>
      <c r="O805" t="str">
        <f t="shared" si="49"/>
        <v>Normal</v>
      </c>
      <c r="P805" t="str">
        <f t="shared" si="50"/>
        <v>Duplicate ID</v>
      </c>
      <c r="Q805" t="str">
        <f t="shared" si="51"/>
        <v>10,000-14,999</v>
      </c>
      <c r="R805" s="6">
        <f>IF(COUNTIF($A$2:A805,A805)=1,1,0)</f>
        <v>1</v>
      </c>
    </row>
    <row r="806" spans="1:18" x14ac:dyDescent="0.25">
      <c r="A806" s="6">
        <v>1023</v>
      </c>
      <c r="B806" s="7">
        <v>45034</v>
      </c>
      <c r="C806" t="s">
        <v>119</v>
      </c>
      <c r="D806" s="6">
        <v>2016</v>
      </c>
      <c r="E806" s="8">
        <v>3326</v>
      </c>
      <c r="F806" s="8">
        <v>9000</v>
      </c>
      <c r="G806" s="8">
        <f t="shared" si="48"/>
        <v>5674</v>
      </c>
      <c r="H806" s="6">
        <v>80000</v>
      </c>
      <c r="I806" t="s">
        <v>1647</v>
      </c>
      <c r="J806" t="s">
        <v>35</v>
      </c>
      <c r="K806" t="s">
        <v>96</v>
      </c>
      <c r="L806" t="s">
        <v>73</v>
      </c>
      <c r="M806" t="s">
        <v>98</v>
      </c>
      <c r="N806" s="6" t="s">
        <v>1647</v>
      </c>
      <c r="O806" t="str">
        <f t="shared" si="49"/>
        <v>Normal</v>
      </c>
      <c r="P806" t="str">
        <f t="shared" si="50"/>
        <v>Duplicate ID</v>
      </c>
      <c r="Q806" t="str">
        <f t="shared" si="51"/>
        <v>0-4,999</v>
      </c>
      <c r="R806" s="6">
        <f>IF(COUNTIF($A$2:A806,A806)=1,1,0)</f>
        <v>1</v>
      </c>
    </row>
    <row r="807" spans="1:18" x14ac:dyDescent="0.25">
      <c r="A807" s="6">
        <v>1179</v>
      </c>
      <c r="B807" s="7">
        <v>44687</v>
      </c>
      <c r="C807" t="s">
        <v>57</v>
      </c>
      <c r="D807" s="6">
        <v>2016</v>
      </c>
      <c r="E807" s="8">
        <v>24077</v>
      </c>
      <c r="F807" s="8">
        <v>31000</v>
      </c>
      <c r="G807" s="8">
        <f t="shared" si="48"/>
        <v>6923</v>
      </c>
      <c r="H807" s="6">
        <v>40000</v>
      </c>
      <c r="I807" t="s">
        <v>58</v>
      </c>
      <c r="J807" t="s">
        <v>72</v>
      </c>
      <c r="K807" t="s">
        <v>36</v>
      </c>
      <c r="L807" t="s">
        <v>73</v>
      </c>
      <c r="M807" t="s">
        <v>90</v>
      </c>
      <c r="N807" s="6" t="s">
        <v>1647</v>
      </c>
      <c r="O807" t="str">
        <f t="shared" si="49"/>
        <v>Normal</v>
      </c>
      <c r="P807" t="str">
        <f t="shared" si="50"/>
        <v>Duplicate ID</v>
      </c>
      <c r="Q807" t="str">
        <f t="shared" si="51"/>
        <v>20,000-24,999</v>
      </c>
      <c r="R807" s="6">
        <f>IF(COUNTIF($A$2:A807,A807)=1,1,0)</f>
        <v>0</v>
      </c>
    </row>
    <row r="808" spans="1:18" x14ac:dyDescent="0.25">
      <c r="A808" s="6">
        <v>1247</v>
      </c>
      <c r="B808" s="7">
        <v>45105</v>
      </c>
      <c r="C808" t="s">
        <v>1648</v>
      </c>
      <c r="D808" s="6">
        <v>2021</v>
      </c>
      <c r="E808" s="8">
        <v>9059</v>
      </c>
      <c r="F808" s="8">
        <v>15000</v>
      </c>
      <c r="G808" s="8">
        <f t="shared" si="48"/>
        <v>5941</v>
      </c>
      <c r="H808" s="6">
        <v>120000</v>
      </c>
      <c r="I808" t="s">
        <v>41</v>
      </c>
      <c r="J808" t="s">
        <v>1647</v>
      </c>
      <c r="K808" t="s">
        <v>96</v>
      </c>
      <c r="L808" t="s">
        <v>100</v>
      </c>
      <c r="M808" t="s">
        <v>90</v>
      </c>
      <c r="N808" s="6">
        <v>3</v>
      </c>
      <c r="O808" t="str">
        <f t="shared" si="49"/>
        <v>Normal</v>
      </c>
      <c r="P808" t="str">
        <f t="shared" si="50"/>
        <v>Duplicate ID</v>
      </c>
      <c r="Q808" t="str">
        <f t="shared" si="51"/>
        <v>5,000-9,999</v>
      </c>
      <c r="R808" s="6">
        <f>IF(COUNTIF($A$2:A808,A808)=1,1,0)</f>
        <v>1</v>
      </c>
    </row>
    <row r="809" spans="1:18" x14ac:dyDescent="0.25">
      <c r="A809" s="6">
        <v>1532</v>
      </c>
      <c r="B809" s="7">
        <v>45029</v>
      </c>
      <c r="C809" t="s">
        <v>40</v>
      </c>
      <c r="D809" s="6">
        <v>2014</v>
      </c>
      <c r="E809" s="8">
        <v>456</v>
      </c>
      <c r="F809" s="8">
        <v>7000</v>
      </c>
      <c r="G809" s="8">
        <f t="shared" si="48"/>
        <v>6544</v>
      </c>
      <c r="H809" s="6">
        <v>120000</v>
      </c>
      <c r="I809" t="s">
        <v>34</v>
      </c>
      <c r="J809" t="s">
        <v>72</v>
      </c>
      <c r="K809" t="s">
        <v>1647</v>
      </c>
      <c r="L809" t="s">
        <v>73</v>
      </c>
      <c r="M809" t="s">
        <v>1647</v>
      </c>
      <c r="N809" s="6">
        <v>0</v>
      </c>
      <c r="O809" t="str">
        <f t="shared" si="49"/>
        <v>Outlier</v>
      </c>
      <c r="P809" t="str">
        <f t="shared" si="50"/>
        <v>Duplicate ID</v>
      </c>
      <c r="Q809" t="str">
        <f t="shared" si="51"/>
        <v>0-4,999</v>
      </c>
      <c r="R809" s="6">
        <f>IF(COUNTIF($A$2:A809,A809)=1,1,0)</f>
        <v>0</v>
      </c>
    </row>
    <row r="810" spans="1:18" x14ac:dyDescent="0.25">
      <c r="A810" s="6">
        <v>1372</v>
      </c>
      <c r="B810" s="7">
        <v>44278</v>
      </c>
      <c r="C810" t="s">
        <v>1648</v>
      </c>
      <c r="D810" s="6">
        <v>2021</v>
      </c>
      <c r="E810" s="8">
        <v>2737</v>
      </c>
      <c r="F810" s="8">
        <v>7000</v>
      </c>
      <c r="G810" s="8">
        <f t="shared" si="48"/>
        <v>4263</v>
      </c>
      <c r="H810" s="6">
        <v>40000</v>
      </c>
      <c r="I810" t="s">
        <v>1647</v>
      </c>
      <c r="J810" t="s">
        <v>72</v>
      </c>
      <c r="K810" t="s">
        <v>36</v>
      </c>
      <c r="L810" t="s">
        <v>73</v>
      </c>
      <c r="M810" t="s">
        <v>90</v>
      </c>
      <c r="N810" s="6">
        <v>2</v>
      </c>
      <c r="O810" t="str">
        <f t="shared" si="49"/>
        <v>Normal</v>
      </c>
      <c r="P810" t="str">
        <f t="shared" si="50"/>
        <v>Duplicate ID</v>
      </c>
      <c r="Q810" t="str">
        <f t="shared" si="51"/>
        <v>0-4,999</v>
      </c>
      <c r="R810" s="6">
        <f>IF(COUNTIF($A$2:A810,A810)=1,1,0)</f>
        <v>0</v>
      </c>
    </row>
    <row r="811" spans="1:18" x14ac:dyDescent="0.25">
      <c r="A811" s="6">
        <v>1145</v>
      </c>
      <c r="B811" s="7">
        <v>44892</v>
      </c>
      <c r="C811" t="s">
        <v>32</v>
      </c>
      <c r="D811" s="6">
        <v>2016</v>
      </c>
      <c r="E811" s="8">
        <v>15622</v>
      </c>
      <c r="F811" s="8">
        <v>22000</v>
      </c>
      <c r="G811" s="8">
        <f t="shared" si="48"/>
        <v>6378</v>
      </c>
      <c r="H811" s="6">
        <v>60000</v>
      </c>
      <c r="I811" t="s">
        <v>41</v>
      </c>
      <c r="J811" t="s">
        <v>72</v>
      </c>
      <c r="K811" t="s">
        <v>36</v>
      </c>
      <c r="L811" t="s">
        <v>48</v>
      </c>
      <c r="M811" t="s">
        <v>98</v>
      </c>
      <c r="N811" s="6">
        <v>1</v>
      </c>
      <c r="O811" t="str">
        <f t="shared" si="49"/>
        <v>Normal</v>
      </c>
      <c r="P811" t="str">
        <f t="shared" si="50"/>
        <v>Duplicate ID</v>
      </c>
      <c r="Q811" t="str">
        <f t="shared" si="51"/>
        <v>15,000-19,999</v>
      </c>
      <c r="R811" s="6">
        <f>IF(COUNTIF($A$2:A811,A811)=1,1,0)</f>
        <v>0</v>
      </c>
    </row>
    <row r="812" spans="1:18" x14ac:dyDescent="0.25">
      <c r="A812" s="6">
        <v>1461</v>
      </c>
      <c r="B812" s="7">
        <v>44874</v>
      </c>
      <c r="C812" t="s">
        <v>119</v>
      </c>
      <c r="D812" s="6">
        <v>2019</v>
      </c>
      <c r="E812" s="8">
        <v>13358</v>
      </c>
      <c r="F812" s="8">
        <v>18000</v>
      </c>
      <c r="G812" s="8">
        <f t="shared" si="48"/>
        <v>4642</v>
      </c>
      <c r="H812" s="6">
        <v>120000</v>
      </c>
      <c r="I812" t="s">
        <v>58</v>
      </c>
      <c r="J812" t="s">
        <v>35</v>
      </c>
      <c r="K812" t="s">
        <v>1647</v>
      </c>
      <c r="L812" t="s">
        <v>54</v>
      </c>
      <c r="M812" t="s">
        <v>126</v>
      </c>
      <c r="N812" s="6">
        <v>1</v>
      </c>
      <c r="O812" t="str">
        <f t="shared" si="49"/>
        <v>Normal</v>
      </c>
      <c r="P812" t="str">
        <f t="shared" si="50"/>
        <v>Duplicate ID</v>
      </c>
      <c r="Q812" t="str">
        <f t="shared" si="51"/>
        <v>10,000-14,999</v>
      </c>
      <c r="R812" s="6">
        <f>IF(COUNTIF($A$2:A812,A812)=1,1,0)</f>
        <v>0</v>
      </c>
    </row>
    <row r="813" spans="1:18" x14ac:dyDescent="0.25">
      <c r="A813" s="6">
        <v>1162</v>
      </c>
      <c r="B813" s="7">
        <v>44825</v>
      </c>
      <c r="C813" t="s">
        <v>79</v>
      </c>
      <c r="D813" s="6"/>
      <c r="E813" s="8">
        <v>18615</v>
      </c>
      <c r="F813" s="8">
        <v>22000</v>
      </c>
      <c r="G813" s="8">
        <f t="shared" si="48"/>
        <v>3385</v>
      </c>
      <c r="H813" s="6">
        <v>120000</v>
      </c>
      <c r="I813" t="s">
        <v>69</v>
      </c>
      <c r="J813" t="s">
        <v>35</v>
      </c>
      <c r="K813" t="s">
        <v>36</v>
      </c>
      <c r="L813" t="s">
        <v>100</v>
      </c>
      <c r="M813" t="s">
        <v>45</v>
      </c>
      <c r="N813" s="6">
        <v>3</v>
      </c>
      <c r="O813" t="str">
        <f t="shared" si="49"/>
        <v>Normal</v>
      </c>
      <c r="P813" t="str">
        <f t="shared" si="50"/>
        <v>Duplicate ID</v>
      </c>
      <c r="Q813" t="str">
        <f t="shared" si="51"/>
        <v>15,000-19,999</v>
      </c>
      <c r="R813" s="6">
        <f>IF(COUNTIF($A$2:A813,A813)=1,1,0)</f>
        <v>0</v>
      </c>
    </row>
    <row r="814" spans="1:18" x14ac:dyDescent="0.25">
      <c r="A814" s="6">
        <v>1310</v>
      </c>
      <c r="B814" s="7">
        <v>45391</v>
      </c>
      <c r="C814" t="s">
        <v>119</v>
      </c>
      <c r="D814" s="6">
        <v>2018</v>
      </c>
      <c r="E814" s="8">
        <v>12267</v>
      </c>
      <c r="F814" s="8">
        <v>15000</v>
      </c>
      <c r="G814" s="8">
        <f t="shared" si="48"/>
        <v>2733</v>
      </c>
      <c r="H814" s="6">
        <v>15000</v>
      </c>
      <c r="I814" t="s">
        <v>34</v>
      </c>
      <c r="J814" t="s">
        <v>72</v>
      </c>
      <c r="K814" t="s">
        <v>1647</v>
      </c>
      <c r="L814" t="s">
        <v>100</v>
      </c>
      <c r="M814" t="s">
        <v>45</v>
      </c>
      <c r="N814" s="6">
        <v>1</v>
      </c>
      <c r="O814" t="str">
        <f t="shared" si="49"/>
        <v>Normal</v>
      </c>
      <c r="P814" t="str">
        <f t="shared" si="50"/>
        <v>Duplicate ID</v>
      </c>
      <c r="Q814" t="str">
        <f t="shared" si="51"/>
        <v>10,000-14,999</v>
      </c>
      <c r="R814" s="6">
        <f>IF(COUNTIF($A$2:A814,A814)=1,1,0)</f>
        <v>0</v>
      </c>
    </row>
    <row r="815" spans="1:18" x14ac:dyDescent="0.25">
      <c r="A815" s="6">
        <v>1537</v>
      </c>
      <c r="B815" s="7">
        <v>44543</v>
      </c>
      <c r="C815" t="s">
        <v>51</v>
      </c>
      <c r="D815" s="6">
        <v>2022</v>
      </c>
      <c r="E815" s="8">
        <v>17025</v>
      </c>
      <c r="F815" s="8">
        <v>22000</v>
      </c>
      <c r="G815" s="8">
        <f t="shared" si="48"/>
        <v>4975</v>
      </c>
      <c r="H815" s="6">
        <v>60000</v>
      </c>
      <c r="I815" t="s">
        <v>41</v>
      </c>
      <c r="J815" t="s">
        <v>72</v>
      </c>
      <c r="K815" t="s">
        <v>36</v>
      </c>
      <c r="L815" t="s">
        <v>54</v>
      </c>
      <c r="M815" t="s">
        <v>90</v>
      </c>
      <c r="N815" s="6">
        <v>1</v>
      </c>
      <c r="O815" t="str">
        <f t="shared" si="49"/>
        <v>Normal</v>
      </c>
      <c r="P815" t="str">
        <f t="shared" si="50"/>
        <v>Duplicate ID</v>
      </c>
      <c r="Q815" t="str">
        <f t="shared" si="51"/>
        <v>15,000-19,999</v>
      </c>
      <c r="R815" s="6">
        <f>IF(COUNTIF($A$2:A815,A815)=1,1,0)</f>
        <v>1</v>
      </c>
    </row>
    <row r="816" spans="1:18" x14ac:dyDescent="0.25">
      <c r="A816" s="6">
        <v>1510</v>
      </c>
      <c r="B816" s="7">
        <v>44927</v>
      </c>
      <c r="C816" t="s">
        <v>32</v>
      </c>
      <c r="D816" s="6">
        <v>2018</v>
      </c>
      <c r="E816" s="8">
        <v>6387</v>
      </c>
      <c r="F816" s="8">
        <v>9000</v>
      </c>
      <c r="G816" s="8">
        <f t="shared" si="48"/>
        <v>2613</v>
      </c>
      <c r="H816" s="6">
        <v>120000</v>
      </c>
      <c r="I816" t="s">
        <v>58</v>
      </c>
      <c r="J816" t="s">
        <v>35</v>
      </c>
      <c r="K816" t="s">
        <v>96</v>
      </c>
      <c r="L816" t="s">
        <v>73</v>
      </c>
      <c r="M816" t="s">
        <v>98</v>
      </c>
      <c r="N816" s="6">
        <v>0</v>
      </c>
      <c r="O816" t="str">
        <f t="shared" si="49"/>
        <v>Normal</v>
      </c>
      <c r="P816" t="str">
        <f t="shared" si="50"/>
        <v>Duplicate ID</v>
      </c>
      <c r="Q816" t="str">
        <f t="shared" si="51"/>
        <v>5,000-9,999</v>
      </c>
      <c r="R816" s="6">
        <f>IF(COUNTIF($A$2:A816,A816)=1,1,0)</f>
        <v>0</v>
      </c>
    </row>
    <row r="817" spans="1:18" x14ac:dyDescent="0.25">
      <c r="A817" s="6">
        <v>1550</v>
      </c>
      <c r="B817" s="7">
        <v>45292</v>
      </c>
      <c r="C817" t="s">
        <v>51</v>
      </c>
      <c r="D817" s="6">
        <v>2022</v>
      </c>
      <c r="E817" s="8">
        <v>3468</v>
      </c>
      <c r="F817" s="8">
        <v>9000</v>
      </c>
      <c r="G817" s="8">
        <f t="shared" si="48"/>
        <v>5532</v>
      </c>
      <c r="H817" s="6">
        <v>40000</v>
      </c>
      <c r="I817" t="s">
        <v>58</v>
      </c>
      <c r="J817" t="s">
        <v>35</v>
      </c>
      <c r="K817" t="s">
        <v>96</v>
      </c>
      <c r="L817" t="s">
        <v>100</v>
      </c>
      <c r="M817" t="s">
        <v>90</v>
      </c>
      <c r="N817" s="6">
        <v>1</v>
      </c>
      <c r="O817" t="str">
        <f t="shared" si="49"/>
        <v>Normal</v>
      </c>
      <c r="P817" t="str">
        <f t="shared" si="50"/>
        <v>Duplicate ID</v>
      </c>
      <c r="Q817" t="str">
        <f t="shared" si="51"/>
        <v>0-4,999</v>
      </c>
      <c r="R817" s="6">
        <f>IF(COUNTIF($A$2:A817,A817)=1,1,0)</f>
        <v>0</v>
      </c>
    </row>
    <row r="818" spans="1:18" x14ac:dyDescent="0.25">
      <c r="A818" s="6">
        <v>1284</v>
      </c>
      <c r="B818" s="7">
        <v>45327</v>
      </c>
      <c r="C818" t="s">
        <v>1648</v>
      </c>
      <c r="D818" s="6">
        <v>2016</v>
      </c>
      <c r="E818" s="8">
        <v>3823</v>
      </c>
      <c r="F818" s="8">
        <v>7000</v>
      </c>
      <c r="G818" s="8">
        <f t="shared" si="48"/>
        <v>3177</v>
      </c>
      <c r="H818" s="6">
        <v>80000</v>
      </c>
      <c r="I818" t="s">
        <v>41</v>
      </c>
      <c r="J818" t="s">
        <v>35</v>
      </c>
      <c r="K818" t="s">
        <v>1647</v>
      </c>
      <c r="L818" t="s">
        <v>54</v>
      </c>
      <c r="M818" t="s">
        <v>126</v>
      </c>
      <c r="N818" s="6">
        <v>1</v>
      </c>
      <c r="O818" t="str">
        <f t="shared" si="49"/>
        <v>Normal</v>
      </c>
      <c r="P818" t="str">
        <f t="shared" si="50"/>
        <v>Duplicate ID</v>
      </c>
      <c r="Q818" t="str">
        <f t="shared" si="51"/>
        <v>0-4,999</v>
      </c>
      <c r="R818" s="6">
        <f>IF(COUNTIF($A$2:A818,A818)=1,1,0)</f>
        <v>1</v>
      </c>
    </row>
    <row r="819" spans="1:18" x14ac:dyDescent="0.25">
      <c r="A819" s="6">
        <v>1052</v>
      </c>
      <c r="B819" s="7">
        <v>45296</v>
      </c>
      <c r="C819" t="s">
        <v>119</v>
      </c>
      <c r="D819" s="6">
        <v>2017</v>
      </c>
      <c r="E819" s="8">
        <v>29195</v>
      </c>
      <c r="F819" s="8">
        <v>31000</v>
      </c>
      <c r="G819" s="8">
        <f t="shared" si="48"/>
        <v>1805</v>
      </c>
      <c r="H819" s="6">
        <v>60000</v>
      </c>
      <c r="I819" t="s">
        <v>41</v>
      </c>
      <c r="J819" t="s">
        <v>72</v>
      </c>
      <c r="K819" t="s">
        <v>36</v>
      </c>
      <c r="L819" t="s">
        <v>48</v>
      </c>
      <c r="M819" t="s">
        <v>90</v>
      </c>
      <c r="N819" s="6">
        <v>0</v>
      </c>
      <c r="O819" t="str">
        <f t="shared" si="49"/>
        <v>Normal</v>
      </c>
      <c r="P819" t="str">
        <f t="shared" si="50"/>
        <v>Duplicate ID</v>
      </c>
      <c r="Q819" t="str">
        <f t="shared" si="51"/>
        <v>25,000-30,000</v>
      </c>
      <c r="R819" s="6">
        <f>IF(COUNTIF($A$2:A819,A819)=1,1,0)</f>
        <v>0</v>
      </c>
    </row>
    <row r="820" spans="1:18" x14ac:dyDescent="0.25">
      <c r="A820" s="6">
        <v>1595</v>
      </c>
      <c r="B820" s="7">
        <v>44216</v>
      </c>
      <c r="C820" t="s">
        <v>57</v>
      </c>
      <c r="D820" s="6"/>
      <c r="E820" s="8">
        <v>25337</v>
      </c>
      <c r="F820" s="8">
        <v>31000</v>
      </c>
      <c r="G820" s="8">
        <f t="shared" si="48"/>
        <v>5663</v>
      </c>
      <c r="H820" s="6">
        <v>40000</v>
      </c>
      <c r="I820" t="s">
        <v>1647</v>
      </c>
      <c r="J820" t="s">
        <v>35</v>
      </c>
      <c r="K820" t="s">
        <v>1647</v>
      </c>
      <c r="L820" t="s">
        <v>48</v>
      </c>
      <c r="M820" t="s">
        <v>126</v>
      </c>
      <c r="N820" s="6">
        <v>2</v>
      </c>
      <c r="O820" t="str">
        <f t="shared" si="49"/>
        <v>Normal</v>
      </c>
      <c r="P820" t="str">
        <f t="shared" si="50"/>
        <v>Duplicate ID</v>
      </c>
      <c r="Q820" t="str">
        <f t="shared" si="51"/>
        <v>25,000-30,000</v>
      </c>
      <c r="R820" s="6">
        <f>IF(COUNTIF($A$2:A820,A820)=1,1,0)</f>
        <v>1</v>
      </c>
    </row>
    <row r="821" spans="1:18" x14ac:dyDescent="0.25">
      <c r="A821" s="6">
        <v>1336</v>
      </c>
      <c r="B821" s="7">
        <v>44558</v>
      </c>
      <c r="C821" t="s">
        <v>1648</v>
      </c>
      <c r="D821" s="6"/>
      <c r="E821" s="8">
        <v>11830</v>
      </c>
      <c r="F821" s="8">
        <v>18000</v>
      </c>
      <c r="G821" s="8">
        <f t="shared" si="48"/>
        <v>6170</v>
      </c>
      <c r="H821" s="6">
        <v>60000</v>
      </c>
      <c r="I821" t="s">
        <v>69</v>
      </c>
      <c r="J821" t="s">
        <v>72</v>
      </c>
      <c r="K821" t="s">
        <v>1647</v>
      </c>
      <c r="L821" t="s">
        <v>100</v>
      </c>
      <c r="M821" t="s">
        <v>45</v>
      </c>
      <c r="N821" s="6">
        <v>2</v>
      </c>
      <c r="O821" t="str">
        <f t="shared" si="49"/>
        <v>Normal</v>
      </c>
      <c r="P821" t="str">
        <f t="shared" si="50"/>
        <v>Duplicate ID</v>
      </c>
      <c r="Q821" t="str">
        <f t="shared" si="51"/>
        <v>10,000-14,999</v>
      </c>
      <c r="R821" s="6">
        <f>IF(COUNTIF($A$2:A821,A821)=1,1,0)</f>
        <v>0</v>
      </c>
    </row>
    <row r="822" spans="1:18" x14ac:dyDescent="0.25">
      <c r="A822" s="6">
        <v>1006</v>
      </c>
      <c r="B822" s="7">
        <v>45195</v>
      </c>
      <c r="C822" t="s">
        <v>51</v>
      </c>
      <c r="D822" s="6">
        <v>2018</v>
      </c>
      <c r="E822" s="8">
        <v>28508</v>
      </c>
      <c r="F822" s="8">
        <v>31000</v>
      </c>
      <c r="G822" s="8">
        <f t="shared" si="48"/>
        <v>2492</v>
      </c>
      <c r="H822" s="6">
        <v>15000</v>
      </c>
      <c r="I822" t="s">
        <v>58</v>
      </c>
      <c r="J822" t="s">
        <v>35</v>
      </c>
      <c r="K822" t="s">
        <v>36</v>
      </c>
      <c r="L822" t="s">
        <v>48</v>
      </c>
      <c r="M822" t="s">
        <v>45</v>
      </c>
      <c r="N822" s="6">
        <v>0</v>
      </c>
      <c r="O822" t="str">
        <f t="shared" si="49"/>
        <v>Normal</v>
      </c>
      <c r="P822" t="str">
        <f t="shared" si="50"/>
        <v>Duplicate ID</v>
      </c>
      <c r="Q822" t="str">
        <f t="shared" si="51"/>
        <v>25,000-30,000</v>
      </c>
      <c r="R822" s="6">
        <f>IF(COUNTIF($A$2:A822,A822)=1,1,0)</f>
        <v>0</v>
      </c>
    </row>
    <row r="823" spans="1:18" x14ac:dyDescent="0.25">
      <c r="A823" s="6">
        <v>1218</v>
      </c>
      <c r="B823" s="7">
        <v>44671</v>
      </c>
      <c r="C823" t="s">
        <v>1648</v>
      </c>
      <c r="D823" s="6">
        <v>2019</v>
      </c>
      <c r="E823" s="8">
        <v>10110</v>
      </c>
      <c r="F823" s="8">
        <v>12000</v>
      </c>
      <c r="G823" s="8">
        <f t="shared" si="48"/>
        <v>1890</v>
      </c>
      <c r="H823" s="6">
        <v>25000</v>
      </c>
      <c r="I823" t="s">
        <v>1647</v>
      </c>
      <c r="J823" t="s">
        <v>35</v>
      </c>
      <c r="K823" t="s">
        <v>96</v>
      </c>
      <c r="L823" t="s">
        <v>100</v>
      </c>
      <c r="M823" t="s">
        <v>90</v>
      </c>
      <c r="N823" s="6">
        <v>2</v>
      </c>
      <c r="O823" t="str">
        <f t="shared" si="49"/>
        <v>Normal</v>
      </c>
      <c r="P823" t="str">
        <f t="shared" si="50"/>
        <v>Duplicate ID</v>
      </c>
      <c r="Q823" t="str">
        <f t="shared" si="51"/>
        <v>10,000-14,999</v>
      </c>
      <c r="R823" s="6">
        <f>IF(COUNTIF($A$2:A823,A823)=1,1,0)</f>
        <v>1</v>
      </c>
    </row>
    <row r="824" spans="1:18" x14ac:dyDescent="0.25">
      <c r="A824" s="6">
        <v>1333</v>
      </c>
      <c r="B824" s="7">
        <v>44518</v>
      </c>
      <c r="C824" t="s">
        <v>57</v>
      </c>
      <c r="D824" s="6">
        <v>2017</v>
      </c>
      <c r="E824" s="8">
        <v>23707</v>
      </c>
      <c r="F824" s="8">
        <v>26000</v>
      </c>
      <c r="G824" s="8">
        <f t="shared" si="48"/>
        <v>2293</v>
      </c>
      <c r="H824" s="6">
        <v>25000</v>
      </c>
      <c r="I824" t="s">
        <v>34</v>
      </c>
      <c r="J824" t="s">
        <v>72</v>
      </c>
      <c r="K824" t="s">
        <v>36</v>
      </c>
      <c r="L824" t="s">
        <v>54</v>
      </c>
      <c r="M824" t="s">
        <v>98</v>
      </c>
      <c r="N824" s="6">
        <v>2</v>
      </c>
      <c r="O824" t="str">
        <f t="shared" si="49"/>
        <v>Normal</v>
      </c>
      <c r="P824" t="str">
        <f t="shared" si="50"/>
        <v>Duplicate ID</v>
      </c>
      <c r="Q824" t="str">
        <f t="shared" si="51"/>
        <v>20,000-24,999</v>
      </c>
      <c r="R824" s="6">
        <f>IF(COUNTIF($A$2:A824,A824)=1,1,0)</f>
        <v>0</v>
      </c>
    </row>
    <row r="825" spans="1:18" x14ac:dyDescent="0.25">
      <c r="A825" s="6">
        <v>1322</v>
      </c>
      <c r="B825" s="7">
        <v>44921</v>
      </c>
      <c r="C825" t="s">
        <v>79</v>
      </c>
      <c r="D825" s="6">
        <v>2016</v>
      </c>
      <c r="E825" s="8">
        <v>11047</v>
      </c>
      <c r="F825" s="8">
        <v>18000</v>
      </c>
      <c r="G825" s="8">
        <f t="shared" si="48"/>
        <v>6953</v>
      </c>
      <c r="H825" s="6">
        <v>40000</v>
      </c>
      <c r="I825" t="s">
        <v>34</v>
      </c>
      <c r="J825" t="s">
        <v>35</v>
      </c>
      <c r="K825" t="s">
        <v>96</v>
      </c>
      <c r="L825" t="s">
        <v>73</v>
      </c>
      <c r="M825" t="s">
        <v>98</v>
      </c>
      <c r="N825" s="6">
        <v>2</v>
      </c>
      <c r="O825" t="str">
        <f t="shared" si="49"/>
        <v>Normal</v>
      </c>
      <c r="P825" t="str">
        <f t="shared" si="50"/>
        <v>Duplicate ID</v>
      </c>
      <c r="Q825" t="str">
        <f t="shared" si="51"/>
        <v>10,000-14,999</v>
      </c>
      <c r="R825" s="6">
        <f>IF(COUNTIF($A$2:A825,A825)=1,1,0)</f>
        <v>1</v>
      </c>
    </row>
    <row r="826" spans="1:18" x14ac:dyDescent="0.25">
      <c r="A826" s="6">
        <v>1213</v>
      </c>
      <c r="B826" s="7">
        <v>44611</v>
      </c>
      <c r="C826" t="s">
        <v>32</v>
      </c>
      <c r="D826" s="6">
        <v>2021</v>
      </c>
      <c r="E826" s="8">
        <v>11231</v>
      </c>
      <c r="F826" s="8">
        <v>18000</v>
      </c>
      <c r="G826" s="8">
        <f t="shared" si="48"/>
        <v>6769</v>
      </c>
      <c r="H826" s="6">
        <v>15000</v>
      </c>
      <c r="I826" t="s">
        <v>41</v>
      </c>
      <c r="J826" t="s">
        <v>72</v>
      </c>
      <c r="K826" t="s">
        <v>96</v>
      </c>
      <c r="L826" t="s">
        <v>48</v>
      </c>
      <c r="M826" t="s">
        <v>45</v>
      </c>
      <c r="N826" s="6" t="s">
        <v>1647</v>
      </c>
      <c r="O826" t="str">
        <f t="shared" si="49"/>
        <v>Normal</v>
      </c>
      <c r="P826" t="str">
        <f t="shared" si="50"/>
        <v>Duplicate ID</v>
      </c>
      <c r="Q826" t="str">
        <f t="shared" si="51"/>
        <v>10,000-14,999</v>
      </c>
      <c r="R826" s="6">
        <f>IF(COUNTIF($A$2:A826,A826)=1,1,0)</f>
        <v>1</v>
      </c>
    </row>
    <row r="827" spans="1:18" x14ac:dyDescent="0.25">
      <c r="A827" s="6">
        <v>1248</v>
      </c>
      <c r="B827" s="7">
        <v>44349</v>
      </c>
      <c r="C827" t="s">
        <v>57</v>
      </c>
      <c r="D827" s="6">
        <v>2017</v>
      </c>
      <c r="E827" s="8">
        <v>29125</v>
      </c>
      <c r="F827" s="8">
        <v>31000</v>
      </c>
      <c r="G827" s="8">
        <f t="shared" si="48"/>
        <v>1875</v>
      </c>
      <c r="H827" s="6">
        <v>40000</v>
      </c>
      <c r="I827" t="s">
        <v>1647</v>
      </c>
      <c r="J827" t="s">
        <v>35</v>
      </c>
      <c r="K827" t="s">
        <v>96</v>
      </c>
      <c r="L827" t="s">
        <v>48</v>
      </c>
      <c r="M827" t="s">
        <v>90</v>
      </c>
      <c r="N827" s="6">
        <v>2</v>
      </c>
      <c r="O827" t="str">
        <f t="shared" si="49"/>
        <v>Normal</v>
      </c>
      <c r="P827" t="str">
        <f t="shared" si="50"/>
        <v>Duplicate ID</v>
      </c>
      <c r="Q827" t="str">
        <f t="shared" si="51"/>
        <v>25,000-30,000</v>
      </c>
      <c r="R827" s="6">
        <f>IF(COUNTIF($A$2:A827,A827)=1,1,0)</f>
        <v>0</v>
      </c>
    </row>
    <row r="828" spans="1:18" x14ac:dyDescent="0.25">
      <c r="A828" s="6">
        <v>1282</v>
      </c>
      <c r="B828" s="7">
        <v>44898</v>
      </c>
      <c r="C828" t="s">
        <v>79</v>
      </c>
      <c r="D828" s="6">
        <v>2014</v>
      </c>
      <c r="E828" s="8">
        <v>2761</v>
      </c>
      <c r="F828" s="8">
        <v>9000</v>
      </c>
      <c r="G828" s="8">
        <f t="shared" si="48"/>
        <v>6239</v>
      </c>
      <c r="H828" s="6">
        <v>15000</v>
      </c>
      <c r="I828" t="s">
        <v>1647</v>
      </c>
      <c r="J828" t="s">
        <v>35</v>
      </c>
      <c r="K828" t="s">
        <v>36</v>
      </c>
      <c r="L828" t="s">
        <v>54</v>
      </c>
      <c r="M828" t="s">
        <v>98</v>
      </c>
      <c r="N828" s="6">
        <v>1</v>
      </c>
      <c r="O828" t="str">
        <f t="shared" si="49"/>
        <v>Normal</v>
      </c>
      <c r="P828" t="str">
        <f t="shared" si="50"/>
        <v>Duplicate ID</v>
      </c>
      <c r="Q828" t="str">
        <f t="shared" si="51"/>
        <v>0-4,999</v>
      </c>
      <c r="R828" s="6">
        <f>IF(COUNTIF($A$2:A828,A828)=1,1,0)</f>
        <v>1</v>
      </c>
    </row>
    <row r="829" spans="1:18" x14ac:dyDescent="0.25">
      <c r="A829" s="6">
        <v>1090</v>
      </c>
      <c r="B829" s="7">
        <v>45347</v>
      </c>
      <c r="C829" t="s">
        <v>32</v>
      </c>
      <c r="D829" s="6"/>
      <c r="E829" s="8">
        <v>15362</v>
      </c>
      <c r="F829" s="8">
        <v>18000</v>
      </c>
      <c r="G829" s="8">
        <f t="shared" si="48"/>
        <v>2638</v>
      </c>
      <c r="H829" s="6">
        <v>80000</v>
      </c>
      <c r="I829" t="s">
        <v>69</v>
      </c>
      <c r="J829" t="s">
        <v>1647</v>
      </c>
      <c r="K829" t="s">
        <v>1647</v>
      </c>
      <c r="L829" t="s">
        <v>54</v>
      </c>
      <c r="M829" t="s">
        <v>126</v>
      </c>
      <c r="N829" s="6">
        <v>1</v>
      </c>
      <c r="O829" t="str">
        <f t="shared" si="49"/>
        <v>Normal</v>
      </c>
      <c r="P829" t="str">
        <f t="shared" si="50"/>
        <v>Duplicate ID</v>
      </c>
      <c r="Q829" t="str">
        <f t="shared" si="51"/>
        <v>15,000-19,999</v>
      </c>
      <c r="R829" s="6">
        <f>IF(COUNTIF($A$2:A829,A829)=1,1,0)</f>
        <v>1</v>
      </c>
    </row>
    <row r="830" spans="1:18" x14ac:dyDescent="0.25">
      <c r="A830" s="6">
        <v>1328</v>
      </c>
      <c r="B830" s="7">
        <v>44574</v>
      </c>
      <c r="C830" t="s">
        <v>40</v>
      </c>
      <c r="D830" s="6">
        <v>2019</v>
      </c>
      <c r="E830" s="8">
        <v>19241</v>
      </c>
      <c r="F830" s="8">
        <v>22000</v>
      </c>
      <c r="G830" s="8">
        <f t="shared" si="48"/>
        <v>2759</v>
      </c>
      <c r="H830" s="6">
        <v>60000</v>
      </c>
      <c r="I830" t="s">
        <v>69</v>
      </c>
      <c r="J830" t="s">
        <v>72</v>
      </c>
      <c r="K830" t="s">
        <v>1647</v>
      </c>
      <c r="L830" t="s">
        <v>73</v>
      </c>
      <c r="M830" t="s">
        <v>90</v>
      </c>
      <c r="N830" s="6">
        <v>0</v>
      </c>
      <c r="O830" t="str">
        <f t="shared" si="49"/>
        <v>Normal</v>
      </c>
      <c r="P830" t="str">
        <f t="shared" si="50"/>
        <v>Duplicate ID</v>
      </c>
      <c r="Q830" t="str">
        <f t="shared" si="51"/>
        <v>15,000-19,999</v>
      </c>
      <c r="R830" s="6">
        <f>IF(COUNTIF($A$2:A830,A830)=1,1,0)</f>
        <v>0</v>
      </c>
    </row>
    <row r="831" spans="1:18" x14ac:dyDescent="0.25">
      <c r="A831" s="6">
        <v>1061</v>
      </c>
      <c r="B831" s="7">
        <v>45279</v>
      </c>
      <c r="C831" t="s">
        <v>1648</v>
      </c>
      <c r="D831" s="6">
        <v>2020</v>
      </c>
      <c r="E831" s="8">
        <v>24607</v>
      </c>
      <c r="F831" s="8">
        <v>26000</v>
      </c>
      <c r="G831" s="8">
        <f t="shared" si="48"/>
        <v>1393</v>
      </c>
      <c r="H831" s="6">
        <v>60000</v>
      </c>
      <c r="I831" t="s">
        <v>34</v>
      </c>
      <c r="J831" t="s">
        <v>35</v>
      </c>
      <c r="K831" t="s">
        <v>1647</v>
      </c>
      <c r="L831" t="s">
        <v>54</v>
      </c>
      <c r="M831" t="s">
        <v>1647</v>
      </c>
      <c r="N831" s="6">
        <v>3</v>
      </c>
      <c r="O831" t="str">
        <f t="shared" si="49"/>
        <v>Normal</v>
      </c>
      <c r="P831" t="str">
        <f t="shared" si="50"/>
        <v>Duplicate ID</v>
      </c>
      <c r="Q831" t="str">
        <f t="shared" si="51"/>
        <v>20,000-24,999</v>
      </c>
      <c r="R831" s="6">
        <f>IF(COUNTIF($A$2:A831,A831)=1,1,0)</f>
        <v>0</v>
      </c>
    </row>
    <row r="832" spans="1:18" x14ac:dyDescent="0.25">
      <c r="A832" s="6">
        <v>1578</v>
      </c>
      <c r="B832" s="7">
        <v>44351</v>
      </c>
      <c r="C832" t="s">
        <v>51</v>
      </c>
      <c r="D832" s="6"/>
      <c r="E832" s="8">
        <v>20451</v>
      </c>
      <c r="F832" s="8">
        <v>22000</v>
      </c>
      <c r="G832" s="8">
        <f t="shared" si="48"/>
        <v>1549</v>
      </c>
      <c r="H832" s="6">
        <v>120000</v>
      </c>
      <c r="I832" t="s">
        <v>58</v>
      </c>
      <c r="J832" t="s">
        <v>1647</v>
      </c>
      <c r="K832" t="s">
        <v>36</v>
      </c>
      <c r="L832" t="s">
        <v>48</v>
      </c>
      <c r="M832" t="s">
        <v>90</v>
      </c>
      <c r="N832" s="6">
        <v>0</v>
      </c>
      <c r="O832" t="str">
        <f t="shared" si="49"/>
        <v>Normal</v>
      </c>
      <c r="P832" t="str">
        <f t="shared" si="50"/>
        <v>Duplicate ID</v>
      </c>
      <c r="Q832" t="str">
        <f t="shared" si="51"/>
        <v>20,000-24,999</v>
      </c>
      <c r="R832" s="6">
        <f>IF(COUNTIF($A$2:A832,A832)=1,1,0)</f>
        <v>1</v>
      </c>
    </row>
    <row r="833" spans="1:18" x14ac:dyDescent="0.25">
      <c r="A833" s="6">
        <v>1074</v>
      </c>
      <c r="B833" s="7">
        <v>44873</v>
      </c>
      <c r="C833" t="s">
        <v>1648</v>
      </c>
      <c r="D833" s="6">
        <v>2018</v>
      </c>
      <c r="E833" s="8">
        <v>28754</v>
      </c>
      <c r="F833" s="8">
        <v>31000</v>
      </c>
      <c r="G833" s="8">
        <f t="shared" si="48"/>
        <v>2246</v>
      </c>
      <c r="H833" s="6">
        <v>60000</v>
      </c>
      <c r="I833" t="s">
        <v>34</v>
      </c>
      <c r="J833" t="s">
        <v>35</v>
      </c>
      <c r="K833" t="s">
        <v>96</v>
      </c>
      <c r="L833" t="s">
        <v>54</v>
      </c>
      <c r="M833" t="s">
        <v>126</v>
      </c>
      <c r="N833" s="6" t="s">
        <v>1647</v>
      </c>
      <c r="O833" t="str">
        <f t="shared" si="49"/>
        <v>Normal</v>
      </c>
      <c r="P833" t="str">
        <f t="shared" si="50"/>
        <v>Duplicate ID</v>
      </c>
      <c r="Q833" t="str">
        <f t="shared" si="51"/>
        <v>25,000-30,000</v>
      </c>
      <c r="R833" s="6">
        <f>IF(COUNTIF($A$2:A833,A833)=1,1,0)</f>
        <v>1</v>
      </c>
    </row>
    <row r="834" spans="1:18" x14ac:dyDescent="0.25">
      <c r="A834" s="6">
        <v>1154</v>
      </c>
      <c r="B834" s="7">
        <v>45071</v>
      </c>
      <c r="C834" t="s">
        <v>79</v>
      </c>
      <c r="D834" s="6">
        <v>2014</v>
      </c>
      <c r="E834" s="8">
        <v>3360</v>
      </c>
      <c r="F834" s="8">
        <v>7000</v>
      </c>
      <c r="G834" s="8">
        <f t="shared" ref="G834:G897" si="52">IF(OR(F834="",E834=""),"",F834-E834)</f>
        <v>3640</v>
      </c>
      <c r="H834" s="6">
        <v>25000</v>
      </c>
      <c r="I834" t="s">
        <v>69</v>
      </c>
      <c r="J834" t="s">
        <v>1647</v>
      </c>
      <c r="K834" t="s">
        <v>96</v>
      </c>
      <c r="L834" t="s">
        <v>100</v>
      </c>
      <c r="M834" t="s">
        <v>45</v>
      </c>
      <c r="N834" s="6" t="s">
        <v>1647</v>
      </c>
      <c r="O834" t="str">
        <f t="shared" ref="O834:O897" si="53">IF(E834&lt;1000,"Outlier","Normal")</f>
        <v>Normal</v>
      </c>
      <c r="P834" t="str">
        <f t="shared" ref="P834:P897" si="54">IF(COUNTIF($A$2:$A$2501,A834)&gt;1,"Duplicate ID","Unique ID")</f>
        <v>Duplicate ID</v>
      </c>
      <c r="Q834" t="str">
        <f t="shared" ref="Q834:Q897" si="55">IF(E834&lt;5000,"0-4,999",IF(E834&lt;10000,"5,000-9,999",IF(E834&lt;15000,"10,000-14,999",IF(E834&lt;20000,"15,000-19,999",IF(E834&lt;25000,"20,000-24,999","25,000-30,000")))))</f>
        <v>0-4,999</v>
      </c>
      <c r="R834" s="6">
        <f>IF(COUNTIF($A$2:A834,A834)=1,1,0)</f>
        <v>1</v>
      </c>
    </row>
    <row r="835" spans="1:18" x14ac:dyDescent="0.25">
      <c r="A835" s="6">
        <v>1103</v>
      </c>
      <c r="B835" s="7">
        <v>44568</v>
      </c>
      <c r="C835" t="s">
        <v>32</v>
      </c>
      <c r="D835" s="6">
        <v>2017</v>
      </c>
      <c r="E835" s="8">
        <v>8473</v>
      </c>
      <c r="F835" s="8">
        <v>12000</v>
      </c>
      <c r="G835" s="8">
        <f t="shared" si="52"/>
        <v>3527</v>
      </c>
      <c r="H835" s="6">
        <v>25000</v>
      </c>
      <c r="I835" t="s">
        <v>58</v>
      </c>
      <c r="J835" t="s">
        <v>1647</v>
      </c>
      <c r="K835" t="s">
        <v>96</v>
      </c>
      <c r="L835" t="s">
        <v>73</v>
      </c>
      <c r="M835" t="s">
        <v>45</v>
      </c>
      <c r="N835" s="6">
        <v>2</v>
      </c>
      <c r="O835" t="str">
        <f t="shared" si="53"/>
        <v>Normal</v>
      </c>
      <c r="P835" t="str">
        <f t="shared" si="54"/>
        <v>Duplicate ID</v>
      </c>
      <c r="Q835" t="str">
        <f t="shared" si="55"/>
        <v>5,000-9,999</v>
      </c>
      <c r="R835" s="6">
        <f>IF(COUNTIF($A$2:A835,A835)=1,1,0)</f>
        <v>0</v>
      </c>
    </row>
    <row r="836" spans="1:18" x14ac:dyDescent="0.25">
      <c r="A836" s="6">
        <v>1434</v>
      </c>
      <c r="B836" s="7">
        <v>44531</v>
      </c>
      <c r="C836" t="s">
        <v>119</v>
      </c>
      <c r="D836" s="6">
        <v>2018</v>
      </c>
      <c r="E836" s="8">
        <v>11519</v>
      </c>
      <c r="F836" s="8">
        <v>15000</v>
      </c>
      <c r="G836" s="8">
        <f t="shared" si="52"/>
        <v>3481</v>
      </c>
      <c r="H836" s="6">
        <v>25000</v>
      </c>
      <c r="I836" t="s">
        <v>69</v>
      </c>
      <c r="J836" t="s">
        <v>35</v>
      </c>
      <c r="K836" t="s">
        <v>36</v>
      </c>
      <c r="L836" t="s">
        <v>48</v>
      </c>
      <c r="M836" t="s">
        <v>126</v>
      </c>
      <c r="N836" s="6">
        <v>3</v>
      </c>
      <c r="O836" t="str">
        <f t="shared" si="53"/>
        <v>Normal</v>
      </c>
      <c r="P836" t="str">
        <f t="shared" si="54"/>
        <v>Duplicate ID</v>
      </c>
      <c r="Q836" t="str">
        <f t="shared" si="55"/>
        <v>10,000-14,999</v>
      </c>
      <c r="R836" s="6">
        <f>IF(COUNTIF($A$2:A836,A836)=1,1,0)</f>
        <v>0</v>
      </c>
    </row>
    <row r="837" spans="1:18" x14ac:dyDescent="0.25">
      <c r="A837" s="6">
        <v>1449</v>
      </c>
      <c r="B837" s="7">
        <v>45112</v>
      </c>
      <c r="C837" t="s">
        <v>40</v>
      </c>
      <c r="D837" s="6">
        <v>2021</v>
      </c>
      <c r="E837" s="8">
        <v>13597</v>
      </c>
      <c r="F837" s="8">
        <v>15000</v>
      </c>
      <c r="G837" s="8">
        <f t="shared" si="52"/>
        <v>1403</v>
      </c>
      <c r="H837" s="6">
        <v>60000</v>
      </c>
      <c r="I837" t="s">
        <v>41</v>
      </c>
      <c r="J837" t="s">
        <v>35</v>
      </c>
      <c r="K837" t="s">
        <v>36</v>
      </c>
      <c r="L837" t="s">
        <v>1647</v>
      </c>
      <c r="M837" t="s">
        <v>1647</v>
      </c>
      <c r="N837" s="6">
        <v>0</v>
      </c>
      <c r="O837" t="str">
        <f t="shared" si="53"/>
        <v>Normal</v>
      </c>
      <c r="P837" t="str">
        <f t="shared" si="54"/>
        <v>Duplicate ID</v>
      </c>
      <c r="Q837" t="str">
        <f t="shared" si="55"/>
        <v>10,000-14,999</v>
      </c>
      <c r="R837" s="6">
        <f>IF(COUNTIF($A$2:A837,A837)=1,1,0)</f>
        <v>0</v>
      </c>
    </row>
    <row r="838" spans="1:18" x14ac:dyDescent="0.25">
      <c r="A838" s="6">
        <v>1324</v>
      </c>
      <c r="B838" s="7">
        <v>44930</v>
      </c>
      <c r="C838" t="s">
        <v>57</v>
      </c>
      <c r="D838" s="6">
        <v>2017</v>
      </c>
      <c r="E838" s="8">
        <v>3046</v>
      </c>
      <c r="F838" s="8">
        <v>9000</v>
      </c>
      <c r="G838" s="8">
        <f t="shared" si="52"/>
        <v>5954</v>
      </c>
      <c r="H838" s="6">
        <v>60000</v>
      </c>
      <c r="I838" t="s">
        <v>69</v>
      </c>
      <c r="J838" t="s">
        <v>72</v>
      </c>
      <c r="K838" t="s">
        <v>96</v>
      </c>
      <c r="L838" t="s">
        <v>1647</v>
      </c>
      <c r="M838" t="s">
        <v>126</v>
      </c>
      <c r="N838" s="6">
        <v>3</v>
      </c>
      <c r="O838" t="str">
        <f t="shared" si="53"/>
        <v>Normal</v>
      </c>
      <c r="P838" t="str">
        <f t="shared" si="54"/>
        <v>Duplicate ID</v>
      </c>
      <c r="Q838" t="str">
        <f t="shared" si="55"/>
        <v>0-4,999</v>
      </c>
      <c r="R838" s="6">
        <f>IF(COUNTIF($A$2:A838,A838)=1,1,0)</f>
        <v>0</v>
      </c>
    </row>
    <row r="839" spans="1:18" x14ac:dyDescent="0.25">
      <c r="A839" s="6">
        <v>1363</v>
      </c>
      <c r="B839" s="7">
        <v>44401</v>
      </c>
      <c r="C839" t="s">
        <v>40</v>
      </c>
      <c r="D839" s="6">
        <v>2014</v>
      </c>
      <c r="E839" s="8">
        <v>21721</v>
      </c>
      <c r="F839" s="8">
        <v>26000</v>
      </c>
      <c r="G839" s="8">
        <f t="shared" si="52"/>
        <v>4279</v>
      </c>
      <c r="H839" s="6">
        <v>60000</v>
      </c>
      <c r="I839" t="s">
        <v>69</v>
      </c>
      <c r="J839" t="s">
        <v>35</v>
      </c>
      <c r="K839" t="s">
        <v>36</v>
      </c>
      <c r="L839" t="s">
        <v>48</v>
      </c>
      <c r="M839" t="s">
        <v>98</v>
      </c>
      <c r="N839" s="6">
        <v>0</v>
      </c>
      <c r="O839" t="str">
        <f t="shared" si="53"/>
        <v>Normal</v>
      </c>
      <c r="P839" t="str">
        <f t="shared" si="54"/>
        <v>Duplicate ID</v>
      </c>
      <c r="Q839" t="str">
        <f t="shared" si="55"/>
        <v>20,000-24,999</v>
      </c>
      <c r="R839" s="6">
        <f>IF(COUNTIF($A$2:A839,A839)=1,1,0)</f>
        <v>0</v>
      </c>
    </row>
    <row r="840" spans="1:18" x14ac:dyDescent="0.25">
      <c r="A840" s="6">
        <v>1181</v>
      </c>
      <c r="B840" s="7">
        <v>44706</v>
      </c>
      <c r="C840" t="s">
        <v>119</v>
      </c>
      <c r="D840" s="6">
        <v>2018</v>
      </c>
      <c r="E840" s="8">
        <v>19848</v>
      </c>
      <c r="F840" s="8">
        <v>22000</v>
      </c>
      <c r="G840" s="8">
        <f t="shared" si="52"/>
        <v>2152</v>
      </c>
      <c r="H840" s="6">
        <v>15000</v>
      </c>
      <c r="I840" t="s">
        <v>1647</v>
      </c>
      <c r="J840" t="s">
        <v>35</v>
      </c>
      <c r="K840" t="s">
        <v>36</v>
      </c>
      <c r="L840" t="s">
        <v>100</v>
      </c>
      <c r="M840" t="s">
        <v>45</v>
      </c>
      <c r="N840" s="6">
        <v>2</v>
      </c>
      <c r="O840" t="str">
        <f t="shared" si="53"/>
        <v>Normal</v>
      </c>
      <c r="P840" t="str">
        <f t="shared" si="54"/>
        <v>Duplicate ID</v>
      </c>
      <c r="Q840" t="str">
        <f t="shared" si="55"/>
        <v>15,000-19,999</v>
      </c>
      <c r="R840" s="6">
        <f>IF(COUNTIF($A$2:A840,A840)=1,1,0)</f>
        <v>0</v>
      </c>
    </row>
    <row r="841" spans="1:18" x14ac:dyDescent="0.25">
      <c r="A841" s="6">
        <v>1155</v>
      </c>
      <c r="B841" s="7">
        <v>45259</v>
      </c>
      <c r="C841" t="s">
        <v>1648</v>
      </c>
      <c r="D841" s="6">
        <v>2016</v>
      </c>
      <c r="E841" s="8">
        <v>23570</v>
      </c>
      <c r="F841" s="8">
        <v>26000</v>
      </c>
      <c r="G841" s="8">
        <f t="shared" si="52"/>
        <v>2430</v>
      </c>
      <c r="H841" s="6">
        <v>25000</v>
      </c>
      <c r="I841" t="s">
        <v>41</v>
      </c>
      <c r="J841" t="s">
        <v>35</v>
      </c>
      <c r="K841" t="s">
        <v>36</v>
      </c>
      <c r="L841" t="s">
        <v>48</v>
      </c>
      <c r="M841" t="s">
        <v>90</v>
      </c>
      <c r="N841" s="6">
        <v>2</v>
      </c>
      <c r="O841" t="str">
        <f t="shared" si="53"/>
        <v>Normal</v>
      </c>
      <c r="P841" t="str">
        <f t="shared" si="54"/>
        <v>Duplicate ID</v>
      </c>
      <c r="Q841" t="str">
        <f t="shared" si="55"/>
        <v>20,000-24,999</v>
      </c>
      <c r="R841" s="6">
        <f>IF(COUNTIF($A$2:A841,A841)=1,1,0)</f>
        <v>0</v>
      </c>
    </row>
    <row r="842" spans="1:18" x14ac:dyDescent="0.25">
      <c r="A842" s="6">
        <v>1029</v>
      </c>
      <c r="B842" s="7">
        <v>44854</v>
      </c>
      <c r="C842" t="s">
        <v>79</v>
      </c>
      <c r="D842" s="6">
        <v>2018</v>
      </c>
      <c r="E842" s="8">
        <v>15906</v>
      </c>
      <c r="F842" s="8">
        <v>22000</v>
      </c>
      <c r="G842" s="8">
        <f t="shared" si="52"/>
        <v>6094</v>
      </c>
      <c r="H842" s="6">
        <v>40000</v>
      </c>
      <c r="I842" t="s">
        <v>41</v>
      </c>
      <c r="J842" t="s">
        <v>35</v>
      </c>
      <c r="K842" t="s">
        <v>96</v>
      </c>
      <c r="L842" t="s">
        <v>73</v>
      </c>
      <c r="M842" t="s">
        <v>1647</v>
      </c>
      <c r="N842" s="6">
        <v>3</v>
      </c>
      <c r="O842" t="str">
        <f t="shared" si="53"/>
        <v>Normal</v>
      </c>
      <c r="P842" t="str">
        <f t="shared" si="54"/>
        <v>Duplicate ID</v>
      </c>
      <c r="Q842" t="str">
        <f t="shared" si="55"/>
        <v>15,000-19,999</v>
      </c>
      <c r="R842" s="6">
        <f>IF(COUNTIF($A$2:A842,A842)=1,1,0)</f>
        <v>0</v>
      </c>
    </row>
    <row r="843" spans="1:18" x14ac:dyDescent="0.25">
      <c r="A843" s="6">
        <v>1094</v>
      </c>
      <c r="B843" s="7">
        <v>44653</v>
      </c>
      <c r="C843" t="s">
        <v>57</v>
      </c>
      <c r="D843" s="6">
        <v>2016</v>
      </c>
      <c r="E843" s="8">
        <v>5144</v>
      </c>
      <c r="F843" s="8">
        <v>9000</v>
      </c>
      <c r="G843" s="8">
        <f t="shared" si="52"/>
        <v>3856</v>
      </c>
      <c r="H843" s="6">
        <v>15000</v>
      </c>
      <c r="I843" t="s">
        <v>1647</v>
      </c>
      <c r="J843" t="s">
        <v>72</v>
      </c>
      <c r="K843" t="s">
        <v>1647</v>
      </c>
      <c r="L843" t="s">
        <v>48</v>
      </c>
      <c r="M843" t="s">
        <v>90</v>
      </c>
      <c r="N843" s="6" t="s">
        <v>1647</v>
      </c>
      <c r="O843" t="str">
        <f t="shared" si="53"/>
        <v>Normal</v>
      </c>
      <c r="P843" t="str">
        <f t="shared" si="54"/>
        <v>Duplicate ID</v>
      </c>
      <c r="Q843" t="str">
        <f t="shared" si="55"/>
        <v>5,000-9,999</v>
      </c>
      <c r="R843" s="6">
        <f>IF(COUNTIF($A$2:A843,A843)=1,1,0)</f>
        <v>1</v>
      </c>
    </row>
    <row r="844" spans="1:18" x14ac:dyDescent="0.25">
      <c r="A844" s="6">
        <v>1330</v>
      </c>
      <c r="B844" s="7">
        <v>44459</v>
      </c>
      <c r="C844" t="s">
        <v>40</v>
      </c>
      <c r="D844" s="6">
        <v>2018</v>
      </c>
      <c r="E844" s="8">
        <v>27896</v>
      </c>
      <c r="F844" s="8">
        <v>31000</v>
      </c>
      <c r="G844" s="8">
        <f t="shared" si="52"/>
        <v>3104</v>
      </c>
      <c r="H844" s="6">
        <v>60000</v>
      </c>
      <c r="I844" t="s">
        <v>41</v>
      </c>
      <c r="J844" t="s">
        <v>72</v>
      </c>
      <c r="K844" t="s">
        <v>96</v>
      </c>
      <c r="L844" t="s">
        <v>100</v>
      </c>
      <c r="M844" t="s">
        <v>90</v>
      </c>
      <c r="N844" s="6">
        <v>1</v>
      </c>
      <c r="O844" t="str">
        <f t="shared" si="53"/>
        <v>Normal</v>
      </c>
      <c r="P844" t="str">
        <f t="shared" si="54"/>
        <v>Duplicate ID</v>
      </c>
      <c r="Q844" t="str">
        <f t="shared" si="55"/>
        <v>25,000-30,000</v>
      </c>
      <c r="R844" s="6">
        <f>IF(COUNTIF($A$2:A844,A844)=1,1,0)</f>
        <v>0</v>
      </c>
    </row>
    <row r="845" spans="1:18" x14ac:dyDescent="0.25">
      <c r="A845" s="6">
        <v>1413</v>
      </c>
      <c r="B845" s="7">
        <v>44391</v>
      </c>
      <c r="C845" t="s">
        <v>32</v>
      </c>
      <c r="D845" s="6">
        <v>2016</v>
      </c>
      <c r="E845" s="8">
        <v>13327</v>
      </c>
      <c r="F845" s="8">
        <v>15000</v>
      </c>
      <c r="G845" s="8">
        <f t="shared" si="52"/>
        <v>1673</v>
      </c>
      <c r="H845" s="6">
        <v>120000</v>
      </c>
      <c r="I845" t="s">
        <v>69</v>
      </c>
      <c r="J845" t="s">
        <v>35</v>
      </c>
      <c r="K845" t="s">
        <v>96</v>
      </c>
      <c r="L845" t="s">
        <v>54</v>
      </c>
      <c r="M845" t="s">
        <v>98</v>
      </c>
      <c r="N845" s="6" t="s">
        <v>1647</v>
      </c>
      <c r="O845" t="str">
        <f t="shared" si="53"/>
        <v>Normal</v>
      </c>
      <c r="P845" t="str">
        <f t="shared" si="54"/>
        <v>Duplicate ID</v>
      </c>
      <c r="Q845" t="str">
        <f t="shared" si="55"/>
        <v>10,000-14,999</v>
      </c>
      <c r="R845" s="6">
        <f>IF(COUNTIF($A$2:A845,A845)=1,1,0)</f>
        <v>1</v>
      </c>
    </row>
    <row r="846" spans="1:18" x14ac:dyDescent="0.25">
      <c r="A846" s="6">
        <v>1593</v>
      </c>
      <c r="B846" s="7">
        <v>44494</v>
      </c>
      <c r="C846" t="s">
        <v>119</v>
      </c>
      <c r="D846" s="6">
        <v>2016</v>
      </c>
      <c r="E846" s="8">
        <v>17930</v>
      </c>
      <c r="F846" s="8">
        <v>22000</v>
      </c>
      <c r="G846" s="8">
        <f t="shared" si="52"/>
        <v>4070</v>
      </c>
      <c r="H846" s="6">
        <v>60000</v>
      </c>
      <c r="I846" t="s">
        <v>34</v>
      </c>
      <c r="J846" t="s">
        <v>35</v>
      </c>
      <c r="K846" t="s">
        <v>36</v>
      </c>
      <c r="L846" t="s">
        <v>100</v>
      </c>
      <c r="M846" t="s">
        <v>126</v>
      </c>
      <c r="N846" s="6">
        <v>1</v>
      </c>
      <c r="O846" t="str">
        <f t="shared" si="53"/>
        <v>Normal</v>
      </c>
      <c r="P846" t="str">
        <f t="shared" si="54"/>
        <v>Duplicate ID</v>
      </c>
      <c r="Q846" t="str">
        <f t="shared" si="55"/>
        <v>15,000-19,999</v>
      </c>
      <c r="R846" s="6">
        <f>IF(COUNTIF($A$2:A846,A846)=1,1,0)</f>
        <v>1</v>
      </c>
    </row>
    <row r="847" spans="1:18" x14ac:dyDescent="0.25">
      <c r="A847" s="6">
        <v>1585</v>
      </c>
      <c r="B847" s="7">
        <v>44220</v>
      </c>
      <c r="C847" t="s">
        <v>40</v>
      </c>
      <c r="D847" s="6">
        <v>2017</v>
      </c>
      <c r="E847" s="8">
        <v>8358</v>
      </c>
      <c r="F847" s="8">
        <v>12000</v>
      </c>
      <c r="G847" s="8">
        <f t="shared" si="52"/>
        <v>3642</v>
      </c>
      <c r="H847" s="6">
        <v>60000</v>
      </c>
      <c r="I847" t="s">
        <v>34</v>
      </c>
      <c r="J847" t="s">
        <v>72</v>
      </c>
      <c r="K847" t="s">
        <v>36</v>
      </c>
      <c r="L847" t="s">
        <v>48</v>
      </c>
      <c r="M847" t="s">
        <v>45</v>
      </c>
      <c r="N847" s="6" t="s">
        <v>1647</v>
      </c>
      <c r="O847" t="str">
        <f t="shared" si="53"/>
        <v>Normal</v>
      </c>
      <c r="P847" t="str">
        <f t="shared" si="54"/>
        <v>Duplicate ID</v>
      </c>
      <c r="Q847" t="str">
        <f t="shared" si="55"/>
        <v>5,000-9,999</v>
      </c>
      <c r="R847" s="6">
        <f>IF(COUNTIF($A$2:A847,A847)=1,1,0)</f>
        <v>0</v>
      </c>
    </row>
    <row r="848" spans="1:18" x14ac:dyDescent="0.25">
      <c r="A848" s="6">
        <v>1345</v>
      </c>
      <c r="B848" s="7">
        <v>44887</v>
      </c>
      <c r="C848" t="s">
        <v>1648</v>
      </c>
      <c r="D848" s="6">
        <v>2015</v>
      </c>
      <c r="E848" s="8">
        <v>12786</v>
      </c>
      <c r="F848" s="8">
        <v>18000</v>
      </c>
      <c r="G848" s="8">
        <f t="shared" si="52"/>
        <v>5214</v>
      </c>
      <c r="H848" s="6">
        <v>120000</v>
      </c>
      <c r="I848" t="s">
        <v>1647</v>
      </c>
      <c r="J848" t="s">
        <v>1647</v>
      </c>
      <c r="K848" t="s">
        <v>96</v>
      </c>
      <c r="L848" t="s">
        <v>73</v>
      </c>
      <c r="M848" t="s">
        <v>45</v>
      </c>
      <c r="N848" s="6" t="s">
        <v>1647</v>
      </c>
      <c r="O848" t="str">
        <f t="shared" si="53"/>
        <v>Normal</v>
      </c>
      <c r="P848" t="str">
        <f t="shared" si="54"/>
        <v>Duplicate ID</v>
      </c>
      <c r="Q848" t="str">
        <f t="shared" si="55"/>
        <v>10,000-14,999</v>
      </c>
      <c r="R848" s="6">
        <f>IF(COUNTIF($A$2:A848,A848)=1,1,0)</f>
        <v>0</v>
      </c>
    </row>
    <row r="849" spans="1:18" x14ac:dyDescent="0.25">
      <c r="A849" s="6">
        <v>1556</v>
      </c>
      <c r="B849" s="7">
        <v>44249</v>
      </c>
      <c r="C849" t="s">
        <v>119</v>
      </c>
      <c r="D849" s="6">
        <v>2015</v>
      </c>
      <c r="E849" s="8">
        <v>15739</v>
      </c>
      <c r="F849" s="8">
        <v>22000</v>
      </c>
      <c r="G849" s="8">
        <f t="shared" si="52"/>
        <v>6261</v>
      </c>
      <c r="H849" s="6">
        <v>60000</v>
      </c>
      <c r="I849" t="s">
        <v>41</v>
      </c>
      <c r="J849" t="s">
        <v>35</v>
      </c>
      <c r="K849" t="s">
        <v>1647</v>
      </c>
      <c r="L849" t="s">
        <v>54</v>
      </c>
      <c r="M849" t="s">
        <v>90</v>
      </c>
      <c r="N849" s="6">
        <v>2</v>
      </c>
      <c r="O849" t="str">
        <f t="shared" si="53"/>
        <v>Normal</v>
      </c>
      <c r="P849" t="str">
        <f t="shared" si="54"/>
        <v>Duplicate ID</v>
      </c>
      <c r="Q849" t="str">
        <f t="shared" si="55"/>
        <v>15,000-19,999</v>
      </c>
      <c r="R849" s="6">
        <f>IF(COUNTIF($A$2:A849,A849)=1,1,0)</f>
        <v>1</v>
      </c>
    </row>
    <row r="850" spans="1:18" x14ac:dyDescent="0.25">
      <c r="A850" s="6">
        <v>1186</v>
      </c>
      <c r="B850" s="7">
        <v>45230</v>
      </c>
      <c r="C850" t="s">
        <v>51</v>
      </c>
      <c r="D850" s="6">
        <v>2021</v>
      </c>
      <c r="E850" s="8">
        <v>24321</v>
      </c>
      <c r="F850" s="8">
        <v>26000</v>
      </c>
      <c r="G850" s="8">
        <f t="shared" si="52"/>
        <v>1679</v>
      </c>
      <c r="H850" s="6">
        <v>80000</v>
      </c>
      <c r="I850" t="s">
        <v>58</v>
      </c>
      <c r="J850" t="s">
        <v>35</v>
      </c>
      <c r="K850" t="s">
        <v>36</v>
      </c>
      <c r="L850" t="s">
        <v>73</v>
      </c>
      <c r="M850" t="s">
        <v>90</v>
      </c>
      <c r="N850" s="6">
        <v>2</v>
      </c>
      <c r="O850" t="str">
        <f t="shared" si="53"/>
        <v>Normal</v>
      </c>
      <c r="P850" t="str">
        <f t="shared" si="54"/>
        <v>Duplicate ID</v>
      </c>
      <c r="Q850" t="str">
        <f t="shared" si="55"/>
        <v>20,000-24,999</v>
      </c>
      <c r="R850" s="6">
        <f>IF(COUNTIF($A$2:A850,A850)=1,1,0)</f>
        <v>0</v>
      </c>
    </row>
    <row r="851" spans="1:18" x14ac:dyDescent="0.25">
      <c r="A851" s="6">
        <v>1235</v>
      </c>
      <c r="B851" s="7">
        <v>45301</v>
      </c>
      <c r="C851" t="s">
        <v>32</v>
      </c>
      <c r="D851" s="6"/>
      <c r="E851" s="8">
        <v>3030</v>
      </c>
      <c r="F851" s="8">
        <v>7000</v>
      </c>
      <c r="G851" s="8">
        <f t="shared" si="52"/>
        <v>3970</v>
      </c>
      <c r="H851" s="6">
        <v>80000</v>
      </c>
      <c r="I851" t="s">
        <v>58</v>
      </c>
      <c r="J851" t="s">
        <v>35</v>
      </c>
      <c r="K851" t="s">
        <v>36</v>
      </c>
      <c r="L851" t="s">
        <v>100</v>
      </c>
      <c r="M851" t="s">
        <v>90</v>
      </c>
      <c r="N851" s="6" t="s">
        <v>1647</v>
      </c>
      <c r="O851" t="str">
        <f t="shared" si="53"/>
        <v>Normal</v>
      </c>
      <c r="P851" t="str">
        <f t="shared" si="54"/>
        <v>Duplicate ID</v>
      </c>
      <c r="Q851" t="str">
        <f t="shared" si="55"/>
        <v>0-4,999</v>
      </c>
      <c r="R851" s="6">
        <f>IF(COUNTIF($A$2:A851,A851)=1,1,0)</f>
        <v>0</v>
      </c>
    </row>
    <row r="852" spans="1:18" x14ac:dyDescent="0.25">
      <c r="A852" s="6">
        <v>1399</v>
      </c>
      <c r="B852" s="7">
        <v>44804</v>
      </c>
      <c r="C852" t="s">
        <v>1648</v>
      </c>
      <c r="D852" s="6">
        <v>2017</v>
      </c>
      <c r="E852" s="8">
        <v>13717</v>
      </c>
      <c r="F852" s="8">
        <v>18000</v>
      </c>
      <c r="G852" s="8">
        <f t="shared" si="52"/>
        <v>4283</v>
      </c>
      <c r="H852" s="6">
        <v>15000</v>
      </c>
      <c r="I852" t="s">
        <v>1647</v>
      </c>
      <c r="J852" t="s">
        <v>72</v>
      </c>
      <c r="K852" t="s">
        <v>36</v>
      </c>
      <c r="L852" t="s">
        <v>54</v>
      </c>
      <c r="M852" t="s">
        <v>126</v>
      </c>
      <c r="N852" s="6">
        <v>0</v>
      </c>
      <c r="O852" t="str">
        <f t="shared" si="53"/>
        <v>Normal</v>
      </c>
      <c r="P852" t="str">
        <f t="shared" si="54"/>
        <v>Duplicate ID</v>
      </c>
      <c r="Q852" t="str">
        <f t="shared" si="55"/>
        <v>10,000-14,999</v>
      </c>
      <c r="R852" s="6">
        <f>IF(COUNTIF($A$2:A852,A852)=1,1,0)</f>
        <v>0</v>
      </c>
    </row>
    <row r="853" spans="1:18" x14ac:dyDescent="0.25">
      <c r="A853" s="6">
        <v>1060</v>
      </c>
      <c r="B853" s="7">
        <v>44333</v>
      </c>
      <c r="C853" t="s">
        <v>119</v>
      </c>
      <c r="D853" s="6">
        <v>2022</v>
      </c>
      <c r="E853" s="8">
        <v>11978</v>
      </c>
      <c r="F853" s="8">
        <v>18000</v>
      </c>
      <c r="G853" s="8">
        <f t="shared" si="52"/>
        <v>6022</v>
      </c>
      <c r="H853" s="6">
        <v>25000</v>
      </c>
      <c r="I853" t="s">
        <v>58</v>
      </c>
      <c r="J853" t="s">
        <v>35</v>
      </c>
      <c r="K853" t="s">
        <v>96</v>
      </c>
      <c r="L853" t="s">
        <v>100</v>
      </c>
      <c r="M853" t="s">
        <v>98</v>
      </c>
      <c r="N853" s="6">
        <v>3</v>
      </c>
      <c r="O853" t="str">
        <f t="shared" si="53"/>
        <v>Normal</v>
      </c>
      <c r="P853" t="str">
        <f t="shared" si="54"/>
        <v>Duplicate ID</v>
      </c>
      <c r="Q853" t="str">
        <f t="shared" si="55"/>
        <v>10,000-14,999</v>
      </c>
      <c r="R853" s="6">
        <f>IF(COUNTIF($A$2:A853,A853)=1,1,0)</f>
        <v>0</v>
      </c>
    </row>
    <row r="854" spans="1:18" x14ac:dyDescent="0.25">
      <c r="A854" s="6">
        <v>1143</v>
      </c>
      <c r="B854" s="7">
        <v>44762</v>
      </c>
      <c r="C854" t="s">
        <v>57</v>
      </c>
      <c r="D854" s="6">
        <v>2017</v>
      </c>
      <c r="E854" s="8">
        <v>19147</v>
      </c>
      <c r="F854" s="8">
        <v>22000</v>
      </c>
      <c r="G854" s="8">
        <f t="shared" si="52"/>
        <v>2853</v>
      </c>
      <c r="H854" s="6">
        <v>15000</v>
      </c>
      <c r="I854" t="s">
        <v>58</v>
      </c>
      <c r="J854" t="s">
        <v>35</v>
      </c>
      <c r="K854" t="s">
        <v>96</v>
      </c>
      <c r="L854" t="s">
        <v>100</v>
      </c>
      <c r="M854" t="s">
        <v>45</v>
      </c>
      <c r="N854" s="6">
        <v>2</v>
      </c>
      <c r="O854" t="str">
        <f t="shared" si="53"/>
        <v>Normal</v>
      </c>
      <c r="P854" t="str">
        <f t="shared" si="54"/>
        <v>Duplicate ID</v>
      </c>
      <c r="Q854" t="str">
        <f t="shared" si="55"/>
        <v>15,000-19,999</v>
      </c>
      <c r="R854" s="6">
        <f>IF(COUNTIF($A$2:A854,A854)=1,1,0)</f>
        <v>0</v>
      </c>
    </row>
    <row r="855" spans="1:18" x14ac:dyDescent="0.25">
      <c r="A855" s="6">
        <v>1105</v>
      </c>
      <c r="B855" s="7">
        <v>45270</v>
      </c>
      <c r="C855" t="s">
        <v>40</v>
      </c>
      <c r="D855" s="6">
        <v>2018</v>
      </c>
      <c r="E855" s="8">
        <v>5451</v>
      </c>
      <c r="F855" s="8">
        <v>9000</v>
      </c>
      <c r="G855" s="8">
        <f t="shared" si="52"/>
        <v>3549</v>
      </c>
      <c r="H855" s="6">
        <v>80000</v>
      </c>
      <c r="I855" t="s">
        <v>1647</v>
      </c>
      <c r="J855" t="s">
        <v>72</v>
      </c>
      <c r="K855" t="s">
        <v>36</v>
      </c>
      <c r="L855" t="s">
        <v>1647</v>
      </c>
      <c r="M855" t="s">
        <v>98</v>
      </c>
      <c r="N855" s="6">
        <v>1</v>
      </c>
      <c r="O855" t="str">
        <f t="shared" si="53"/>
        <v>Normal</v>
      </c>
      <c r="P855" t="str">
        <f t="shared" si="54"/>
        <v>Duplicate ID</v>
      </c>
      <c r="Q855" t="str">
        <f t="shared" si="55"/>
        <v>5,000-9,999</v>
      </c>
      <c r="R855" s="6">
        <f>IF(COUNTIF($A$2:A855,A855)=1,1,0)</f>
        <v>1</v>
      </c>
    </row>
    <row r="856" spans="1:18" x14ac:dyDescent="0.25">
      <c r="A856" s="6">
        <v>1115</v>
      </c>
      <c r="B856" s="7">
        <v>44720</v>
      </c>
      <c r="C856" t="s">
        <v>40</v>
      </c>
      <c r="D856" s="6">
        <v>2019</v>
      </c>
      <c r="E856" s="8">
        <v>13875</v>
      </c>
      <c r="F856" s="8">
        <v>18000</v>
      </c>
      <c r="G856" s="8">
        <f t="shared" si="52"/>
        <v>4125</v>
      </c>
      <c r="H856" s="6">
        <v>15000</v>
      </c>
      <c r="I856" t="s">
        <v>1647</v>
      </c>
      <c r="J856" t="s">
        <v>72</v>
      </c>
      <c r="K856" t="s">
        <v>36</v>
      </c>
      <c r="L856" t="s">
        <v>1647</v>
      </c>
      <c r="M856" t="s">
        <v>126</v>
      </c>
      <c r="N856" s="6">
        <v>0</v>
      </c>
      <c r="O856" t="str">
        <f t="shared" si="53"/>
        <v>Normal</v>
      </c>
      <c r="P856" t="str">
        <f t="shared" si="54"/>
        <v>Duplicate ID</v>
      </c>
      <c r="Q856" t="str">
        <f t="shared" si="55"/>
        <v>10,000-14,999</v>
      </c>
      <c r="R856" s="6">
        <f>IF(COUNTIF($A$2:A856,A856)=1,1,0)</f>
        <v>0</v>
      </c>
    </row>
    <row r="857" spans="1:18" x14ac:dyDescent="0.25">
      <c r="A857" s="6">
        <v>1058</v>
      </c>
      <c r="B857" s="7">
        <v>45060</v>
      </c>
      <c r="C857" t="s">
        <v>79</v>
      </c>
      <c r="D857" s="6">
        <v>2017</v>
      </c>
      <c r="E857" s="8">
        <v>26458</v>
      </c>
      <c r="F857" s="8">
        <v>31000</v>
      </c>
      <c r="G857" s="8">
        <f t="shared" si="52"/>
        <v>4542</v>
      </c>
      <c r="H857" s="6">
        <v>120000</v>
      </c>
      <c r="I857" t="s">
        <v>69</v>
      </c>
      <c r="J857" t="s">
        <v>72</v>
      </c>
      <c r="K857" t="s">
        <v>1647</v>
      </c>
      <c r="L857" t="s">
        <v>54</v>
      </c>
      <c r="M857" t="s">
        <v>98</v>
      </c>
      <c r="N857" s="6">
        <v>2</v>
      </c>
      <c r="O857" t="str">
        <f t="shared" si="53"/>
        <v>Normal</v>
      </c>
      <c r="P857" t="str">
        <f t="shared" si="54"/>
        <v>Duplicate ID</v>
      </c>
      <c r="Q857" t="str">
        <f t="shared" si="55"/>
        <v>25,000-30,000</v>
      </c>
      <c r="R857" s="6">
        <f>IF(COUNTIF($A$2:A857,A857)=1,1,0)</f>
        <v>1</v>
      </c>
    </row>
    <row r="858" spans="1:18" x14ac:dyDescent="0.25">
      <c r="A858" s="6">
        <v>1248</v>
      </c>
      <c r="B858" s="7">
        <v>45191</v>
      </c>
      <c r="C858" t="s">
        <v>79</v>
      </c>
      <c r="D858" s="6">
        <v>2015</v>
      </c>
      <c r="E858" s="8">
        <v>159</v>
      </c>
      <c r="F858" s="8">
        <v>7000</v>
      </c>
      <c r="G858" s="8">
        <f t="shared" si="52"/>
        <v>6841</v>
      </c>
      <c r="H858" s="6">
        <v>15000</v>
      </c>
      <c r="I858" t="s">
        <v>69</v>
      </c>
      <c r="J858" t="s">
        <v>35</v>
      </c>
      <c r="K858" t="s">
        <v>96</v>
      </c>
      <c r="L858" t="s">
        <v>1647</v>
      </c>
      <c r="M858" t="s">
        <v>98</v>
      </c>
      <c r="N858" s="6" t="s">
        <v>1647</v>
      </c>
      <c r="O858" t="str">
        <f t="shared" si="53"/>
        <v>Outlier</v>
      </c>
      <c r="P858" t="str">
        <f t="shared" si="54"/>
        <v>Duplicate ID</v>
      </c>
      <c r="Q858" t="str">
        <f t="shared" si="55"/>
        <v>0-4,999</v>
      </c>
      <c r="R858" s="6">
        <f>IF(COUNTIF($A$2:A858,A858)=1,1,0)</f>
        <v>0</v>
      </c>
    </row>
    <row r="859" spans="1:18" x14ac:dyDescent="0.25">
      <c r="A859" s="6">
        <v>1589</v>
      </c>
      <c r="B859" s="7">
        <v>44398</v>
      </c>
      <c r="C859" t="s">
        <v>79</v>
      </c>
      <c r="D859" s="6">
        <v>2014</v>
      </c>
      <c r="E859" s="8">
        <v>2736</v>
      </c>
      <c r="F859" s="8">
        <v>9000</v>
      </c>
      <c r="G859" s="8">
        <f t="shared" si="52"/>
        <v>6264</v>
      </c>
      <c r="H859" s="6">
        <v>80000</v>
      </c>
      <c r="I859" t="s">
        <v>34</v>
      </c>
      <c r="J859" t="s">
        <v>72</v>
      </c>
      <c r="K859" t="s">
        <v>36</v>
      </c>
      <c r="L859" t="s">
        <v>54</v>
      </c>
      <c r="M859" t="s">
        <v>98</v>
      </c>
      <c r="N859" s="6">
        <v>3</v>
      </c>
      <c r="O859" t="str">
        <f t="shared" si="53"/>
        <v>Normal</v>
      </c>
      <c r="P859" t="str">
        <f t="shared" si="54"/>
        <v>Duplicate ID</v>
      </c>
      <c r="Q859" t="str">
        <f t="shared" si="55"/>
        <v>0-4,999</v>
      </c>
      <c r="R859" s="6">
        <f>IF(COUNTIF($A$2:A859,A859)=1,1,0)</f>
        <v>0</v>
      </c>
    </row>
    <row r="860" spans="1:18" x14ac:dyDescent="0.25">
      <c r="A860" s="6">
        <v>1580</v>
      </c>
      <c r="B860" s="7">
        <v>44639</v>
      </c>
      <c r="C860" t="s">
        <v>40</v>
      </c>
      <c r="D860" s="6">
        <v>2020</v>
      </c>
      <c r="E860" s="8">
        <v>24790</v>
      </c>
      <c r="F860" s="8">
        <v>26000</v>
      </c>
      <c r="G860" s="8">
        <f t="shared" si="52"/>
        <v>1210</v>
      </c>
      <c r="H860" s="6">
        <v>120000</v>
      </c>
      <c r="I860" t="s">
        <v>69</v>
      </c>
      <c r="J860" t="s">
        <v>72</v>
      </c>
      <c r="K860" t="s">
        <v>36</v>
      </c>
      <c r="L860" t="s">
        <v>48</v>
      </c>
      <c r="M860" t="s">
        <v>45</v>
      </c>
      <c r="N860" s="6">
        <v>2</v>
      </c>
      <c r="O860" t="str">
        <f t="shared" si="53"/>
        <v>Normal</v>
      </c>
      <c r="P860" t="str">
        <f t="shared" si="54"/>
        <v>Duplicate ID</v>
      </c>
      <c r="Q860" t="str">
        <f t="shared" si="55"/>
        <v>20,000-24,999</v>
      </c>
      <c r="R860" s="6">
        <f>IF(COUNTIF($A$2:A860,A860)=1,1,0)</f>
        <v>0</v>
      </c>
    </row>
    <row r="861" spans="1:18" x14ac:dyDescent="0.25">
      <c r="A861" s="6">
        <v>1332</v>
      </c>
      <c r="B861" s="7">
        <v>44294</v>
      </c>
      <c r="C861" t="s">
        <v>79</v>
      </c>
      <c r="D861" s="6">
        <v>2019</v>
      </c>
      <c r="E861" s="8">
        <v>10347</v>
      </c>
      <c r="F861" s="8">
        <v>15000</v>
      </c>
      <c r="G861" s="8">
        <f t="shared" si="52"/>
        <v>4653</v>
      </c>
      <c r="H861" s="6">
        <v>40000</v>
      </c>
      <c r="I861" t="s">
        <v>58</v>
      </c>
      <c r="J861" t="s">
        <v>35</v>
      </c>
      <c r="K861" t="s">
        <v>1647</v>
      </c>
      <c r="L861" t="s">
        <v>1647</v>
      </c>
      <c r="M861" t="s">
        <v>45</v>
      </c>
      <c r="N861" s="6">
        <v>3</v>
      </c>
      <c r="O861" t="str">
        <f t="shared" si="53"/>
        <v>Normal</v>
      </c>
      <c r="P861" t="str">
        <f t="shared" si="54"/>
        <v>Duplicate ID</v>
      </c>
      <c r="Q861" t="str">
        <f t="shared" si="55"/>
        <v>10,000-14,999</v>
      </c>
      <c r="R861" s="6">
        <f>IF(COUNTIF($A$2:A861,A861)=1,1,0)</f>
        <v>0</v>
      </c>
    </row>
    <row r="862" spans="1:18" x14ac:dyDescent="0.25">
      <c r="A862" s="6">
        <v>1551</v>
      </c>
      <c r="B862" s="7">
        <v>44917</v>
      </c>
      <c r="C862" t="s">
        <v>79</v>
      </c>
      <c r="D862" s="6">
        <v>2016</v>
      </c>
      <c r="E862" s="8">
        <v>27266</v>
      </c>
      <c r="F862" s="8">
        <v>31000</v>
      </c>
      <c r="G862" s="8">
        <f t="shared" si="52"/>
        <v>3734</v>
      </c>
      <c r="H862" s="6">
        <v>15000</v>
      </c>
      <c r="I862" t="s">
        <v>69</v>
      </c>
      <c r="J862" t="s">
        <v>35</v>
      </c>
      <c r="K862" t="s">
        <v>36</v>
      </c>
      <c r="L862" t="s">
        <v>48</v>
      </c>
      <c r="M862" t="s">
        <v>45</v>
      </c>
      <c r="N862" s="6" t="s">
        <v>1647</v>
      </c>
      <c r="O862" t="str">
        <f t="shared" si="53"/>
        <v>Normal</v>
      </c>
      <c r="P862" t="str">
        <f t="shared" si="54"/>
        <v>Duplicate ID</v>
      </c>
      <c r="Q862" t="str">
        <f t="shared" si="55"/>
        <v>25,000-30,000</v>
      </c>
      <c r="R862" s="6">
        <f>IF(COUNTIF($A$2:A862,A862)=1,1,0)</f>
        <v>1</v>
      </c>
    </row>
    <row r="863" spans="1:18" x14ac:dyDescent="0.25">
      <c r="A863" s="6">
        <v>1497</v>
      </c>
      <c r="B863" s="7">
        <v>44739</v>
      </c>
      <c r="C863" t="s">
        <v>1648</v>
      </c>
      <c r="D863" s="6">
        <v>2018</v>
      </c>
      <c r="E863" s="8">
        <v>9344</v>
      </c>
      <c r="F863" s="8">
        <v>12000</v>
      </c>
      <c r="G863" s="8">
        <f t="shared" si="52"/>
        <v>2656</v>
      </c>
      <c r="H863" s="6">
        <v>60000</v>
      </c>
      <c r="I863" t="s">
        <v>58</v>
      </c>
      <c r="J863" t="s">
        <v>35</v>
      </c>
      <c r="K863" t="s">
        <v>96</v>
      </c>
      <c r="L863" t="s">
        <v>73</v>
      </c>
      <c r="M863" t="s">
        <v>126</v>
      </c>
      <c r="N863" s="6">
        <v>1</v>
      </c>
      <c r="O863" t="str">
        <f t="shared" si="53"/>
        <v>Normal</v>
      </c>
      <c r="P863" t="str">
        <f t="shared" si="54"/>
        <v>Duplicate ID</v>
      </c>
      <c r="Q863" t="str">
        <f t="shared" si="55"/>
        <v>5,000-9,999</v>
      </c>
      <c r="R863" s="6">
        <f>IF(COUNTIF($A$2:A863,A863)=1,1,0)</f>
        <v>0</v>
      </c>
    </row>
    <row r="864" spans="1:18" x14ac:dyDescent="0.25">
      <c r="A864" s="6">
        <v>1407</v>
      </c>
      <c r="B864" s="7">
        <v>44561</v>
      </c>
      <c r="C864" t="s">
        <v>51</v>
      </c>
      <c r="D864" s="6">
        <v>2022</v>
      </c>
      <c r="E864" s="8">
        <v>12591</v>
      </c>
      <c r="F864" s="8">
        <v>18000</v>
      </c>
      <c r="G864" s="8">
        <f t="shared" si="52"/>
        <v>5409</v>
      </c>
      <c r="H864" s="6">
        <v>80000</v>
      </c>
      <c r="I864" t="s">
        <v>34</v>
      </c>
      <c r="J864" t="s">
        <v>72</v>
      </c>
      <c r="K864" t="s">
        <v>36</v>
      </c>
      <c r="L864" t="s">
        <v>54</v>
      </c>
      <c r="M864" t="s">
        <v>1647</v>
      </c>
      <c r="N864" s="6">
        <v>2</v>
      </c>
      <c r="O864" t="str">
        <f t="shared" si="53"/>
        <v>Normal</v>
      </c>
      <c r="P864" t="str">
        <f t="shared" si="54"/>
        <v>Duplicate ID</v>
      </c>
      <c r="Q864" t="str">
        <f t="shared" si="55"/>
        <v>10,000-14,999</v>
      </c>
      <c r="R864" s="6">
        <f>IF(COUNTIF($A$2:A864,A864)=1,1,0)</f>
        <v>0</v>
      </c>
    </row>
    <row r="865" spans="1:18" x14ac:dyDescent="0.25">
      <c r="A865" s="6">
        <v>1084</v>
      </c>
      <c r="B865" s="7">
        <v>45364</v>
      </c>
      <c r="C865" t="s">
        <v>79</v>
      </c>
      <c r="D865" s="6">
        <v>2016</v>
      </c>
      <c r="E865" s="8">
        <v>22593</v>
      </c>
      <c r="F865" s="8">
        <v>26000</v>
      </c>
      <c r="G865" s="8">
        <f t="shared" si="52"/>
        <v>3407</v>
      </c>
      <c r="H865" s="6">
        <v>15000</v>
      </c>
      <c r="I865" t="s">
        <v>58</v>
      </c>
      <c r="J865" t="s">
        <v>1647</v>
      </c>
      <c r="K865" t="s">
        <v>36</v>
      </c>
      <c r="L865" t="s">
        <v>54</v>
      </c>
      <c r="M865" t="s">
        <v>126</v>
      </c>
      <c r="N865" s="6">
        <v>3</v>
      </c>
      <c r="O865" t="str">
        <f t="shared" si="53"/>
        <v>Normal</v>
      </c>
      <c r="P865" t="str">
        <f t="shared" si="54"/>
        <v>Duplicate ID</v>
      </c>
      <c r="Q865" t="str">
        <f t="shared" si="55"/>
        <v>20,000-24,999</v>
      </c>
      <c r="R865" s="6">
        <f>IF(COUNTIF($A$2:A865,A865)=1,1,0)</f>
        <v>0</v>
      </c>
    </row>
    <row r="866" spans="1:18" x14ac:dyDescent="0.25">
      <c r="A866" s="6">
        <v>1148</v>
      </c>
      <c r="B866" s="7">
        <v>44639</v>
      </c>
      <c r="C866" t="s">
        <v>119</v>
      </c>
      <c r="D866" s="6">
        <v>2017</v>
      </c>
      <c r="E866" s="8">
        <v>10393</v>
      </c>
      <c r="F866" s="8">
        <v>15000</v>
      </c>
      <c r="G866" s="8">
        <f t="shared" si="52"/>
        <v>4607</v>
      </c>
      <c r="H866" s="6">
        <v>25000</v>
      </c>
      <c r="I866" t="s">
        <v>1647</v>
      </c>
      <c r="J866" t="s">
        <v>72</v>
      </c>
      <c r="K866" t="s">
        <v>96</v>
      </c>
      <c r="L866" t="s">
        <v>1647</v>
      </c>
      <c r="M866" t="s">
        <v>1647</v>
      </c>
      <c r="N866" s="6" t="s">
        <v>1647</v>
      </c>
      <c r="O866" t="str">
        <f t="shared" si="53"/>
        <v>Normal</v>
      </c>
      <c r="P866" t="str">
        <f t="shared" si="54"/>
        <v>Duplicate ID</v>
      </c>
      <c r="Q866" t="str">
        <f t="shared" si="55"/>
        <v>10,000-14,999</v>
      </c>
      <c r="R866" s="6">
        <f>IF(COUNTIF($A$2:A866,A866)=1,1,0)</f>
        <v>1</v>
      </c>
    </row>
    <row r="867" spans="1:18" x14ac:dyDescent="0.25">
      <c r="A867" s="6">
        <v>1589</v>
      </c>
      <c r="B867" s="7">
        <v>45015</v>
      </c>
      <c r="C867" t="s">
        <v>57</v>
      </c>
      <c r="D867" s="6">
        <v>2020</v>
      </c>
      <c r="E867" s="8">
        <v>6242</v>
      </c>
      <c r="F867" s="8">
        <v>12000</v>
      </c>
      <c r="G867" s="8">
        <f t="shared" si="52"/>
        <v>5758</v>
      </c>
      <c r="H867" s="6">
        <v>80000</v>
      </c>
      <c r="I867" t="s">
        <v>69</v>
      </c>
      <c r="J867" t="s">
        <v>72</v>
      </c>
      <c r="K867" t="s">
        <v>96</v>
      </c>
      <c r="L867" t="s">
        <v>54</v>
      </c>
      <c r="M867" t="s">
        <v>45</v>
      </c>
      <c r="N867" s="6">
        <v>1</v>
      </c>
      <c r="O867" t="str">
        <f t="shared" si="53"/>
        <v>Normal</v>
      </c>
      <c r="P867" t="str">
        <f t="shared" si="54"/>
        <v>Duplicate ID</v>
      </c>
      <c r="Q867" t="str">
        <f t="shared" si="55"/>
        <v>5,000-9,999</v>
      </c>
      <c r="R867" s="6">
        <f>IF(COUNTIF($A$2:A867,A867)=1,1,0)</f>
        <v>0</v>
      </c>
    </row>
    <row r="868" spans="1:18" x14ac:dyDescent="0.25">
      <c r="A868" s="6">
        <v>1329</v>
      </c>
      <c r="B868" s="7">
        <v>44472</v>
      </c>
      <c r="C868" t="s">
        <v>51</v>
      </c>
      <c r="D868" s="6">
        <v>2022</v>
      </c>
      <c r="E868" s="8">
        <v>15322</v>
      </c>
      <c r="F868" s="8">
        <v>22000</v>
      </c>
      <c r="G868" s="8">
        <f t="shared" si="52"/>
        <v>6678</v>
      </c>
      <c r="H868" s="6">
        <v>15000</v>
      </c>
      <c r="I868" t="s">
        <v>58</v>
      </c>
      <c r="J868" t="s">
        <v>35</v>
      </c>
      <c r="K868" t="s">
        <v>1647</v>
      </c>
      <c r="L868" t="s">
        <v>48</v>
      </c>
      <c r="M868" t="s">
        <v>1647</v>
      </c>
      <c r="N868" s="6">
        <v>2</v>
      </c>
      <c r="O868" t="str">
        <f t="shared" si="53"/>
        <v>Normal</v>
      </c>
      <c r="P868" t="str">
        <f t="shared" si="54"/>
        <v>Duplicate ID</v>
      </c>
      <c r="Q868" t="str">
        <f t="shared" si="55"/>
        <v>15,000-19,999</v>
      </c>
      <c r="R868" s="6">
        <f>IF(COUNTIF($A$2:A868,A868)=1,1,0)</f>
        <v>0</v>
      </c>
    </row>
    <row r="869" spans="1:18" x14ac:dyDescent="0.25">
      <c r="A869" s="6">
        <v>1229</v>
      </c>
      <c r="B869" s="7">
        <v>45331</v>
      </c>
      <c r="C869" t="s">
        <v>32</v>
      </c>
      <c r="D869" s="6"/>
      <c r="E869" s="8">
        <v>11147</v>
      </c>
      <c r="F869" s="8">
        <v>15000</v>
      </c>
      <c r="G869" s="8">
        <f t="shared" si="52"/>
        <v>3853</v>
      </c>
      <c r="H869" s="6">
        <v>120000</v>
      </c>
      <c r="I869" t="s">
        <v>1647</v>
      </c>
      <c r="J869" t="s">
        <v>72</v>
      </c>
      <c r="K869" t="s">
        <v>1647</v>
      </c>
      <c r="L869" t="s">
        <v>48</v>
      </c>
      <c r="M869" t="s">
        <v>126</v>
      </c>
      <c r="N869" s="6">
        <v>1</v>
      </c>
      <c r="O869" t="str">
        <f t="shared" si="53"/>
        <v>Normal</v>
      </c>
      <c r="P869" t="str">
        <f t="shared" si="54"/>
        <v>Duplicate ID</v>
      </c>
      <c r="Q869" t="str">
        <f t="shared" si="55"/>
        <v>10,000-14,999</v>
      </c>
      <c r="R869" s="6">
        <f>IF(COUNTIF($A$2:A869,A869)=1,1,0)</f>
        <v>0</v>
      </c>
    </row>
    <row r="870" spans="1:18" x14ac:dyDescent="0.25">
      <c r="A870" s="6">
        <v>1355</v>
      </c>
      <c r="B870" s="7">
        <v>44314</v>
      </c>
      <c r="C870" t="s">
        <v>40</v>
      </c>
      <c r="D870" s="6">
        <v>2022</v>
      </c>
      <c r="E870" s="8">
        <v>24673</v>
      </c>
      <c r="F870" s="8">
        <v>31000</v>
      </c>
      <c r="G870" s="8">
        <f t="shared" si="52"/>
        <v>6327</v>
      </c>
      <c r="H870" s="6">
        <v>80000</v>
      </c>
      <c r="I870" t="s">
        <v>69</v>
      </c>
      <c r="J870" t="s">
        <v>35</v>
      </c>
      <c r="K870" t="s">
        <v>96</v>
      </c>
      <c r="L870" t="s">
        <v>54</v>
      </c>
      <c r="M870" t="s">
        <v>126</v>
      </c>
      <c r="N870" s="6" t="s">
        <v>1647</v>
      </c>
      <c r="O870" t="str">
        <f t="shared" si="53"/>
        <v>Normal</v>
      </c>
      <c r="P870" t="str">
        <f t="shared" si="54"/>
        <v>Duplicate ID</v>
      </c>
      <c r="Q870" t="str">
        <f t="shared" si="55"/>
        <v>20,000-24,999</v>
      </c>
      <c r="R870" s="6">
        <f>IF(COUNTIF($A$2:A870,A870)=1,1,0)</f>
        <v>1</v>
      </c>
    </row>
    <row r="871" spans="1:18" x14ac:dyDescent="0.25">
      <c r="A871" s="6">
        <v>1317</v>
      </c>
      <c r="B871" s="7">
        <v>45122</v>
      </c>
      <c r="C871" t="s">
        <v>1648</v>
      </c>
      <c r="D871" s="6">
        <v>2020</v>
      </c>
      <c r="E871" s="8">
        <v>9238</v>
      </c>
      <c r="F871" s="8">
        <v>12000</v>
      </c>
      <c r="G871" s="8">
        <f t="shared" si="52"/>
        <v>2762</v>
      </c>
      <c r="H871" s="6">
        <v>60000</v>
      </c>
      <c r="I871" t="s">
        <v>34</v>
      </c>
      <c r="J871" t="s">
        <v>35</v>
      </c>
      <c r="K871" t="s">
        <v>1647</v>
      </c>
      <c r="L871" t="s">
        <v>54</v>
      </c>
      <c r="M871" t="s">
        <v>126</v>
      </c>
      <c r="N871" s="6" t="s">
        <v>1647</v>
      </c>
      <c r="O871" t="str">
        <f t="shared" si="53"/>
        <v>Normal</v>
      </c>
      <c r="P871" t="str">
        <f t="shared" si="54"/>
        <v>Duplicate ID</v>
      </c>
      <c r="Q871" t="str">
        <f t="shared" si="55"/>
        <v>5,000-9,999</v>
      </c>
      <c r="R871" s="6">
        <f>IF(COUNTIF($A$2:A871,A871)=1,1,0)</f>
        <v>1</v>
      </c>
    </row>
    <row r="872" spans="1:18" x14ac:dyDescent="0.25">
      <c r="A872" s="6">
        <v>1542</v>
      </c>
      <c r="B872" s="7">
        <v>44327</v>
      </c>
      <c r="C872" t="s">
        <v>40</v>
      </c>
      <c r="D872" s="6">
        <v>2019</v>
      </c>
      <c r="E872" s="8">
        <v>2972</v>
      </c>
      <c r="F872" s="8">
        <v>9000</v>
      </c>
      <c r="G872" s="8">
        <f t="shared" si="52"/>
        <v>6028</v>
      </c>
      <c r="H872" s="6">
        <v>15000</v>
      </c>
      <c r="I872" t="s">
        <v>58</v>
      </c>
      <c r="J872" t="s">
        <v>35</v>
      </c>
      <c r="K872" t="s">
        <v>36</v>
      </c>
      <c r="L872" t="s">
        <v>48</v>
      </c>
      <c r="M872" t="s">
        <v>126</v>
      </c>
      <c r="N872" s="6">
        <v>2</v>
      </c>
      <c r="O872" t="str">
        <f t="shared" si="53"/>
        <v>Normal</v>
      </c>
      <c r="P872" t="str">
        <f t="shared" si="54"/>
        <v>Duplicate ID</v>
      </c>
      <c r="Q872" t="str">
        <f t="shared" si="55"/>
        <v>0-4,999</v>
      </c>
      <c r="R872" s="6">
        <f>IF(COUNTIF($A$2:A872,A872)=1,1,0)</f>
        <v>0</v>
      </c>
    </row>
    <row r="873" spans="1:18" x14ac:dyDescent="0.25">
      <c r="A873" s="6">
        <v>1417</v>
      </c>
      <c r="B873" s="7">
        <v>44990</v>
      </c>
      <c r="C873" t="s">
        <v>40</v>
      </c>
      <c r="D873" s="6">
        <v>2015</v>
      </c>
      <c r="E873" s="8">
        <v>19258</v>
      </c>
      <c r="F873" s="8">
        <v>26000</v>
      </c>
      <c r="G873" s="8">
        <f t="shared" si="52"/>
        <v>6742</v>
      </c>
      <c r="H873" s="6">
        <v>80000</v>
      </c>
      <c r="I873" t="s">
        <v>58</v>
      </c>
      <c r="J873" t="s">
        <v>35</v>
      </c>
      <c r="K873" t="s">
        <v>96</v>
      </c>
      <c r="L873" t="s">
        <v>54</v>
      </c>
      <c r="M873" t="s">
        <v>90</v>
      </c>
      <c r="N873" s="6">
        <v>3</v>
      </c>
      <c r="O873" t="str">
        <f t="shared" si="53"/>
        <v>Normal</v>
      </c>
      <c r="P873" t="str">
        <f t="shared" si="54"/>
        <v>Duplicate ID</v>
      </c>
      <c r="Q873" t="str">
        <f t="shared" si="55"/>
        <v>15,000-19,999</v>
      </c>
      <c r="R873" s="6">
        <f>IF(COUNTIF($A$2:A873,A873)=1,1,0)</f>
        <v>1</v>
      </c>
    </row>
    <row r="874" spans="1:18" x14ac:dyDescent="0.25">
      <c r="A874" s="6">
        <v>1205</v>
      </c>
      <c r="B874" s="7">
        <v>45019</v>
      </c>
      <c r="C874" t="s">
        <v>119</v>
      </c>
      <c r="D874" s="6">
        <v>2021</v>
      </c>
      <c r="E874" s="8">
        <v>5866</v>
      </c>
      <c r="F874" s="8">
        <v>9000</v>
      </c>
      <c r="G874" s="8">
        <f t="shared" si="52"/>
        <v>3134</v>
      </c>
      <c r="H874" s="6">
        <v>25000</v>
      </c>
      <c r="I874" t="s">
        <v>69</v>
      </c>
      <c r="J874" t="s">
        <v>72</v>
      </c>
      <c r="K874" t="s">
        <v>36</v>
      </c>
      <c r="L874" t="s">
        <v>1647</v>
      </c>
      <c r="M874" t="s">
        <v>45</v>
      </c>
      <c r="N874" s="6">
        <v>0</v>
      </c>
      <c r="O874" t="str">
        <f t="shared" si="53"/>
        <v>Normal</v>
      </c>
      <c r="P874" t="str">
        <f t="shared" si="54"/>
        <v>Duplicate ID</v>
      </c>
      <c r="Q874" t="str">
        <f t="shared" si="55"/>
        <v>5,000-9,999</v>
      </c>
      <c r="R874" s="6">
        <f>IF(COUNTIF($A$2:A874,A874)=1,1,0)</f>
        <v>0</v>
      </c>
    </row>
    <row r="875" spans="1:18" x14ac:dyDescent="0.25">
      <c r="A875" s="6">
        <v>1172</v>
      </c>
      <c r="B875" s="7">
        <v>44392</v>
      </c>
      <c r="C875" t="s">
        <v>40</v>
      </c>
      <c r="D875" s="6">
        <v>2022</v>
      </c>
      <c r="E875" s="8">
        <v>2944</v>
      </c>
      <c r="F875" s="8">
        <v>7000</v>
      </c>
      <c r="G875" s="8">
        <f t="shared" si="52"/>
        <v>4056</v>
      </c>
      <c r="H875" s="6">
        <v>120000</v>
      </c>
      <c r="I875" t="s">
        <v>69</v>
      </c>
      <c r="J875" t="s">
        <v>72</v>
      </c>
      <c r="K875" t="s">
        <v>96</v>
      </c>
      <c r="L875" t="s">
        <v>73</v>
      </c>
      <c r="M875" t="s">
        <v>45</v>
      </c>
      <c r="N875" s="6">
        <v>0</v>
      </c>
      <c r="O875" t="str">
        <f t="shared" si="53"/>
        <v>Normal</v>
      </c>
      <c r="P875" t="str">
        <f t="shared" si="54"/>
        <v>Duplicate ID</v>
      </c>
      <c r="Q875" t="str">
        <f t="shared" si="55"/>
        <v>0-4,999</v>
      </c>
      <c r="R875" s="6">
        <f>IF(COUNTIF($A$2:A875,A875)=1,1,0)</f>
        <v>1</v>
      </c>
    </row>
    <row r="876" spans="1:18" x14ac:dyDescent="0.25">
      <c r="A876" s="6">
        <v>1353</v>
      </c>
      <c r="B876" s="7">
        <v>44644</v>
      </c>
      <c r="C876" t="s">
        <v>57</v>
      </c>
      <c r="D876" s="6">
        <v>2017</v>
      </c>
      <c r="E876" s="8">
        <v>25616</v>
      </c>
      <c r="F876" s="8">
        <v>31000</v>
      </c>
      <c r="G876" s="8">
        <f t="shared" si="52"/>
        <v>5384</v>
      </c>
      <c r="H876" s="6">
        <v>25000</v>
      </c>
      <c r="I876" t="s">
        <v>69</v>
      </c>
      <c r="J876" t="s">
        <v>1647</v>
      </c>
      <c r="K876" t="s">
        <v>36</v>
      </c>
      <c r="L876" t="s">
        <v>48</v>
      </c>
      <c r="M876" t="s">
        <v>90</v>
      </c>
      <c r="N876" s="6" t="s">
        <v>1647</v>
      </c>
      <c r="O876" t="str">
        <f t="shared" si="53"/>
        <v>Normal</v>
      </c>
      <c r="P876" t="str">
        <f t="shared" si="54"/>
        <v>Duplicate ID</v>
      </c>
      <c r="Q876" t="str">
        <f t="shared" si="55"/>
        <v>25,000-30,000</v>
      </c>
      <c r="R876" s="6">
        <f>IF(COUNTIF($A$2:A876,A876)=1,1,0)</f>
        <v>0</v>
      </c>
    </row>
    <row r="877" spans="1:18" x14ac:dyDescent="0.25">
      <c r="A877" s="6">
        <v>1123</v>
      </c>
      <c r="B877" s="7">
        <v>45297</v>
      </c>
      <c r="C877" t="s">
        <v>32</v>
      </c>
      <c r="D877" s="6">
        <v>2021</v>
      </c>
      <c r="E877" s="8">
        <v>5683</v>
      </c>
      <c r="F877" s="8">
        <v>7000</v>
      </c>
      <c r="G877" s="8">
        <f t="shared" si="52"/>
        <v>1317</v>
      </c>
      <c r="H877" s="6">
        <v>80000</v>
      </c>
      <c r="I877" t="s">
        <v>69</v>
      </c>
      <c r="J877" t="s">
        <v>35</v>
      </c>
      <c r="K877" t="s">
        <v>1647</v>
      </c>
      <c r="L877" t="s">
        <v>1647</v>
      </c>
      <c r="M877" t="s">
        <v>90</v>
      </c>
      <c r="N877" s="6">
        <v>0</v>
      </c>
      <c r="O877" t="str">
        <f t="shared" si="53"/>
        <v>Normal</v>
      </c>
      <c r="P877" t="str">
        <f t="shared" si="54"/>
        <v>Duplicate ID</v>
      </c>
      <c r="Q877" t="str">
        <f t="shared" si="55"/>
        <v>5,000-9,999</v>
      </c>
      <c r="R877" s="6">
        <f>IF(COUNTIF($A$2:A877,A877)=1,1,0)</f>
        <v>0</v>
      </c>
    </row>
    <row r="878" spans="1:18" x14ac:dyDescent="0.25">
      <c r="A878" s="6">
        <v>1561</v>
      </c>
      <c r="B878" s="7">
        <v>45128</v>
      </c>
      <c r="C878" t="s">
        <v>1648</v>
      </c>
      <c r="D878" s="6">
        <v>2017</v>
      </c>
      <c r="E878" s="8">
        <v>8237</v>
      </c>
      <c r="F878" s="8">
        <v>12000</v>
      </c>
      <c r="G878" s="8">
        <f t="shared" si="52"/>
        <v>3763</v>
      </c>
      <c r="H878" s="6">
        <v>80000</v>
      </c>
      <c r="I878" t="s">
        <v>41</v>
      </c>
      <c r="J878" t="s">
        <v>72</v>
      </c>
      <c r="K878" t="s">
        <v>36</v>
      </c>
      <c r="L878" t="s">
        <v>54</v>
      </c>
      <c r="M878" t="s">
        <v>90</v>
      </c>
      <c r="N878" s="6">
        <v>1</v>
      </c>
      <c r="O878" t="str">
        <f t="shared" si="53"/>
        <v>Normal</v>
      </c>
      <c r="P878" t="str">
        <f t="shared" si="54"/>
        <v>Duplicate ID</v>
      </c>
      <c r="Q878" t="str">
        <f t="shared" si="55"/>
        <v>5,000-9,999</v>
      </c>
      <c r="R878" s="6">
        <f>IF(COUNTIF($A$2:A878,A878)=1,1,0)</f>
        <v>0</v>
      </c>
    </row>
    <row r="879" spans="1:18" x14ac:dyDescent="0.25">
      <c r="A879" s="6">
        <v>1491</v>
      </c>
      <c r="B879" s="7">
        <v>44317</v>
      </c>
      <c r="C879" t="s">
        <v>1648</v>
      </c>
      <c r="D879" s="6">
        <v>2017</v>
      </c>
      <c r="E879" s="8">
        <v>22065</v>
      </c>
      <c r="F879" s="8">
        <v>26000</v>
      </c>
      <c r="G879" s="8">
        <f t="shared" si="52"/>
        <v>3935</v>
      </c>
      <c r="H879" s="6">
        <v>15000</v>
      </c>
      <c r="I879" t="s">
        <v>41</v>
      </c>
      <c r="J879" t="s">
        <v>1647</v>
      </c>
      <c r="K879" t="s">
        <v>36</v>
      </c>
      <c r="L879" t="s">
        <v>54</v>
      </c>
      <c r="M879" t="s">
        <v>1647</v>
      </c>
      <c r="N879" s="6" t="s">
        <v>1647</v>
      </c>
      <c r="O879" t="str">
        <f t="shared" si="53"/>
        <v>Normal</v>
      </c>
      <c r="P879" t="str">
        <f t="shared" si="54"/>
        <v>Duplicate ID</v>
      </c>
      <c r="Q879" t="str">
        <f t="shared" si="55"/>
        <v>20,000-24,999</v>
      </c>
      <c r="R879" s="6">
        <f>IF(COUNTIF($A$2:A879,A879)=1,1,0)</f>
        <v>0</v>
      </c>
    </row>
    <row r="880" spans="1:18" x14ac:dyDescent="0.25">
      <c r="A880" s="6">
        <v>1458</v>
      </c>
      <c r="B880" s="7">
        <v>44474</v>
      </c>
      <c r="C880" t="s">
        <v>79</v>
      </c>
      <c r="D880" s="6">
        <v>2022</v>
      </c>
      <c r="E880" s="8">
        <v>11376</v>
      </c>
      <c r="F880" s="8">
        <v>15000</v>
      </c>
      <c r="G880" s="8">
        <f t="shared" si="52"/>
        <v>3624</v>
      </c>
      <c r="H880" s="6">
        <v>40000</v>
      </c>
      <c r="I880" t="s">
        <v>34</v>
      </c>
      <c r="J880" t="s">
        <v>72</v>
      </c>
      <c r="K880" t="s">
        <v>96</v>
      </c>
      <c r="L880" t="s">
        <v>73</v>
      </c>
      <c r="M880" t="s">
        <v>98</v>
      </c>
      <c r="N880" s="6">
        <v>0</v>
      </c>
      <c r="O880" t="str">
        <f t="shared" si="53"/>
        <v>Normal</v>
      </c>
      <c r="P880" t="str">
        <f t="shared" si="54"/>
        <v>Duplicate ID</v>
      </c>
      <c r="Q880" t="str">
        <f t="shared" si="55"/>
        <v>10,000-14,999</v>
      </c>
      <c r="R880" s="6">
        <f>IF(COUNTIF($A$2:A880,A880)=1,1,0)</f>
        <v>0</v>
      </c>
    </row>
    <row r="881" spans="1:18" x14ac:dyDescent="0.25">
      <c r="A881" s="6">
        <v>1313</v>
      </c>
      <c r="B881" s="7">
        <v>44993</v>
      </c>
      <c r="C881" t="s">
        <v>1648</v>
      </c>
      <c r="D881" s="6">
        <v>2015</v>
      </c>
      <c r="E881" s="8">
        <v>17035</v>
      </c>
      <c r="F881" s="8">
        <v>22000</v>
      </c>
      <c r="G881" s="8">
        <f t="shared" si="52"/>
        <v>4965</v>
      </c>
      <c r="H881" s="6">
        <v>80000</v>
      </c>
      <c r="I881" t="s">
        <v>41</v>
      </c>
      <c r="J881" t="s">
        <v>1647</v>
      </c>
      <c r="K881" t="s">
        <v>36</v>
      </c>
      <c r="L881" t="s">
        <v>100</v>
      </c>
      <c r="M881" t="s">
        <v>126</v>
      </c>
      <c r="N881" s="6">
        <v>2</v>
      </c>
      <c r="O881" t="str">
        <f t="shared" si="53"/>
        <v>Normal</v>
      </c>
      <c r="P881" t="str">
        <f t="shared" si="54"/>
        <v>Duplicate ID</v>
      </c>
      <c r="Q881" t="str">
        <f t="shared" si="55"/>
        <v>15,000-19,999</v>
      </c>
      <c r="R881" s="6">
        <f>IF(COUNTIF($A$2:A881,A881)=1,1,0)</f>
        <v>1</v>
      </c>
    </row>
    <row r="882" spans="1:18" x14ac:dyDescent="0.25">
      <c r="A882" s="6">
        <v>1028</v>
      </c>
      <c r="B882" s="7">
        <v>45291</v>
      </c>
      <c r="C882" t="s">
        <v>57</v>
      </c>
      <c r="D882" s="6">
        <v>2018</v>
      </c>
      <c r="E882" s="8">
        <v>20608</v>
      </c>
      <c r="F882" s="8">
        <v>22000</v>
      </c>
      <c r="G882" s="8">
        <f t="shared" si="52"/>
        <v>1392</v>
      </c>
      <c r="H882" s="6">
        <v>120000</v>
      </c>
      <c r="I882" t="s">
        <v>41</v>
      </c>
      <c r="J882" t="s">
        <v>72</v>
      </c>
      <c r="K882" t="s">
        <v>1647</v>
      </c>
      <c r="L882" t="s">
        <v>1647</v>
      </c>
      <c r="M882" t="s">
        <v>90</v>
      </c>
      <c r="N882" s="6" t="s">
        <v>1647</v>
      </c>
      <c r="O882" t="str">
        <f t="shared" si="53"/>
        <v>Normal</v>
      </c>
      <c r="P882" t="str">
        <f t="shared" si="54"/>
        <v>Duplicate ID</v>
      </c>
      <c r="Q882" t="str">
        <f t="shared" si="55"/>
        <v>20,000-24,999</v>
      </c>
      <c r="R882" s="6">
        <f>IF(COUNTIF($A$2:A882,A882)=1,1,0)</f>
        <v>0</v>
      </c>
    </row>
    <row r="883" spans="1:18" x14ac:dyDescent="0.25">
      <c r="A883" s="6">
        <v>1190</v>
      </c>
      <c r="B883" s="7">
        <v>45133</v>
      </c>
      <c r="C883" t="s">
        <v>79</v>
      </c>
      <c r="D883" s="6">
        <v>2018</v>
      </c>
      <c r="E883" s="8">
        <v>5192</v>
      </c>
      <c r="F883" s="8">
        <v>7000</v>
      </c>
      <c r="G883" s="8">
        <f t="shared" si="52"/>
        <v>1808</v>
      </c>
      <c r="H883" s="6">
        <v>25000</v>
      </c>
      <c r="I883" t="s">
        <v>58</v>
      </c>
      <c r="J883" t="s">
        <v>72</v>
      </c>
      <c r="K883" t="s">
        <v>36</v>
      </c>
      <c r="L883" t="s">
        <v>73</v>
      </c>
      <c r="M883" t="s">
        <v>126</v>
      </c>
      <c r="N883" s="6">
        <v>3</v>
      </c>
      <c r="O883" t="str">
        <f t="shared" si="53"/>
        <v>Normal</v>
      </c>
      <c r="P883" t="str">
        <f t="shared" si="54"/>
        <v>Duplicate ID</v>
      </c>
      <c r="Q883" t="str">
        <f t="shared" si="55"/>
        <v>5,000-9,999</v>
      </c>
      <c r="R883" s="6">
        <f>IF(COUNTIF($A$2:A883,A883)=1,1,0)</f>
        <v>0</v>
      </c>
    </row>
    <row r="884" spans="1:18" x14ac:dyDescent="0.25">
      <c r="A884" s="6">
        <v>1181</v>
      </c>
      <c r="B884" s="7">
        <v>44874</v>
      </c>
      <c r="C884" t="s">
        <v>57</v>
      </c>
      <c r="D884" s="6">
        <v>2015</v>
      </c>
      <c r="E884" s="8">
        <v>15031</v>
      </c>
      <c r="F884" s="8">
        <v>18000</v>
      </c>
      <c r="G884" s="8">
        <f t="shared" si="52"/>
        <v>2969</v>
      </c>
      <c r="H884" s="6">
        <v>15000</v>
      </c>
      <c r="I884" t="s">
        <v>34</v>
      </c>
      <c r="J884" t="s">
        <v>35</v>
      </c>
      <c r="K884" t="s">
        <v>36</v>
      </c>
      <c r="L884" t="s">
        <v>100</v>
      </c>
      <c r="M884" t="s">
        <v>90</v>
      </c>
      <c r="N884" s="6" t="s">
        <v>1647</v>
      </c>
      <c r="O884" t="str">
        <f t="shared" si="53"/>
        <v>Normal</v>
      </c>
      <c r="P884" t="str">
        <f t="shared" si="54"/>
        <v>Duplicate ID</v>
      </c>
      <c r="Q884" t="str">
        <f t="shared" si="55"/>
        <v>15,000-19,999</v>
      </c>
      <c r="R884" s="6">
        <f>IF(COUNTIF($A$2:A884,A884)=1,1,0)</f>
        <v>0</v>
      </c>
    </row>
    <row r="885" spans="1:18" x14ac:dyDescent="0.25">
      <c r="A885" s="6">
        <v>1419</v>
      </c>
      <c r="B885" s="7">
        <v>44755</v>
      </c>
      <c r="C885" t="s">
        <v>119</v>
      </c>
      <c r="D885" s="6">
        <v>2020</v>
      </c>
      <c r="E885" s="8">
        <v>11648</v>
      </c>
      <c r="F885" s="8">
        <v>18000</v>
      </c>
      <c r="G885" s="8">
        <f t="shared" si="52"/>
        <v>6352</v>
      </c>
      <c r="H885" s="6">
        <v>25000</v>
      </c>
      <c r="I885" t="s">
        <v>69</v>
      </c>
      <c r="J885" t="s">
        <v>35</v>
      </c>
      <c r="K885" t="s">
        <v>96</v>
      </c>
      <c r="L885" t="s">
        <v>54</v>
      </c>
      <c r="M885" t="s">
        <v>126</v>
      </c>
      <c r="N885" s="6">
        <v>3</v>
      </c>
      <c r="O885" t="str">
        <f t="shared" si="53"/>
        <v>Normal</v>
      </c>
      <c r="P885" t="str">
        <f t="shared" si="54"/>
        <v>Duplicate ID</v>
      </c>
      <c r="Q885" t="str">
        <f t="shared" si="55"/>
        <v>10,000-14,999</v>
      </c>
      <c r="R885" s="6">
        <f>IF(COUNTIF($A$2:A885,A885)=1,1,0)</f>
        <v>0</v>
      </c>
    </row>
    <row r="886" spans="1:18" x14ac:dyDescent="0.25">
      <c r="A886" s="6">
        <v>1072</v>
      </c>
      <c r="B886" s="7">
        <v>44653</v>
      </c>
      <c r="C886" t="s">
        <v>40</v>
      </c>
      <c r="D886" s="6">
        <v>2021</v>
      </c>
      <c r="E886" s="8">
        <v>5352</v>
      </c>
      <c r="F886" s="8">
        <v>12000</v>
      </c>
      <c r="G886" s="8">
        <f t="shared" si="52"/>
        <v>6648</v>
      </c>
      <c r="H886" s="6">
        <v>120000</v>
      </c>
      <c r="I886" t="s">
        <v>1647</v>
      </c>
      <c r="J886" t="s">
        <v>35</v>
      </c>
      <c r="K886" t="s">
        <v>36</v>
      </c>
      <c r="L886" t="s">
        <v>1647</v>
      </c>
      <c r="M886" t="s">
        <v>45</v>
      </c>
      <c r="N886" s="6">
        <v>1</v>
      </c>
      <c r="O886" t="str">
        <f t="shared" si="53"/>
        <v>Normal</v>
      </c>
      <c r="P886" t="str">
        <f t="shared" si="54"/>
        <v>Duplicate ID</v>
      </c>
      <c r="Q886" t="str">
        <f t="shared" si="55"/>
        <v>5,000-9,999</v>
      </c>
      <c r="R886" s="6">
        <f>IF(COUNTIF($A$2:A886,A886)=1,1,0)</f>
        <v>0</v>
      </c>
    </row>
    <row r="887" spans="1:18" x14ac:dyDescent="0.25">
      <c r="A887" s="6">
        <v>1291</v>
      </c>
      <c r="B887" s="7">
        <v>44783</v>
      </c>
      <c r="C887" t="s">
        <v>119</v>
      </c>
      <c r="D887" s="6">
        <v>2018</v>
      </c>
      <c r="E887" s="8">
        <v>20607</v>
      </c>
      <c r="F887" s="8">
        <v>26000</v>
      </c>
      <c r="G887" s="8">
        <f t="shared" si="52"/>
        <v>5393</v>
      </c>
      <c r="H887" s="6">
        <v>40000</v>
      </c>
      <c r="I887" t="s">
        <v>34</v>
      </c>
      <c r="J887" t="s">
        <v>35</v>
      </c>
      <c r="K887" t="s">
        <v>36</v>
      </c>
      <c r="L887" t="s">
        <v>1647</v>
      </c>
      <c r="M887" t="s">
        <v>98</v>
      </c>
      <c r="N887" s="6">
        <v>1</v>
      </c>
      <c r="O887" t="str">
        <f t="shared" si="53"/>
        <v>Normal</v>
      </c>
      <c r="P887" t="str">
        <f t="shared" si="54"/>
        <v>Duplicate ID</v>
      </c>
      <c r="Q887" t="str">
        <f t="shared" si="55"/>
        <v>20,000-24,999</v>
      </c>
      <c r="R887" s="6">
        <f>IF(COUNTIF($A$2:A887,A887)=1,1,0)</f>
        <v>0</v>
      </c>
    </row>
    <row r="888" spans="1:18" x14ac:dyDescent="0.25">
      <c r="A888" s="6">
        <v>1114</v>
      </c>
      <c r="B888" s="7">
        <v>44420</v>
      </c>
      <c r="C888" t="s">
        <v>32</v>
      </c>
      <c r="D888" s="6">
        <v>2022</v>
      </c>
      <c r="E888" s="8">
        <v>2078</v>
      </c>
      <c r="F888" s="8">
        <v>7000</v>
      </c>
      <c r="G888" s="8">
        <f t="shared" si="52"/>
        <v>4922</v>
      </c>
      <c r="H888" s="6">
        <v>60000</v>
      </c>
      <c r="I888" t="s">
        <v>41</v>
      </c>
      <c r="J888" t="s">
        <v>35</v>
      </c>
      <c r="K888" t="s">
        <v>96</v>
      </c>
      <c r="L888" t="s">
        <v>54</v>
      </c>
      <c r="M888" t="s">
        <v>98</v>
      </c>
      <c r="N888" s="6">
        <v>1</v>
      </c>
      <c r="O888" t="str">
        <f t="shared" si="53"/>
        <v>Normal</v>
      </c>
      <c r="P888" t="str">
        <f t="shared" si="54"/>
        <v>Duplicate ID</v>
      </c>
      <c r="Q888" t="str">
        <f t="shared" si="55"/>
        <v>0-4,999</v>
      </c>
      <c r="R888" s="6">
        <f>IF(COUNTIF($A$2:A888,A888)=1,1,0)</f>
        <v>0</v>
      </c>
    </row>
    <row r="889" spans="1:18" x14ac:dyDescent="0.25">
      <c r="A889" s="6">
        <v>1215</v>
      </c>
      <c r="B889" s="7">
        <v>44584</v>
      </c>
      <c r="C889" t="s">
        <v>1648</v>
      </c>
      <c r="D889" s="6"/>
      <c r="E889" s="8">
        <v>1875</v>
      </c>
      <c r="F889" s="8">
        <v>7000</v>
      </c>
      <c r="G889" s="8">
        <f t="shared" si="52"/>
        <v>5125</v>
      </c>
      <c r="H889" s="6">
        <v>120000</v>
      </c>
      <c r="I889" t="s">
        <v>58</v>
      </c>
      <c r="J889" t="s">
        <v>72</v>
      </c>
      <c r="K889" t="s">
        <v>96</v>
      </c>
      <c r="L889" t="s">
        <v>100</v>
      </c>
      <c r="M889" t="s">
        <v>45</v>
      </c>
      <c r="N889" s="6">
        <v>3</v>
      </c>
      <c r="O889" t="str">
        <f t="shared" si="53"/>
        <v>Normal</v>
      </c>
      <c r="P889" t="str">
        <f t="shared" si="54"/>
        <v>Duplicate ID</v>
      </c>
      <c r="Q889" t="str">
        <f t="shared" si="55"/>
        <v>0-4,999</v>
      </c>
      <c r="R889" s="6">
        <f>IF(COUNTIF($A$2:A889,A889)=1,1,0)</f>
        <v>0</v>
      </c>
    </row>
    <row r="890" spans="1:18" x14ac:dyDescent="0.25">
      <c r="A890" s="6">
        <v>1298</v>
      </c>
      <c r="B890" s="7">
        <v>44510</v>
      </c>
      <c r="C890" t="s">
        <v>57</v>
      </c>
      <c r="D890" s="6">
        <v>2018</v>
      </c>
      <c r="E890" s="8">
        <v>2887</v>
      </c>
      <c r="F890" s="8">
        <v>7000</v>
      </c>
      <c r="G890" s="8">
        <f t="shared" si="52"/>
        <v>4113</v>
      </c>
      <c r="H890" s="6">
        <v>60000</v>
      </c>
      <c r="I890" t="s">
        <v>69</v>
      </c>
      <c r="J890" t="s">
        <v>72</v>
      </c>
      <c r="K890" t="s">
        <v>36</v>
      </c>
      <c r="L890" t="s">
        <v>48</v>
      </c>
      <c r="M890" t="s">
        <v>126</v>
      </c>
      <c r="N890" s="6">
        <v>1</v>
      </c>
      <c r="O890" t="str">
        <f t="shared" si="53"/>
        <v>Normal</v>
      </c>
      <c r="P890" t="str">
        <f t="shared" si="54"/>
        <v>Duplicate ID</v>
      </c>
      <c r="Q890" t="str">
        <f t="shared" si="55"/>
        <v>0-4,999</v>
      </c>
      <c r="R890" s="6">
        <f>IF(COUNTIF($A$2:A890,A890)=1,1,0)</f>
        <v>0</v>
      </c>
    </row>
    <row r="891" spans="1:18" x14ac:dyDescent="0.25">
      <c r="A891" s="6">
        <v>1058</v>
      </c>
      <c r="B891" s="7">
        <v>44847</v>
      </c>
      <c r="C891" t="s">
        <v>51</v>
      </c>
      <c r="D891" s="6">
        <v>2022</v>
      </c>
      <c r="E891" s="8">
        <v>6518</v>
      </c>
      <c r="F891" s="8">
        <v>12000</v>
      </c>
      <c r="G891" s="8">
        <f t="shared" si="52"/>
        <v>5482</v>
      </c>
      <c r="H891" s="6">
        <v>25000</v>
      </c>
      <c r="I891" t="s">
        <v>41</v>
      </c>
      <c r="J891" t="s">
        <v>1647</v>
      </c>
      <c r="K891" t="s">
        <v>36</v>
      </c>
      <c r="L891" t="s">
        <v>54</v>
      </c>
      <c r="M891" t="s">
        <v>45</v>
      </c>
      <c r="N891" s="6">
        <v>0</v>
      </c>
      <c r="O891" t="str">
        <f t="shared" si="53"/>
        <v>Normal</v>
      </c>
      <c r="P891" t="str">
        <f t="shared" si="54"/>
        <v>Duplicate ID</v>
      </c>
      <c r="Q891" t="str">
        <f t="shared" si="55"/>
        <v>5,000-9,999</v>
      </c>
      <c r="R891" s="6">
        <f>IF(COUNTIF($A$2:A891,A891)=1,1,0)</f>
        <v>0</v>
      </c>
    </row>
    <row r="892" spans="1:18" x14ac:dyDescent="0.25">
      <c r="A892" s="6">
        <v>1576</v>
      </c>
      <c r="B892" s="7">
        <v>44204</v>
      </c>
      <c r="C892" t="s">
        <v>32</v>
      </c>
      <c r="D892" s="6">
        <v>2015</v>
      </c>
      <c r="E892" s="8">
        <v>10878</v>
      </c>
      <c r="F892" s="8">
        <v>15000</v>
      </c>
      <c r="G892" s="8">
        <f t="shared" si="52"/>
        <v>4122</v>
      </c>
      <c r="H892" s="6">
        <v>15000</v>
      </c>
      <c r="I892" t="s">
        <v>58</v>
      </c>
      <c r="J892" t="s">
        <v>35</v>
      </c>
      <c r="K892" t="s">
        <v>1647</v>
      </c>
      <c r="L892" t="s">
        <v>1647</v>
      </c>
      <c r="M892" t="s">
        <v>126</v>
      </c>
      <c r="N892" s="6">
        <v>0</v>
      </c>
      <c r="O892" t="str">
        <f t="shared" si="53"/>
        <v>Normal</v>
      </c>
      <c r="P892" t="str">
        <f t="shared" si="54"/>
        <v>Duplicate ID</v>
      </c>
      <c r="Q892" t="str">
        <f t="shared" si="55"/>
        <v>10,000-14,999</v>
      </c>
      <c r="R892" s="6">
        <f>IF(COUNTIF($A$2:A892,A892)=1,1,0)</f>
        <v>0</v>
      </c>
    </row>
    <row r="893" spans="1:18" x14ac:dyDescent="0.25">
      <c r="A893" s="6">
        <v>1460</v>
      </c>
      <c r="B893" s="7">
        <v>44989</v>
      </c>
      <c r="C893" t="s">
        <v>1648</v>
      </c>
      <c r="D893" s="6"/>
      <c r="E893" s="8">
        <v>19384</v>
      </c>
      <c r="F893" s="8">
        <v>26000</v>
      </c>
      <c r="G893" s="8">
        <f t="shared" si="52"/>
        <v>6616</v>
      </c>
      <c r="H893" s="6">
        <v>40000</v>
      </c>
      <c r="I893" t="s">
        <v>69</v>
      </c>
      <c r="J893" t="s">
        <v>72</v>
      </c>
      <c r="K893" t="s">
        <v>96</v>
      </c>
      <c r="L893" t="s">
        <v>48</v>
      </c>
      <c r="M893" t="s">
        <v>90</v>
      </c>
      <c r="N893" s="6">
        <v>3</v>
      </c>
      <c r="O893" t="str">
        <f t="shared" si="53"/>
        <v>Normal</v>
      </c>
      <c r="P893" t="str">
        <f t="shared" si="54"/>
        <v>Duplicate ID</v>
      </c>
      <c r="Q893" t="str">
        <f t="shared" si="55"/>
        <v>15,000-19,999</v>
      </c>
      <c r="R893" s="6">
        <f>IF(COUNTIF($A$2:A893,A893)=1,1,0)</f>
        <v>0</v>
      </c>
    </row>
    <row r="894" spans="1:18" x14ac:dyDescent="0.25">
      <c r="A894" s="6">
        <v>1397</v>
      </c>
      <c r="B894" s="7">
        <v>44554</v>
      </c>
      <c r="C894" t="s">
        <v>79</v>
      </c>
      <c r="D894" s="6">
        <v>2017</v>
      </c>
      <c r="E894" s="8">
        <v>5781</v>
      </c>
      <c r="F894" s="8">
        <v>12000</v>
      </c>
      <c r="G894" s="8">
        <f t="shared" si="52"/>
        <v>6219</v>
      </c>
      <c r="H894" s="6">
        <v>40000</v>
      </c>
      <c r="I894" t="s">
        <v>41</v>
      </c>
      <c r="J894" t="s">
        <v>72</v>
      </c>
      <c r="K894" t="s">
        <v>96</v>
      </c>
      <c r="L894" t="s">
        <v>100</v>
      </c>
      <c r="M894" t="s">
        <v>126</v>
      </c>
      <c r="N894" s="6">
        <v>3</v>
      </c>
      <c r="O894" t="str">
        <f t="shared" si="53"/>
        <v>Normal</v>
      </c>
      <c r="P894" t="str">
        <f t="shared" si="54"/>
        <v>Duplicate ID</v>
      </c>
      <c r="Q894" t="str">
        <f t="shared" si="55"/>
        <v>5,000-9,999</v>
      </c>
      <c r="R894" s="6">
        <f>IF(COUNTIF($A$2:A894,A894)=1,1,0)</f>
        <v>0</v>
      </c>
    </row>
    <row r="895" spans="1:18" x14ac:dyDescent="0.25">
      <c r="A895" s="6">
        <v>1213</v>
      </c>
      <c r="B895" s="7">
        <v>44919</v>
      </c>
      <c r="C895" t="s">
        <v>1648</v>
      </c>
      <c r="D895" s="6">
        <v>2022</v>
      </c>
      <c r="E895" s="8">
        <v>12976</v>
      </c>
      <c r="F895" s="8">
        <v>15000</v>
      </c>
      <c r="G895" s="8">
        <f t="shared" si="52"/>
        <v>2024</v>
      </c>
      <c r="H895" s="6">
        <v>60000</v>
      </c>
      <c r="I895" t="s">
        <v>1647</v>
      </c>
      <c r="J895" t="s">
        <v>72</v>
      </c>
      <c r="K895" t="s">
        <v>96</v>
      </c>
      <c r="L895" t="s">
        <v>48</v>
      </c>
      <c r="M895" t="s">
        <v>45</v>
      </c>
      <c r="N895" s="6">
        <v>2</v>
      </c>
      <c r="O895" t="str">
        <f t="shared" si="53"/>
        <v>Normal</v>
      </c>
      <c r="P895" t="str">
        <f t="shared" si="54"/>
        <v>Duplicate ID</v>
      </c>
      <c r="Q895" t="str">
        <f t="shared" si="55"/>
        <v>10,000-14,999</v>
      </c>
      <c r="R895" s="6">
        <f>IF(COUNTIF($A$2:A895,A895)=1,1,0)</f>
        <v>0</v>
      </c>
    </row>
    <row r="896" spans="1:18" x14ac:dyDescent="0.25">
      <c r="A896" s="6">
        <v>1210</v>
      </c>
      <c r="B896" s="7">
        <v>45282</v>
      </c>
      <c r="C896" t="s">
        <v>51</v>
      </c>
      <c r="D896" s="6">
        <v>2018</v>
      </c>
      <c r="E896" s="8">
        <v>19075</v>
      </c>
      <c r="F896" s="8">
        <v>26000</v>
      </c>
      <c r="G896" s="8">
        <f t="shared" si="52"/>
        <v>6925</v>
      </c>
      <c r="H896" s="6">
        <v>25000</v>
      </c>
      <c r="I896" t="s">
        <v>69</v>
      </c>
      <c r="J896" t="s">
        <v>72</v>
      </c>
      <c r="K896" t="s">
        <v>1647</v>
      </c>
      <c r="L896" t="s">
        <v>48</v>
      </c>
      <c r="M896" t="s">
        <v>45</v>
      </c>
      <c r="N896" s="6">
        <v>2</v>
      </c>
      <c r="O896" t="str">
        <f t="shared" si="53"/>
        <v>Normal</v>
      </c>
      <c r="P896" t="str">
        <f t="shared" si="54"/>
        <v>Duplicate ID</v>
      </c>
      <c r="Q896" t="str">
        <f t="shared" si="55"/>
        <v>15,000-19,999</v>
      </c>
      <c r="R896" s="6">
        <f>IF(COUNTIF($A$2:A896,A896)=1,1,0)</f>
        <v>0</v>
      </c>
    </row>
    <row r="897" spans="1:18" x14ac:dyDescent="0.25">
      <c r="A897" s="6">
        <v>1463</v>
      </c>
      <c r="B897" s="7">
        <v>45308</v>
      </c>
      <c r="C897" t="s">
        <v>57</v>
      </c>
      <c r="D897" s="6">
        <v>2020</v>
      </c>
      <c r="E897" s="8">
        <v>10110</v>
      </c>
      <c r="F897" s="8">
        <v>12000</v>
      </c>
      <c r="G897" s="8">
        <f t="shared" si="52"/>
        <v>1890</v>
      </c>
      <c r="H897" s="6">
        <v>60000</v>
      </c>
      <c r="I897" t="s">
        <v>34</v>
      </c>
      <c r="J897" t="s">
        <v>35</v>
      </c>
      <c r="K897" t="s">
        <v>36</v>
      </c>
      <c r="L897" t="s">
        <v>100</v>
      </c>
      <c r="M897" t="s">
        <v>45</v>
      </c>
      <c r="N897" s="6" t="s">
        <v>1647</v>
      </c>
      <c r="O897" t="str">
        <f t="shared" si="53"/>
        <v>Normal</v>
      </c>
      <c r="P897" t="str">
        <f t="shared" si="54"/>
        <v>Duplicate ID</v>
      </c>
      <c r="Q897" t="str">
        <f t="shared" si="55"/>
        <v>10,000-14,999</v>
      </c>
      <c r="R897" s="6">
        <f>IF(COUNTIF($A$2:A897,A897)=1,1,0)</f>
        <v>0</v>
      </c>
    </row>
    <row r="898" spans="1:18" x14ac:dyDescent="0.25">
      <c r="A898" s="6">
        <v>1453</v>
      </c>
      <c r="B898" s="7">
        <v>44566</v>
      </c>
      <c r="C898" t="s">
        <v>57</v>
      </c>
      <c r="D898" s="6">
        <v>2018</v>
      </c>
      <c r="E898" s="8">
        <v>21463</v>
      </c>
      <c r="F898" s="8">
        <v>26000</v>
      </c>
      <c r="G898" s="8">
        <f t="shared" ref="G898:G961" si="56">IF(OR(F898="",E898=""),"",F898-E898)</f>
        <v>4537</v>
      </c>
      <c r="H898" s="6">
        <v>80000</v>
      </c>
      <c r="I898" t="s">
        <v>58</v>
      </c>
      <c r="J898" t="s">
        <v>72</v>
      </c>
      <c r="K898" t="s">
        <v>1647</v>
      </c>
      <c r="L898" t="s">
        <v>100</v>
      </c>
      <c r="M898" t="s">
        <v>98</v>
      </c>
      <c r="N898" s="6" t="s">
        <v>1647</v>
      </c>
      <c r="O898" t="str">
        <f t="shared" ref="O898:O961" si="57">IF(E898&lt;1000,"Outlier","Normal")</f>
        <v>Normal</v>
      </c>
      <c r="P898" t="str">
        <f t="shared" ref="P898:P961" si="58">IF(COUNTIF($A$2:$A$2501,A898)&gt;1,"Duplicate ID","Unique ID")</f>
        <v>Duplicate ID</v>
      </c>
      <c r="Q898" t="str">
        <f t="shared" ref="Q898:Q961" si="59">IF(E898&lt;5000,"0-4,999",IF(E898&lt;10000,"5,000-9,999",IF(E898&lt;15000,"10,000-14,999",IF(E898&lt;20000,"15,000-19,999",IF(E898&lt;25000,"20,000-24,999","25,000-30,000")))))</f>
        <v>20,000-24,999</v>
      </c>
      <c r="R898" s="6">
        <f>IF(COUNTIF($A$2:A898,A898)=1,1,0)</f>
        <v>1</v>
      </c>
    </row>
    <row r="899" spans="1:18" x14ac:dyDescent="0.25">
      <c r="A899" s="6">
        <v>1133</v>
      </c>
      <c r="B899" s="7">
        <v>44700</v>
      </c>
      <c r="C899" t="s">
        <v>57</v>
      </c>
      <c r="D899" s="6">
        <v>2016</v>
      </c>
      <c r="E899" s="8">
        <v>21162</v>
      </c>
      <c r="F899" s="8">
        <v>26000</v>
      </c>
      <c r="G899" s="8">
        <f t="shared" si="56"/>
        <v>4838</v>
      </c>
      <c r="H899" s="6">
        <v>40000</v>
      </c>
      <c r="I899" t="s">
        <v>41</v>
      </c>
      <c r="J899" t="s">
        <v>35</v>
      </c>
      <c r="K899" t="s">
        <v>36</v>
      </c>
      <c r="L899" t="s">
        <v>73</v>
      </c>
      <c r="M899" t="s">
        <v>126</v>
      </c>
      <c r="N899" s="6">
        <v>0</v>
      </c>
      <c r="O899" t="str">
        <f t="shared" si="57"/>
        <v>Normal</v>
      </c>
      <c r="P899" t="str">
        <f t="shared" si="58"/>
        <v>Duplicate ID</v>
      </c>
      <c r="Q899" t="str">
        <f t="shared" si="59"/>
        <v>20,000-24,999</v>
      </c>
      <c r="R899" s="6">
        <f>IF(COUNTIF($A$2:A899,A899)=1,1,0)</f>
        <v>0</v>
      </c>
    </row>
    <row r="900" spans="1:18" x14ac:dyDescent="0.25">
      <c r="A900" s="6">
        <v>1154</v>
      </c>
      <c r="B900" s="7">
        <v>44612</v>
      </c>
      <c r="C900" t="s">
        <v>40</v>
      </c>
      <c r="D900" s="6">
        <v>2019</v>
      </c>
      <c r="E900" s="8">
        <v>5078</v>
      </c>
      <c r="F900" s="8">
        <v>9000</v>
      </c>
      <c r="G900" s="8">
        <f t="shared" si="56"/>
        <v>3922</v>
      </c>
      <c r="H900" s="6">
        <v>40000</v>
      </c>
      <c r="I900" t="s">
        <v>69</v>
      </c>
      <c r="J900" t="s">
        <v>1647</v>
      </c>
      <c r="K900" t="s">
        <v>96</v>
      </c>
      <c r="L900" t="s">
        <v>48</v>
      </c>
      <c r="M900" t="s">
        <v>45</v>
      </c>
      <c r="N900" s="6">
        <v>1</v>
      </c>
      <c r="O900" t="str">
        <f t="shared" si="57"/>
        <v>Normal</v>
      </c>
      <c r="P900" t="str">
        <f t="shared" si="58"/>
        <v>Duplicate ID</v>
      </c>
      <c r="Q900" t="str">
        <f t="shared" si="59"/>
        <v>5,000-9,999</v>
      </c>
      <c r="R900" s="6">
        <f>IF(COUNTIF($A$2:A900,A900)=1,1,0)</f>
        <v>0</v>
      </c>
    </row>
    <row r="901" spans="1:18" x14ac:dyDescent="0.25">
      <c r="A901" s="6">
        <v>1167</v>
      </c>
      <c r="B901" s="7">
        <v>44508</v>
      </c>
      <c r="C901" t="s">
        <v>51</v>
      </c>
      <c r="D901" s="6">
        <v>2018</v>
      </c>
      <c r="E901" s="8">
        <v>6691</v>
      </c>
      <c r="F901" s="8">
        <v>9000</v>
      </c>
      <c r="G901" s="8">
        <f t="shared" si="56"/>
        <v>2309</v>
      </c>
      <c r="H901" s="6">
        <v>80000</v>
      </c>
      <c r="I901" t="s">
        <v>58</v>
      </c>
      <c r="J901" t="s">
        <v>1647</v>
      </c>
      <c r="K901" t="s">
        <v>1647</v>
      </c>
      <c r="L901" t="s">
        <v>48</v>
      </c>
      <c r="M901" t="s">
        <v>45</v>
      </c>
      <c r="N901" s="6">
        <v>1</v>
      </c>
      <c r="O901" t="str">
        <f t="shared" si="57"/>
        <v>Normal</v>
      </c>
      <c r="P901" t="str">
        <f t="shared" si="58"/>
        <v>Duplicate ID</v>
      </c>
      <c r="Q901" t="str">
        <f t="shared" si="59"/>
        <v>5,000-9,999</v>
      </c>
      <c r="R901" s="6">
        <f>IF(COUNTIF($A$2:A901,A901)=1,1,0)</f>
        <v>0</v>
      </c>
    </row>
    <row r="902" spans="1:18" x14ac:dyDescent="0.25">
      <c r="A902" s="6">
        <v>1138</v>
      </c>
      <c r="B902" s="7">
        <v>44277</v>
      </c>
      <c r="C902" t="s">
        <v>32</v>
      </c>
      <c r="D902" s="6">
        <v>2018</v>
      </c>
      <c r="E902" s="8">
        <v>10205</v>
      </c>
      <c r="F902" s="8">
        <v>12000</v>
      </c>
      <c r="G902" s="8">
        <f t="shared" si="56"/>
        <v>1795</v>
      </c>
      <c r="H902" s="6">
        <v>60000</v>
      </c>
      <c r="I902" t="s">
        <v>41</v>
      </c>
      <c r="J902" t="s">
        <v>1647</v>
      </c>
      <c r="K902" t="s">
        <v>96</v>
      </c>
      <c r="L902" t="s">
        <v>48</v>
      </c>
      <c r="M902" t="s">
        <v>90</v>
      </c>
      <c r="N902" s="6">
        <v>3</v>
      </c>
      <c r="O902" t="str">
        <f t="shared" si="57"/>
        <v>Normal</v>
      </c>
      <c r="P902" t="str">
        <f t="shared" si="58"/>
        <v>Duplicate ID</v>
      </c>
      <c r="Q902" t="str">
        <f t="shared" si="59"/>
        <v>10,000-14,999</v>
      </c>
      <c r="R902" s="6">
        <f>IF(COUNTIF($A$2:A902,A902)=1,1,0)</f>
        <v>1</v>
      </c>
    </row>
    <row r="903" spans="1:18" x14ac:dyDescent="0.25">
      <c r="A903" s="6">
        <v>1070</v>
      </c>
      <c r="B903" s="7">
        <v>44954</v>
      </c>
      <c r="C903" t="s">
        <v>40</v>
      </c>
      <c r="D903" s="6">
        <v>2021</v>
      </c>
      <c r="E903" s="8">
        <v>20304</v>
      </c>
      <c r="F903" s="8">
        <v>22000</v>
      </c>
      <c r="G903" s="8">
        <f t="shared" si="56"/>
        <v>1696</v>
      </c>
      <c r="H903" s="6">
        <v>40000</v>
      </c>
      <c r="I903" t="s">
        <v>58</v>
      </c>
      <c r="J903" t="s">
        <v>35</v>
      </c>
      <c r="K903" t="s">
        <v>36</v>
      </c>
      <c r="L903" t="s">
        <v>54</v>
      </c>
      <c r="M903" t="s">
        <v>45</v>
      </c>
      <c r="N903" s="6">
        <v>0</v>
      </c>
      <c r="O903" t="str">
        <f t="shared" si="57"/>
        <v>Normal</v>
      </c>
      <c r="P903" t="str">
        <f t="shared" si="58"/>
        <v>Duplicate ID</v>
      </c>
      <c r="Q903" t="str">
        <f t="shared" si="59"/>
        <v>20,000-24,999</v>
      </c>
      <c r="R903" s="6">
        <f>IF(COUNTIF($A$2:A903,A903)=1,1,0)</f>
        <v>0</v>
      </c>
    </row>
    <row r="904" spans="1:18" x14ac:dyDescent="0.25">
      <c r="A904" s="6">
        <v>1173</v>
      </c>
      <c r="B904" s="7">
        <v>45052</v>
      </c>
      <c r="C904" t="s">
        <v>79</v>
      </c>
      <c r="D904" s="6"/>
      <c r="E904" s="8">
        <v>24906</v>
      </c>
      <c r="F904" s="8">
        <v>31000</v>
      </c>
      <c r="G904" s="8">
        <f t="shared" si="56"/>
        <v>6094</v>
      </c>
      <c r="H904" s="6">
        <v>15000</v>
      </c>
      <c r="I904" t="s">
        <v>41</v>
      </c>
      <c r="J904" t="s">
        <v>72</v>
      </c>
      <c r="K904" t="s">
        <v>96</v>
      </c>
      <c r="L904" t="s">
        <v>100</v>
      </c>
      <c r="M904" t="s">
        <v>126</v>
      </c>
      <c r="N904" s="6">
        <v>1</v>
      </c>
      <c r="O904" t="str">
        <f t="shared" si="57"/>
        <v>Normal</v>
      </c>
      <c r="P904" t="str">
        <f t="shared" si="58"/>
        <v>Duplicate ID</v>
      </c>
      <c r="Q904" t="str">
        <f t="shared" si="59"/>
        <v>20,000-24,999</v>
      </c>
      <c r="R904" s="6">
        <f>IF(COUNTIF($A$2:A904,A904)=1,1,0)</f>
        <v>1</v>
      </c>
    </row>
    <row r="905" spans="1:18" x14ac:dyDescent="0.25">
      <c r="A905" s="6">
        <v>1279</v>
      </c>
      <c r="B905" s="7">
        <v>44279</v>
      </c>
      <c r="C905" t="s">
        <v>51</v>
      </c>
      <c r="D905" s="6">
        <v>2018</v>
      </c>
      <c r="E905" s="8">
        <v>27236</v>
      </c>
      <c r="F905" s="8">
        <v>31000</v>
      </c>
      <c r="G905" s="8">
        <f t="shared" si="56"/>
        <v>3764</v>
      </c>
      <c r="H905" s="6">
        <v>60000</v>
      </c>
      <c r="I905" t="s">
        <v>41</v>
      </c>
      <c r="J905" t="s">
        <v>72</v>
      </c>
      <c r="K905" t="s">
        <v>1647</v>
      </c>
      <c r="L905" t="s">
        <v>73</v>
      </c>
      <c r="M905" t="s">
        <v>90</v>
      </c>
      <c r="N905" s="6" t="s">
        <v>1647</v>
      </c>
      <c r="O905" t="str">
        <f t="shared" si="57"/>
        <v>Normal</v>
      </c>
      <c r="P905" t="str">
        <f t="shared" si="58"/>
        <v>Duplicate ID</v>
      </c>
      <c r="Q905" t="str">
        <f t="shared" si="59"/>
        <v>25,000-30,000</v>
      </c>
      <c r="R905" s="6">
        <f>IF(COUNTIF($A$2:A905,A905)=1,1,0)</f>
        <v>1</v>
      </c>
    </row>
    <row r="906" spans="1:18" x14ac:dyDescent="0.25">
      <c r="A906" s="6">
        <v>1481</v>
      </c>
      <c r="B906" s="7">
        <v>44605</v>
      </c>
      <c r="C906" t="s">
        <v>40</v>
      </c>
      <c r="D906" s="6"/>
      <c r="E906" s="8">
        <v>2882</v>
      </c>
      <c r="F906" s="8">
        <v>7000</v>
      </c>
      <c r="G906" s="8">
        <f t="shared" si="56"/>
        <v>4118</v>
      </c>
      <c r="H906" s="6">
        <v>40000</v>
      </c>
      <c r="I906" t="s">
        <v>34</v>
      </c>
      <c r="J906" t="s">
        <v>72</v>
      </c>
      <c r="K906" t="s">
        <v>96</v>
      </c>
      <c r="L906" t="s">
        <v>1647</v>
      </c>
      <c r="M906" t="s">
        <v>98</v>
      </c>
      <c r="N906" s="6">
        <v>3</v>
      </c>
      <c r="O906" t="str">
        <f t="shared" si="57"/>
        <v>Normal</v>
      </c>
      <c r="P906" t="str">
        <f t="shared" si="58"/>
        <v>Duplicate ID</v>
      </c>
      <c r="Q906" t="str">
        <f t="shared" si="59"/>
        <v>0-4,999</v>
      </c>
      <c r="R906" s="6">
        <f>IF(COUNTIF($A$2:A906,A906)=1,1,0)</f>
        <v>1</v>
      </c>
    </row>
    <row r="907" spans="1:18" x14ac:dyDescent="0.25">
      <c r="A907" s="6">
        <v>1197</v>
      </c>
      <c r="B907" s="7">
        <v>45328</v>
      </c>
      <c r="C907" t="s">
        <v>51</v>
      </c>
      <c r="D907" s="6">
        <v>2016</v>
      </c>
      <c r="E907" s="8">
        <v>18858</v>
      </c>
      <c r="F907" s="8">
        <v>22000</v>
      </c>
      <c r="G907" s="8">
        <f t="shared" si="56"/>
        <v>3142</v>
      </c>
      <c r="H907" s="6">
        <v>120000</v>
      </c>
      <c r="I907" t="s">
        <v>41</v>
      </c>
      <c r="J907" t="s">
        <v>72</v>
      </c>
      <c r="K907" t="s">
        <v>1647</v>
      </c>
      <c r="L907" t="s">
        <v>73</v>
      </c>
      <c r="M907" t="s">
        <v>126</v>
      </c>
      <c r="N907" s="6">
        <v>1</v>
      </c>
      <c r="O907" t="str">
        <f t="shared" si="57"/>
        <v>Normal</v>
      </c>
      <c r="P907" t="str">
        <f t="shared" si="58"/>
        <v>Duplicate ID</v>
      </c>
      <c r="Q907" t="str">
        <f t="shared" si="59"/>
        <v>15,000-19,999</v>
      </c>
      <c r="R907" s="6">
        <f>IF(COUNTIF($A$2:A907,A907)=1,1,0)</f>
        <v>0</v>
      </c>
    </row>
    <row r="908" spans="1:18" x14ac:dyDescent="0.25">
      <c r="A908" s="6">
        <v>1157</v>
      </c>
      <c r="B908" s="7">
        <v>44330</v>
      </c>
      <c r="C908" t="s">
        <v>32</v>
      </c>
      <c r="D908" s="6">
        <v>2017</v>
      </c>
      <c r="E908" s="8">
        <v>4942</v>
      </c>
      <c r="F908" s="8">
        <v>9000</v>
      </c>
      <c r="G908" s="8">
        <f t="shared" si="56"/>
        <v>4058</v>
      </c>
      <c r="H908" s="6">
        <v>25000</v>
      </c>
      <c r="I908" t="s">
        <v>41</v>
      </c>
      <c r="J908" t="s">
        <v>35</v>
      </c>
      <c r="K908" t="s">
        <v>36</v>
      </c>
      <c r="L908" t="s">
        <v>54</v>
      </c>
      <c r="M908" t="s">
        <v>126</v>
      </c>
      <c r="N908" s="6">
        <v>1</v>
      </c>
      <c r="O908" t="str">
        <f t="shared" si="57"/>
        <v>Normal</v>
      </c>
      <c r="P908" t="str">
        <f t="shared" si="58"/>
        <v>Duplicate ID</v>
      </c>
      <c r="Q908" t="str">
        <f t="shared" si="59"/>
        <v>0-4,999</v>
      </c>
      <c r="R908" s="6">
        <f>IF(COUNTIF($A$2:A908,A908)=1,1,0)</f>
        <v>0</v>
      </c>
    </row>
    <row r="909" spans="1:18" x14ac:dyDescent="0.25">
      <c r="A909" s="6">
        <v>1057</v>
      </c>
      <c r="B909" s="7">
        <v>44446</v>
      </c>
      <c r="C909" t="s">
        <v>1648</v>
      </c>
      <c r="D909" s="6">
        <v>2018</v>
      </c>
      <c r="E909" s="8">
        <v>20134</v>
      </c>
      <c r="F909" s="8">
        <v>22000</v>
      </c>
      <c r="G909" s="8">
        <f t="shared" si="56"/>
        <v>1866</v>
      </c>
      <c r="H909" s="6">
        <v>120000</v>
      </c>
      <c r="I909" t="s">
        <v>41</v>
      </c>
      <c r="J909" t="s">
        <v>35</v>
      </c>
      <c r="K909" t="s">
        <v>36</v>
      </c>
      <c r="L909" t="s">
        <v>73</v>
      </c>
      <c r="M909" t="s">
        <v>126</v>
      </c>
      <c r="N909" s="6">
        <v>3</v>
      </c>
      <c r="O909" t="str">
        <f t="shared" si="57"/>
        <v>Normal</v>
      </c>
      <c r="P909" t="str">
        <f t="shared" si="58"/>
        <v>Duplicate ID</v>
      </c>
      <c r="Q909" t="str">
        <f t="shared" si="59"/>
        <v>20,000-24,999</v>
      </c>
      <c r="R909" s="6">
        <f>IF(COUNTIF($A$2:A909,A909)=1,1,0)</f>
        <v>1</v>
      </c>
    </row>
    <row r="910" spans="1:18" x14ac:dyDescent="0.25">
      <c r="A910" s="6">
        <v>1328</v>
      </c>
      <c r="B910" s="7">
        <v>44989</v>
      </c>
      <c r="C910" t="s">
        <v>119</v>
      </c>
      <c r="D910" s="6">
        <v>2017</v>
      </c>
      <c r="E910" s="8">
        <v>5350</v>
      </c>
      <c r="F910" s="8">
        <v>7000</v>
      </c>
      <c r="G910" s="8">
        <f t="shared" si="56"/>
        <v>1650</v>
      </c>
      <c r="H910" s="6">
        <v>120000</v>
      </c>
      <c r="I910" t="s">
        <v>1647</v>
      </c>
      <c r="J910" t="s">
        <v>1647</v>
      </c>
      <c r="K910" t="s">
        <v>36</v>
      </c>
      <c r="L910" t="s">
        <v>48</v>
      </c>
      <c r="M910" t="s">
        <v>45</v>
      </c>
      <c r="N910" s="6" t="s">
        <v>1647</v>
      </c>
      <c r="O910" t="str">
        <f t="shared" si="57"/>
        <v>Normal</v>
      </c>
      <c r="P910" t="str">
        <f t="shared" si="58"/>
        <v>Duplicate ID</v>
      </c>
      <c r="Q910" t="str">
        <f t="shared" si="59"/>
        <v>5,000-9,999</v>
      </c>
      <c r="R910" s="6">
        <f>IF(COUNTIF($A$2:A910,A910)=1,1,0)</f>
        <v>0</v>
      </c>
    </row>
    <row r="911" spans="1:18" x14ac:dyDescent="0.25">
      <c r="A911" s="6">
        <v>1180</v>
      </c>
      <c r="B911" s="7">
        <v>44359</v>
      </c>
      <c r="C911" t="s">
        <v>40</v>
      </c>
      <c r="D911" s="6">
        <v>2021</v>
      </c>
      <c r="E911" s="8">
        <v>10949</v>
      </c>
      <c r="F911" s="8">
        <v>12000</v>
      </c>
      <c r="G911" s="8">
        <f t="shared" si="56"/>
        <v>1051</v>
      </c>
      <c r="H911" s="6">
        <v>80000</v>
      </c>
      <c r="I911" t="s">
        <v>58</v>
      </c>
      <c r="J911" t="s">
        <v>35</v>
      </c>
      <c r="K911" t="s">
        <v>36</v>
      </c>
      <c r="L911" t="s">
        <v>100</v>
      </c>
      <c r="M911" t="s">
        <v>90</v>
      </c>
      <c r="N911" s="6">
        <v>2</v>
      </c>
      <c r="O911" t="str">
        <f t="shared" si="57"/>
        <v>Normal</v>
      </c>
      <c r="P911" t="str">
        <f t="shared" si="58"/>
        <v>Duplicate ID</v>
      </c>
      <c r="Q911" t="str">
        <f t="shared" si="59"/>
        <v>10,000-14,999</v>
      </c>
      <c r="R911" s="6">
        <f>IF(COUNTIF($A$2:A911,A911)=1,1,0)</f>
        <v>0</v>
      </c>
    </row>
    <row r="912" spans="1:18" x14ac:dyDescent="0.25">
      <c r="A912" s="6">
        <v>1422</v>
      </c>
      <c r="B912" s="7">
        <v>44804</v>
      </c>
      <c r="C912" t="s">
        <v>119</v>
      </c>
      <c r="D912" s="6">
        <v>2016</v>
      </c>
      <c r="E912" s="8">
        <v>20148</v>
      </c>
      <c r="F912" s="8">
        <v>26000</v>
      </c>
      <c r="G912" s="8">
        <f t="shared" si="56"/>
        <v>5852</v>
      </c>
      <c r="H912" s="6">
        <v>120000</v>
      </c>
      <c r="I912" t="s">
        <v>69</v>
      </c>
      <c r="J912" t="s">
        <v>35</v>
      </c>
      <c r="K912" t="s">
        <v>1647</v>
      </c>
      <c r="L912" t="s">
        <v>73</v>
      </c>
      <c r="M912" t="s">
        <v>45</v>
      </c>
      <c r="N912" s="6">
        <v>2</v>
      </c>
      <c r="O912" t="str">
        <f t="shared" si="57"/>
        <v>Normal</v>
      </c>
      <c r="P912" t="str">
        <f t="shared" si="58"/>
        <v>Duplicate ID</v>
      </c>
      <c r="Q912" t="str">
        <f t="shared" si="59"/>
        <v>20,000-24,999</v>
      </c>
      <c r="R912" s="6">
        <f>IF(COUNTIF($A$2:A912,A912)=1,1,0)</f>
        <v>0</v>
      </c>
    </row>
    <row r="913" spans="1:18" x14ac:dyDescent="0.25">
      <c r="A913" s="6">
        <v>1061</v>
      </c>
      <c r="B913" s="7">
        <v>44901</v>
      </c>
      <c r="C913" t="s">
        <v>57</v>
      </c>
      <c r="D913" s="6">
        <v>2015</v>
      </c>
      <c r="E913" s="8">
        <v>1954</v>
      </c>
      <c r="F913" s="8">
        <v>7000</v>
      </c>
      <c r="G913" s="8">
        <f t="shared" si="56"/>
        <v>5046</v>
      </c>
      <c r="H913" s="6">
        <v>15000</v>
      </c>
      <c r="I913" t="s">
        <v>1647</v>
      </c>
      <c r="J913" t="s">
        <v>35</v>
      </c>
      <c r="K913" t="s">
        <v>36</v>
      </c>
      <c r="L913" t="s">
        <v>54</v>
      </c>
      <c r="M913" t="s">
        <v>45</v>
      </c>
      <c r="N913" s="6" t="s">
        <v>1647</v>
      </c>
      <c r="O913" t="str">
        <f t="shared" si="57"/>
        <v>Normal</v>
      </c>
      <c r="P913" t="str">
        <f t="shared" si="58"/>
        <v>Duplicate ID</v>
      </c>
      <c r="Q913" t="str">
        <f t="shared" si="59"/>
        <v>0-4,999</v>
      </c>
      <c r="R913" s="6">
        <f>IF(COUNTIF($A$2:A913,A913)=1,1,0)</f>
        <v>0</v>
      </c>
    </row>
    <row r="914" spans="1:18" x14ac:dyDescent="0.25">
      <c r="A914" s="6">
        <v>1366</v>
      </c>
      <c r="B914" s="7">
        <v>45120</v>
      </c>
      <c r="C914" t="s">
        <v>40</v>
      </c>
      <c r="D914" s="6"/>
      <c r="E914" s="8">
        <v>14387</v>
      </c>
      <c r="F914" s="8">
        <v>18000</v>
      </c>
      <c r="G914" s="8">
        <f t="shared" si="56"/>
        <v>3613</v>
      </c>
      <c r="H914" s="6">
        <v>120000</v>
      </c>
      <c r="I914" t="s">
        <v>1647</v>
      </c>
      <c r="J914" t="s">
        <v>72</v>
      </c>
      <c r="K914" t="s">
        <v>1647</v>
      </c>
      <c r="L914" t="s">
        <v>100</v>
      </c>
      <c r="M914" t="s">
        <v>90</v>
      </c>
      <c r="N914" s="6" t="s">
        <v>1647</v>
      </c>
      <c r="O914" t="str">
        <f t="shared" si="57"/>
        <v>Normal</v>
      </c>
      <c r="P914" t="str">
        <f t="shared" si="58"/>
        <v>Duplicate ID</v>
      </c>
      <c r="Q914" t="str">
        <f t="shared" si="59"/>
        <v>10,000-14,999</v>
      </c>
      <c r="R914" s="6">
        <f>IF(COUNTIF($A$2:A914,A914)=1,1,0)</f>
        <v>0</v>
      </c>
    </row>
    <row r="915" spans="1:18" x14ac:dyDescent="0.25">
      <c r="A915" s="6">
        <v>1332</v>
      </c>
      <c r="B915" s="7">
        <v>45142</v>
      </c>
      <c r="C915" t="s">
        <v>57</v>
      </c>
      <c r="D915" s="6">
        <v>2014</v>
      </c>
      <c r="E915" s="8">
        <v>17192</v>
      </c>
      <c r="F915" s="8">
        <v>22000</v>
      </c>
      <c r="G915" s="8">
        <f t="shared" si="56"/>
        <v>4808</v>
      </c>
      <c r="H915" s="6">
        <v>60000</v>
      </c>
      <c r="I915" t="s">
        <v>1647</v>
      </c>
      <c r="J915" t="s">
        <v>72</v>
      </c>
      <c r="K915" t="s">
        <v>96</v>
      </c>
      <c r="L915" t="s">
        <v>100</v>
      </c>
      <c r="M915" t="s">
        <v>90</v>
      </c>
      <c r="N915" s="6">
        <v>3</v>
      </c>
      <c r="O915" t="str">
        <f t="shared" si="57"/>
        <v>Normal</v>
      </c>
      <c r="P915" t="str">
        <f t="shared" si="58"/>
        <v>Duplicate ID</v>
      </c>
      <c r="Q915" t="str">
        <f t="shared" si="59"/>
        <v>15,000-19,999</v>
      </c>
      <c r="R915" s="6">
        <f>IF(COUNTIF($A$2:A915,A915)=1,1,0)</f>
        <v>0</v>
      </c>
    </row>
    <row r="916" spans="1:18" x14ac:dyDescent="0.25">
      <c r="A916" s="6">
        <v>1409</v>
      </c>
      <c r="B916" s="7">
        <v>44502</v>
      </c>
      <c r="C916" t="s">
        <v>1648</v>
      </c>
      <c r="D916" s="6">
        <v>2014</v>
      </c>
      <c r="E916" s="8">
        <v>7876</v>
      </c>
      <c r="F916" s="8">
        <v>12000</v>
      </c>
      <c r="G916" s="8">
        <f t="shared" si="56"/>
        <v>4124</v>
      </c>
      <c r="H916" s="6">
        <v>40000</v>
      </c>
      <c r="I916" t="s">
        <v>58</v>
      </c>
      <c r="J916" t="s">
        <v>35</v>
      </c>
      <c r="K916" t="s">
        <v>1647</v>
      </c>
      <c r="L916" t="s">
        <v>100</v>
      </c>
      <c r="M916" t="s">
        <v>90</v>
      </c>
      <c r="N916" s="6">
        <v>0</v>
      </c>
      <c r="O916" t="str">
        <f t="shared" si="57"/>
        <v>Normal</v>
      </c>
      <c r="P916" t="str">
        <f t="shared" si="58"/>
        <v>Duplicate ID</v>
      </c>
      <c r="Q916" t="str">
        <f t="shared" si="59"/>
        <v>5,000-9,999</v>
      </c>
      <c r="R916" s="6">
        <f>IF(COUNTIF($A$2:A916,A916)=1,1,0)</f>
        <v>0</v>
      </c>
    </row>
    <row r="917" spans="1:18" x14ac:dyDescent="0.25">
      <c r="A917" s="6">
        <v>1202</v>
      </c>
      <c r="B917" s="7">
        <v>44887</v>
      </c>
      <c r="C917" t="s">
        <v>40</v>
      </c>
      <c r="D917" s="6">
        <v>2020</v>
      </c>
      <c r="E917" s="8">
        <v>27781</v>
      </c>
      <c r="F917" s="8">
        <v>31000</v>
      </c>
      <c r="G917" s="8">
        <f t="shared" si="56"/>
        <v>3219</v>
      </c>
      <c r="H917" s="6">
        <v>25000</v>
      </c>
      <c r="I917" t="s">
        <v>69</v>
      </c>
      <c r="J917" t="s">
        <v>35</v>
      </c>
      <c r="K917" t="s">
        <v>36</v>
      </c>
      <c r="L917" t="s">
        <v>48</v>
      </c>
      <c r="M917" t="s">
        <v>98</v>
      </c>
      <c r="N917" s="6">
        <v>3</v>
      </c>
      <c r="O917" t="str">
        <f t="shared" si="57"/>
        <v>Normal</v>
      </c>
      <c r="P917" t="str">
        <f t="shared" si="58"/>
        <v>Duplicate ID</v>
      </c>
      <c r="Q917" t="str">
        <f t="shared" si="59"/>
        <v>25,000-30,000</v>
      </c>
      <c r="R917" s="6">
        <f>IF(COUNTIF($A$2:A917,A917)=1,1,0)</f>
        <v>0</v>
      </c>
    </row>
    <row r="918" spans="1:18" x14ac:dyDescent="0.25">
      <c r="A918" s="6">
        <v>1108</v>
      </c>
      <c r="B918" s="7">
        <v>44920</v>
      </c>
      <c r="C918" t="s">
        <v>1648</v>
      </c>
      <c r="D918" s="6">
        <v>2016</v>
      </c>
      <c r="E918" s="8">
        <v>29511</v>
      </c>
      <c r="F918" s="8">
        <v>31000</v>
      </c>
      <c r="G918" s="8">
        <f t="shared" si="56"/>
        <v>1489</v>
      </c>
      <c r="H918" s="6">
        <v>120000</v>
      </c>
      <c r="I918" t="s">
        <v>69</v>
      </c>
      <c r="J918" t="s">
        <v>35</v>
      </c>
      <c r="K918" t="s">
        <v>36</v>
      </c>
      <c r="L918" t="s">
        <v>1647</v>
      </c>
      <c r="M918" t="s">
        <v>98</v>
      </c>
      <c r="N918" s="6">
        <v>1</v>
      </c>
      <c r="O918" t="str">
        <f t="shared" si="57"/>
        <v>Normal</v>
      </c>
      <c r="P918" t="str">
        <f t="shared" si="58"/>
        <v>Duplicate ID</v>
      </c>
      <c r="Q918" t="str">
        <f t="shared" si="59"/>
        <v>25,000-30,000</v>
      </c>
      <c r="R918" s="6">
        <f>IF(COUNTIF($A$2:A918,A918)=1,1,0)</f>
        <v>1</v>
      </c>
    </row>
    <row r="919" spans="1:18" x14ac:dyDescent="0.25">
      <c r="A919" s="6">
        <v>1346</v>
      </c>
      <c r="B919" s="7">
        <v>44521</v>
      </c>
      <c r="C919" t="s">
        <v>1648</v>
      </c>
      <c r="D919" s="6">
        <v>2021</v>
      </c>
      <c r="E919" s="8">
        <v>827</v>
      </c>
      <c r="F919" s="8">
        <v>7000</v>
      </c>
      <c r="G919" s="8">
        <f t="shared" si="56"/>
        <v>6173</v>
      </c>
      <c r="H919" s="6">
        <v>40000</v>
      </c>
      <c r="I919" t="s">
        <v>41</v>
      </c>
      <c r="J919" t="s">
        <v>1647</v>
      </c>
      <c r="K919" t="s">
        <v>36</v>
      </c>
      <c r="L919" t="s">
        <v>1647</v>
      </c>
      <c r="M919" t="s">
        <v>45</v>
      </c>
      <c r="N919" s="6">
        <v>2</v>
      </c>
      <c r="O919" t="str">
        <f t="shared" si="57"/>
        <v>Outlier</v>
      </c>
      <c r="P919" t="str">
        <f t="shared" si="58"/>
        <v>Duplicate ID</v>
      </c>
      <c r="Q919" t="str">
        <f t="shared" si="59"/>
        <v>0-4,999</v>
      </c>
      <c r="R919" s="6">
        <f>IF(COUNTIF($A$2:A919,A919)=1,1,0)</f>
        <v>0</v>
      </c>
    </row>
    <row r="920" spans="1:18" x14ac:dyDescent="0.25">
      <c r="A920" s="6">
        <v>1018</v>
      </c>
      <c r="B920" s="7">
        <v>44326</v>
      </c>
      <c r="C920" t="s">
        <v>79</v>
      </c>
      <c r="D920" s="6">
        <v>2016</v>
      </c>
      <c r="E920" s="8">
        <v>17121</v>
      </c>
      <c r="F920" s="8">
        <v>22000</v>
      </c>
      <c r="G920" s="8">
        <f t="shared" si="56"/>
        <v>4879</v>
      </c>
      <c r="H920" s="6">
        <v>80000</v>
      </c>
      <c r="I920" t="s">
        <v>69</v>
      </c>
      <c r="J920" t="s">
        <v>35</v>
      </c>
      <c r="K920" t="s">
        <v>96</v>
      </c>
      <c r="L920" t="s">
        <v>48</v>
      </c>
      <c r="M920" t="s">
        <v>45</v>
      </c>
      <c r="N920" s="6" t="s">
        <v>1647</v>
      </c>
      <c r="O920" t="str">
        <f t="shared" si="57"/>
        <v>Normal</v>
      </c>
      <c r="P920" t="str">
        <f t="shared" si="58"/>
        <v>Duplicate ID</v>
      </c>
      <c r="Q920" t="str">
        <f t="shared" si="59"/>
        <v>15,000-19,999</v>
      </c>
      <c r="R920" s="6">
        <f>IF(COUNTIF($A$2:A920,A920)=1,1,0)</f>
        <v>1</v>
      </c>
    </row>
    <row r="921" spans="1:18" x14ac:dyDescent="0.25">
      <c r="A921" s="6">
        <v>1329</v>
      </c>
      <c r="B921" s="7">
        <v>44457</v>
      </c>
      <c r="C921" t="s">
        <v>51</v>
      </c>
      <c r="D921" s="6"/>
      <c r="E921" s="8">
        <v>19408</v>
      </c>
      <c r="F921" s="8">
        <v>22000</v>
      </c>
      <c r="G921" s="8">
        <f t="shared" si="56"/>
        <v>2592</v>
      </c>
      <c r="H921" s="6">
        <v>120000</v>
      </c>
      <c r="I921" t="s">
        <v>58</v>
      </c>
      <c r="J921" t="s">
        <v>35</v>
      </c>
      <c r="K921" t="s">
        <v>96</v>
      </c>
      <c r="L921" t="s">
        <v>48</v>
      </c>
      <c r="M921" t="s">
        <v>126</v>
      </c>
      <c r="N921" s="6">
        <v>2</v>
      </c>
      <c r="O921" t="str">
        <f t="shared" si="57"/>
        <v>Normal</v>
      </c>
      <c r="P921" t="str">
        <f t="shared" si="58"/>
        <v>Duplicate ID</v>
      </c>
      <c r="Q921" t="str">
        <f t="shared" si="59"/>
        <v>15,000-19,999</v>
      </c>
      <c r="R921" s="6">
        <f>IF(COUNTIF($A$2:A921,A921)=1,1,0)</f>
        <v>0</v>
      </c>
    </row>
    <row r="922" spans="1:18" x14ac:dyDescent="0.25">
      <c r="A922" s="6">
        <v>1541</v>
      </c>
      <c r="B922" s="7">
        <v>44363</v>
      </c>
      <c r="C922" t="s">
        <v>32</v>
      </c>
      <c r="D922" s="6">
        <v>2020</v>
      </c>
      <c r="E922" s="8">
        <v>8366</v>
      </c>
      <c r="F922" s="8">
        <v>12000</v>
      </c>
      <c r="G922" s="8">
        <f t="shared" si="56"/>
        <v>3634</v>
      </c>
      <c r="H922" s="6">
        <v>80000</v>
      </c>
      <c r="I922" t="s">
        <v>69</v>
      </c>
      <c r="J922" t="s">
        <v>35</v>
      </c>
      <c r="K922" t="s">
        <v>96</v>
      </c>
      <c r="L922" t="s">
        <v>48</v>
      </c>
      <c r="M922" t="s">
        <v>90</v>
      </c>
      <c r="N922" s="6">
        <v>2</v>
      </c>
      <c r="O922" t="str">
        <f t="shared" si="57"/>
        <v>Normal</v>
      </c>
      <c r="P922" t="str">
        <f t="shared" si="58"/>
        <v>Duplicate ID</v>
      </c>
      <c r="Q922" t="str">
        <f t="shared" si="59"/>
        <v>5,000-9,999</v>
      </c>
      <c r="R922" s="6">
        <f>IF(COUNTIF($A$2:A922,A922)=1,1,0)</f>
        <v>1</v>
      </c>
    </row>
    <row r="923" spans="1:18" x14ac:dyDescent="0.25">
      <c r="A923" s="6">
        <v>1003</v>
      </c>
      <c r="B923" s="7">
        <v>44654</v>
      </c>
      <c r="C923" t="s">
        <v>32</v>
      </c>
      <c r="D923" s="6">
        <v>2019</v>
      </c>
      <c r="E923" s="8">
        <v>3980</v>
      </c>
      <c r="F923" s="8">
        <v>7000</v>
      </c>
      <c r="G923" s="8">
        <f t="shared" si="56"/>
        <v>3020</v>
      </c>
      <c r="H923" s="6">
        <v>60000</v>
      </c>
      <c r="I923" t="s">
        <v>58</v>
      </c>
      <c r="J923" t="s">
        <v>72</v>
      </c>
      <c r="K923" t="s">
        <v>96</v>
      </c>
      <c r="L923" t="s">
        <v>48</v>
      </c>
      <c r="M923" t="s">
        <v>45</v>
      </c>
      <c r="N923" s="6" t="s">
        <v>1647</v>
      </c>
      <c r="O923" t="str">
        <f t="shared" si="57"/>
        <v>Normal</v>
      </c>
      <c r="P923" t="str">
        <f t="shared" si="58"/>
        <v>Duplicate ID</v>
      </c>
      <c r="Q923" t="str">
        <f t="shared" si="59"/>
        <v>0-4,999</v>
      </c>
      <c r="R923" s="6">
        <f>IF(COUNTIF($A$2:A923,A923)=1,1,0)</f>
        <v>0</v>
      </c>
    </row>
    <row r="924" spans="1:18" x14ac:dyDescent="0.25">
      <c r="A924" s="6">
        <v>1302</v>
      </c>
      <c r="B924" s="7">
        <v>44443</v>
      </c>
      <c r="C924" t="s">
        <v>57</v>
      </c>
      <c r="D924" s="6">
        <v>2018</v>
      </c>
      <c r="E924" s="8">
        <v>9044</v>
      </c>
      <c r="F924" s="8">
        <v>15000</v>
      </c>
      <c r="G924" s="8">
        <f t="shared" si="56"/>
        <v>5956</v>
      </c>
      <c r="H924" s="6">
        <v>80000</v>
      </c>
      <c r="I924" t="s">
        <v>69</v>
      </c>
      <c r="J924" t="s">
        <v>35</v>
      </c>
      <c r="K924" t="s">
        <v>96</v>
      </c>
      <c r="L924" t="s">
        <v>48</v>
      </c>
      <c r="M924" t="s">
        <v>126</v>
      </c>
      <c r="N924" s="6">
        <v>2</v>
      </c>
      <c r="O924" t="str">
        <f t="shared" si="57"/>
        <v>Normal</v>
      </c>
      <c r="P924" t="str">
        <f t="shared" si="58"/>
        <v>Duplicate ID</v>
      </c>
      <c r="Q924" t="str">
        <f t="shared" si="59"/>
        <v>5,000-9,999</v>
      </c>
      <c r="R924" s="6">
        <f>IF(COUNTIF($A$2:A924,A924)=1,1,0)</f>
        <v>0</v>
      </c>
    </row>
    <row r="925" spans="1:18" x14ac:dyDescent="0.25">
      <c r="A925" s="6">
        <v>1431</v>
      </c>
      <c r="B925" s="7">
        <v>44256</v>
      </c>
      <c r="C925" t="s">
        <v>119</v>
      </c>
      <c r="D925" s="6">
        <v>2017</v>
      </c>
      <c r="E925" s="8">
        <v>10793</v>
      </c>
      <c r="F925" s="8">
        <v>12000</v>
      </c>
      <c r="G925" s="8">
        <f t="shared" si="56"/>
        <v>1207</v>
      </c>
      <c r="H925" s="6">
        <v>40000</v>
      </c>
      <c r="I925" t="s">
        <v>58</v>
      </c>
      <c r="J925" t="s">
        <v>72</v>
      </c>
      <c r="K925" t="s">
        <v>96</v>
      </c>
      <c r="L925" t="s">
        <v>1647</v>
      </c>
      <c r="M925" t="s">
        <v>90</v>
      </c>
      <c r="N925" s="6" t="s">
        <v>1647</v>
      </c>
      <c r="O925" t="str">
        <f t="shared" si="57"/>
        <v>Normal</v>
      </c>
      <c r="P925" t="str">
        <f t="shared" si="58"/>
        <v>Duplicate ID</v>
      </c>
      <c r="Q925" t="str">
        <f t="shared" si="59"/>
        <v>10,000-14,999</v>
      </c>
      <c r="R925" s="6">
        <f>IF(COUNTIF($A$2:A925,A925)=1,1,0)</f>
        <v>0</v>
      </c>
    </row>
    <row r="926" spans="1:18" x14ac:dyDescent="0.25">
      <c r="A926" s="6">
        <v>1202</v>
      </c>
      <c r="B926" s="7">
        <v>44762</v>
      </c>
      <c r="C926" t="s">
        <v>1648</v>
      </c>
      <c r="D926" s="6">
        <v>2019</v>
      </c>
      <c r="E926" s="8">
        <v>4265</v>
      </c>
      <c r="F926" s="8">
        <v>9000</v>
      </c>
      <c r="G926" s="8">
        <f t="shared" si="56"/>
        <v>4735</v>
      </c>
      <c r="H926" s="6">
        <v>40000</v>
      </c>
      <c r="I926" t="s">
        <v>58</v>
      </c>
      <c r="J926" t="s">
        <v>72</v>
      </c>
      <c r="K926" t="s">
        <v>36</v>
      </c>
      <c r="L926" t="s">
        <v>73</v>
      </c>
      <c r="M926" t="s">
        <v>126</v>
      </c>
      <c r="N926" s="6">
        <v>2</v>
      </c>
      <c r="O926" t="str">
        <f t="shared" si="57"/>
        <v>Normal</v>
      </c>
      <c r="P926" t="str">
        <f t="shared" si="58"/>
        <v>Duplicate ID</v>
      </c>
      <c r="Q926" t="str">
        <f t="shared" si="59"/>
        <v>0-4,999</v>
      </c>
      <c r="R926" s="6">
        <f>IF(COUNTIF($A$2:A926,A926)=1,1,0)</f>
        <v>0</v>
      </c>
    </row>
    <row r="927" spans="1:18" x14ac:dyDescent="0.25">
      <c r="A927" s="6">
        <v>1563</v>
      </c>
      <c r="B927" s="7">
        <v>44965</v>
      </c>
      <c r="C927" t="s">
        <v>1648</v>
      </c>
      <c r="D927" s="6">
        <v>2019</v>
      </c>
      <c r="E927" s="8">
        <v>5098</v>
      </c>
      <c r="F927" s="8">
        <v>12000</v>
      </c>
      <c r="G927" s="8">
        <f t="shared" si="56"/>
        <v>6902</v>
      </c>
      <c r="H927" s="6">
        <v>40000</v>
      </c>
      <c r="I927" t="s">
        <v>58</v>
      </c>
      <c r="J927" t="s">
        <v>72</v>
      </c>
      <c r="K927" t="s">
        <v>1647</v>
      </c>
      <c r="L927" t="s">
        <v>73</v>
      </c>
      <c r="M927" t="s">
        <v>45</v>
      </c>
      <c r="N927" s="6">
        <v>2</v>
      </c>
      <c r="O927" t="str">
        <f t="shared" si="57"/>
        <v>Normal</v>
      </c>
      <c r="P927" t="str">
        <f t="shared" si="58"/>
        <v>Duplicate ID</v>
      </c>
      <c r="Q927" t="str">
        <f t="shared" si="59"/>
        <v>5,000-9,999</v>
      </c>
      <c r="R927" s="6">
        <f>IF(COUNTIF($A$2:A927,A927)=1,1,0)</f>
        <v>0</v>
      </c>
    </row>
    <row r="928" spans="1:18" x14ac:dyDescent="0.25">
      <c r="A928" s="6">
        <v>1508</v>
      </c>
      <c r="B928" s="7">
        <v>44467</v>
      </c>
      <c r="C928" t="s">
        <v>40</v>
      </c>
      <c r="D928" s="6">
        <v>2022</v>
      </c>
      <c r="E928" s="8">
        <v>125</v>
      </c>
      <c r="F928" s="8">
        <v>7000</v>
      </c>
      <c r="G928" s="8">
        <f t="shared" si="56"/>
        <v>6875</v>
      </c>
      <c r="H928" s="6">
        <v>120000</v>
      </c>
      <c r="I928" t="s">
        <v>58</v>
      </c>
      <c r="J928" t="s">
        <v>35</v>
      </c>
      <c r="K928" t="s">
        <v>36</v>
      </c>
      <c r="L928" t="s">
        <v>54</v>
      </c>
      <c r="M928" t="s">
        <v>45</v>
      </c>
      <c r="N928" s="6">
        <v>2</v>
      </c>
      <c r="O928" t="str">
        <f t="shared" si="57"/>
        <v>Outlier</v>
      </c>
      <c r="P928" t="str">
        <f t="shared" si="58"/>
        <v>Duplicate ID</v>
      </c>
      <c r="Q928" t="str">
        <f t="shared" si="59"/>
        <v>0-4,999</v>
      </c>
      <c r="R928" s="6">
        <f>IF(COUNTIF($A$2:A928,A928)=1,1,0)</f>
        <v>0</v>
      </c>
    </row>
    <row r="929" spans="1:18" x14ac:dyDescent="0.25">
      <c r="A929" s="6">
        <v>1558</v>
      </c>
      <c r="B929" s="7">
        <v>45017</v>
      </c>
      <c r="C929" t="s">
        <v>40</v>
      </c>
      <c r="D929" s="6">
        <v>2020</v>
      </c>
      <c r="E929" s="8">
        <v>16966</v>
      </c>
      <c r="F929" s="8">
        <v>22000</v>
      </c>
      <c r="G929" s="8">
        <f t="shared" si="56"/>
        <v>5034</v>
      </c>
      <c r="H929" s="6">
        <v>15000</v>
      </c>
      <c r="I929" t="s">
        <v>58</v>
      </c>
      <c r="J929" t="s">
        <v>1647</v>
      </c>
      <c r="K929" t="s">
        <v>36</v>
      </c>
      <c r="L929" t="s">
        <v>100</v>
      </c>
      <c r="M929" t="s">
        <v>98</v>
      </c>
      <c r="N929" s="6">
        <v>1</v>
      </c>
      <c r="O929" t="str">
        <f t="shared" si="57"/>
        <v>Normal</v>
      </c>
      <c r="P929" t="str">
        <f t="shared" si="58"/>
        <v>Unique ID</v>
      </c>
      <c r="Q929" t="str">
        <f t="shared" si="59"/>
        <v>15,000-19,999</v>
      </c>
      <c r="R929" s="6">
        <f>IF(COUNTIF($A$2:A929,A929)=1,1,0)</f>
        <v>1</v>
      </c>
    </row>
    <row r="930" spans="1:18" x14ac:dyDescent="0.25">
      <c r="A930" s="6">
        <v>1024</v>
      </c>
      <c r="B930" s="7">
        <v>45339</v>
      </c>
      <c r="C930" t="s">
        <v>32</v>
      </c>
      <c r="D930" s="6">
        <v>2018</v>
      </c>
      <c r="E930" s="8">
        <v>13538</v>
      </c>
      <c r="F930" s="8">
        <v>15000</v>
      </c>
      <c r="G930" s="8">
        <f t="shared" si="56"/>
        <v>1462</v>
      </c>
      <c r="H930" s="6">
        <v>25000</v>
      </c>
      <c r="I930" t="s">
        <v>41</v>
      </c>
      <c r="J930" t="s">
        <v>35</v>
      </c>
      <c r="K930" t="s">
        <v>36</v>
      </c>
      <c r="L930" t="s">
        <v>100</v>
      </c>
      <c r="M930" t="s">
        <v>90</v>
      </c>
      <c r="N930" s="6">
        <v>1</v>
      </c>
      <c r="O930" t="str">
        <f t="shared" si="57"/>
        <v>Normal</v>
      </c>
      <c r="P930" t="str">
        <f t="shared" si="58"/>
        <v>Duplicate ID</v>
      </c>
      <c r="Q930" t="str">
        <f t="shared" si="59"/>
        <v>10,000-14,999</v>
      </c>
      <c r="R930" s="6">
        <f>IF(COUNTIF($A$2:A930,A930)=1,1,0)</f>
        <v>0</v>
      </c>
    </row>
    <row r="931" spans="1:18" x14ac:dyDescent="0.25">
      <c r="A931" s="6">
        <v>1019</v>
      </c>
      <c r="B931" s="7">
        <v>45007</v>
      </c>
      <c r="C931" t="s">
        <v>51</v>
      </c>
      <c r="D931" s="6">
        <v>2019</v>
      </c>
      <c r="E931" s="8">
        <v>19510</v>
      </c>
      <c r="F931" s="8">
        <v>26000</v>
      </c>
      <c r="G931" s="8">
        <f t="shared" si="56"/>
        <v>6490</v>
      </c>
      <c r="H931" s="6">
        <v>120000</v>
      </c>
      <c r="I931" t="s">
        <v>34</v>
      </c>
      <c r="J931" t="s">
        <v>1647</v>
      </c>
      <c r="K931" t="s">
        <v>36</v>
      </c>
      <c r="L931" t="s">
        <v>73</v>
      </c>
      <c r="M931" t="s">
        <v>90</v>
      </c>
      <c r="N931" s="6" t="s">
        <v>1647</v>
      </c>
      <c r="O931" t="str">
        <f t="shared" si="57"/>
        <v>Normal</v>
      </c>
      <c r="P931" t="str">
        <f t="shared" si="58"/>
        <v>Duplicate ID</v>
      </c>
      <c r="Q931" t="str">
        <f t="shared" si="59"/>
        <v>15,000-19,999</v>
      </c>
      <c r="R931" s="6">
        <f>IF(COUNTIF($A$2:A931,A931)=1,1,0)</f>
        <v>0</v>
      </c>
    </row>
    <row r="932" spans="1:18" x14ac:dyDescent="0.25">
      <c r="A932" s="6">
        <v>1357</v>
      </c>
      <c r="B932" s="7">
        <v>44211</v>
      </c>
      <c r="C932" t="s">
        <v>40</v>
      </c>
      <c r="D932" s="6">
        <v>2017</v>
      </c>
      <c r="E932" s="8">
        <v>9974</v>
      </c>
      <c r="F932" s="8">
        <v>15000</v>
      </c>
      <c r="G932" s="8">
        <f t="shared" si="56"/>
        <v>5026</v>
      </c>
      <c r="H932" s="6">
        <v>80000</v>
      </c>
      <c r="I932" t="s">
        <v>58</v>
      </c>
      <c r="J932" t="s">
        <v>72</v>
      </c>
      <c r="K932" t="s">
        <v>36</v>
      </c>
      <c r="L932" t="s">
        <v>100</v>
      </c>
      <c r="M932" t="s">
        <v>1647</v>
      </c>
      <c r="N932" s="6">
        <v>0</v>
      </c>
      <c r="O932" t="str">
        <f t="shared" si="57"/>
        <v>Normal</v>
      </c>
      <c r="P932" t="str">
        <f t="shared" si="58"/>
        <v>Duplicate ID</v>
      </c>
      <c r="Q932" t="str">
        <f t="shared" si="59"/>
        <v>5,000-9,999</v>
      </c>
      <c r="R932" s="6">
        <f>IF(COUNTIF($A$2:A932,A932)=1,1,0)</f>
        <v>0</v>
      </c>
    </row>
    <row r="933" spans="1:18" x14ac:dyDescent="0.25">
      <c r="A933" s="6">
        <v>1206</v>
      </c>
      <c r="B933" s="7">
        <v>44524</v>
      </c>
      <c r="C933" t="s">
        <v>51</v>
      </c>
      <c r="D933" s="6">
        <v>2018</v>
      </c>
      <c r="E933" s="8">
        <v>17819</v>
      </c>
      <c r="F933" s="8">
        <v>22000</v>
      </c>
      <c r="G933" s="8">
        <f t="shared" si="56"/>
        <v>4181</v>
      </c>
      <c r="H933" s="6">
        <v>80000</v>
      </c>
      <c r="I933" t="s">
        <v>69</v>
      </c>
      <c r="J933" t="s">
        <v>72</v>
      </c>
      <c r="K933" t="s">
        <v>36</v>
      </c>
      <c r="L933" t="s">
        <v>54</v>
      </c>
      <c r="M933" t="s">
        <v>98</v>
      </c>
      <c r="N933" s="6">
        <v>0</v>
      </c>
      <c r="O933" t="str">
        <f t="shared" si="57"/>
        <v>Normal</v>
      </c>
      <c r="P933" t="str">
        <f t="shared" si="58"/>
        <v>Duplicate ID</v>
      </c>
      <c r="Q933" t="str">
        <f t="shared" si="59"/>
        <v>15,000-19,999</v>
      </c>
      <c r="R933" s="6">
        <f>IF(COUNTIF($A$2:A933,A933)=1,1,0)</f>
        <v>0</v>
      </c>
    </row>
    <row r="934" spans="1:18" x14ac:dyDescent="0.25">
      <c r="A934" s="6">
        <v>1042</v>
      </c>
      <c r="B934" s="7">
        <v>44427</v>
      </c>
      <c r="C934" t="s">
        <v>1648</v>
      </c>
      <c r="D934" s="6"/>
      <c r="E934" s="8">
        <v>23486</v>
      </c>
      <c r="F934" s="8">
        <v>26000</v>
      </c>
      <c r="G934" s="8">
        <f t="shared" si="56"/>
        <v>2514</v>
      </c>
      <c r="H934" s="6">
        <v>25000</v>
      </c>
      <c r="I934" t="s">
        <v>58</v>
      </c>
      <c r="J934" t="s">
        <v>35</v>
      </c>
      <c r="K934" t="s">
        <v>1647</v>
      </c>
      <c r="L934" t="s">
        <v>54</v>
      </c>
      <c r="M934" t="s">
        <v>90</v>
      </c>
      <c r="N934" s="6" t="s">
        <v>1647</v>
      </c>
      <c r="O934" t="str">
        <f t="shared" si="57"/>
        <v>Normal</v>
      </c>
      <c r="P934" t="str">
        <f t="shared" si="58"/>
        <v>Duplicate ID</v>
      </c>
      <c r="Q934" t="str">
        <f t="shared" si="59"/>
        <v>20,000-24,999</v>
      </c>
      <c r="R934" s="6">
        <f>IF(COUNTIF($A$2:A934,A934)=1,1,0)</f>
        <v>0</v>
      </c>
    </row>
    <row r="935" spans="1:18" x14ac:dyDescent="0.25">
      <c r="A935" s="6">
        <v>1580</v>
      </c>
      <c r="B935" s="7">
        <v>44667</v>
      </c>
      <c r="C935" t="s">
        <v>51</v>
      </c>
      <c r="D935" s="6">
        <v>2019</v>
      </c>
      <c r="E935" s="8">
        <v>24693</v>
      </c>
      <c r="F935" s="8">
        <v>31000</v>
      </c>
      <c r="G935" s="8">
        <f t="shared" si="56"/>
        <v>6307</v>
      </c>
      <c r="H935" s="6">
        <v>15000</v>
      </c>
      <c r="I935" t="s">
        <v>41</v>
      </c>
      <c r="J935" t="s">
        <v>72</v>
      </c>
      <c r="K935" t="s">
        <v>36</v>
      </c>
      <c r="L935" t="s">
        <v>100</v>
      </c>
      <c r="M935" t="s">
        <v>90</v>
      </c>
      <c r="N935" s="6">
        <v>2</v>
      </c>
      <c r="O935" t="str">
        <f t="shared" si="57"/>
        <v>Normal</v>
      </c>
      <c r="P935" t="str">
        <f t="shared" si="58"/>
        <v>Duplicate ID</v>
      </c>
      <c r="Q935" t="str">
        <f t="shared" si="59"/>
        <v>20,000-24,999</v>
      </c>
      <c r="R935" s="6">
        <f>IF(COUNTIF($A$2:A935,A935)=1,1,0)</f>
        <v>0</v>
      </c>
    </row>
    <row r="936" spans="1:18" x14ac:dyDescent="0.25">
      <c r="A936" s="6">
        <v>1400</v>
      </c>
      <c r="B936" s="7">
        <v>45134</v>
      </c>
      <c r="C936" t="s">
        <v>57</v>
      </c>
      <c r="D936" s="6">
        <v>2021</v>
      </c>
      <c r="E936" s="8">
        <v>22319</v>
      </c>
      <c r="F936" s="8">
        <v>26000</v>
      </c>
      <c r="G936" s="8">
        <f t="shared" si="56"/>
        <v>3681</v>
      </c>
      <c r="H936" s="6">
        <v>120000</v>
      </c>
      <c r="I936" t="s">
        <v>69</v>
      </c>
      <c r="J936" t="s">
        <v>35</v>
      </c>
      <c r="K936" t="s">
        <v>36</v>
      </c>
      <c r="L936" t="s">
        <v>73</v>
      </c>
      <c r="M936" t="s">
        <v>126</v>
      </c>
      <c r="N936" s="6">
        <v>0</v>
      </c>
      <c r="O936" t="str">
        <f t="shared" si="57"/>
        <v>Normal</v>
      </c>
      <c r="P936" t="str">
        <f t="shared" si="58"/>
        <v>Duplicate ID</v>
      </c>
      <c r="Q936" t="str">
        <f t="shared" si="59"/>
        <v>20,000-24,999</v>
      </c>
      <c r="R936" s="6">
        <f>IF(COUNTIF($A$2:A936,A936)=1,1,0)</f>
        <v>0</v>
      </c>
    </row>
    <row r="937" spans="1:18" x14ac:dyDescent="0.25">
      <c r="A937" s="6">
        <v>1390</v>
      </c>
      <c r="B937" s="7">
        <v>45108</v>
      </c>
      <c r="C937" t="s">
        <v>40</v>
      </c>
      <c r="D937" s="6">
        <v>2014</v>
      </c>
      <c r="E937" s="8">
        <v>14515</v>
      </c>
      <c r="F937" s="8">
        <v>18000</v>
      </c>
      <c r="G937" s="8">
        <f t="shared" si="56"/>
        <v>3485</v>
      </c>
      <c r="H937" s="6">
        <v>15000</v>
      </c>
      <c r="I937" t="s">
        <v>69</v>
      </c>
      <c r="J937" t="s">
        <v>35</v>
      </c>
      <c r="K937" t="s">
        <v>36</v>
      </c>
      <c r="L937" t="s">
        <v>48</v>
      </c>
      <c r="M937" t="s">
        <v>45</v>
      </c>
      <c r="N937" s="6">
        <v>0</v>
      </c>
      <c r="O937" t="str">
        <f t="shared" si="57"/>
        <v>Normal</v>
      </c>
      <c r="P937" t="str">
        <f t="shared" si="58"/>
        <v>Duplicate ID</v>
      </c>
      <c r="Q937" t="str">
        <f t="shared" si="59"/>
        <v>10,000-14,999</v>
      </c>
      <c r="R937" s="6">
        <f>IF(COUNTIF($A$2:A937,A937)=1,1,0)</f>
        <v>0</v>
      </c>
    </row>
    <row r="938" spans="1:18" x14ac:dyDescent="0.25">
      <c r="A938" s="6">
        <v>1309</v>
      </c>
      <c r="B938" s="7">
        <v>44442</v>
      </c>
      <c r="C938" t="s">
        <v>119</v>
      </c>
      <c r="D938" s="6">
        <v>2020</v>
      </c>
      <c r="E938" s="8">
        <v>5714</v>
      </c>
      <c r="F938" s="8">
        <v>7000</v>
      </c>
      <c r="G938" s="8">
        <f t="shared" si="56"/>
        <v>1286</v>
      </c>
      <c r="H938" s="6">
        <v>40000</v>
      </c>
      <c r="I938" t="s">
        <v>58</v>
      </c>
      <c r="J938" t="s">
        <v>35</v>
      </c>
      <c r="K938" t="s">
        <v>36</v>
      </c>
      <c r="L938" t="s">
        <v>48</v>
      </c>
      <c r="M938" t="s">
        <v>90</v>
      </c>
      <c r="N938" s="6">
        <v>0</v>
      </c>
      <c r="O938" t="str">
        <f t="shared" si="57"/>
        <v>Normal</v>
      </c>
      <c r="P938" t="str">
        <f t="shared" si="58"/>
        <v>Duplicate ID</v>
      </c>
      <c r="Q938" t="str">
        <f t="shared" si="59"/>
        <v>5,000-9,999</v>
      </c>
      <c r="R938" s="6">
        <f>IF(COUNTIF($A$2:A938,A938)=1,1,0)</f>
        <v>0</v>
      </c>
    </row>
    <row r="939" spans="1:18" x14ac:dyDescent="0.25">
      <c r="A939" s="6">
        <v>1279</v>
      </c>
      <c r="B939" s="7">
        <v>45338</v>
      </c>
      <c r="C939" t="s">
        <v>32</v>
      </c>
      <c r="D939" s="6">
        <v>2015</v>
      </c>
      <c r="E939" s="8">
        <v>9251</v>
      </c>
      <c r="F939" s="8">
        <v>15000</v>
      </c>
      <c r="G939" s="8">
        <f t="shared" si="56"/>
        <v>5749</v>
      </c>
      <c r="H939" s="6">
        <v>60000</v>
      </c>
      <c r="I939" t="s">
        <v>58</v>
      </c>
      <c r="J939" t="s">
        <v>35</v>
      </c>
      <c r="K939" t="s">
        <v>36</v>
      </c>
      <c r="L939" t="s">
        <v>48</v>
      </c>
      <c r="M939" t="s">
        <v>98</v>
      </c>
      <c r="N939" s="6">
        <v>0</v>
      </c>
      <c r="O939" t="str">
        <f t="shared" si="57"/>
        <v>Normal</v>
      </c>
      <c r="P939" t="str">
        <f t="shared" si="58"/>
        <v>Duplicate ID</v>
      </c>
      <c r="Q939" t="str">
        <f t="shared" si="59"/>
        <v>5,000-9,999</v>
      </c>
      <c r="R939" s="6">
        <f>IF(COUNTIF($A$2:A939,A939)=1,1,0)</f>
        <v>0</v>
      </c>
    </row>
    <row r="940" spans="1:18" x14ac:dyDescent="0.25">
      <c r="A940" s="6">
        <v>1013</v>
      </c>
      <c r="B940" s="7">
        <v>44555</v>
      </c>
      <c r="C940" t="s">
        <v>40</v>
      </c>
      <c r="D940" s="6">
        <v>2021</v>
      </c>
      <c r="E940" s="8">
        <v>21622</v>
      </c>
      <c r="F940" s="8">
        <v>26000</v>
      </c>
      <c r="G940" s="8">
        <f t="shared" si="56"/>
        <v>4378</v>
      </c>
      <c r="H940" s="6">
        <v>60000</v>
      </c>
      <c r="I940" t="s">
        <v>69</v>
      </c>
      <c r="J940" t="s">
        <v>72</v>
      </c>
      <c r="K940" t="s">
        <v>96</v>
      </c>
      <c r="L940" t="s">
        <v>100</v>
      </c>
      <c r="M940" t="s">
        <v>45</v>
      </c>
      <c r="N940" s="6">
        <v>0</v>
      </c>
      <c r="O940" t="str">
        <f t="shared" si="57"/>
        <v>Normal</v>
      </c>
      <c r="P940" t="str">
        <f t="shared" si="58"/>
        <v>Duplicate ID</v>
      </c>
      <c r="Q940" t="str">
        <f t="shared" si="59"/>
        <v>20,000-24,999</v>
      </c>
      <c r="R940" s="6">
        <f>IF(COUNTIF($A$2:A940,A940)=1,1,0)</f>
        <v>0</v>
      </c>
    </row>
    <row r="941" spans="1:18" x14ac:dyDescent="0.25">
      <c r="A941" s="6">
        <v>1045</v>
      </c>
      <c r="B941" s="7">
        <v>44200</v>
      </c>
      <c r="C941" t="s">
        <v>119</v>
      </c>
      <c r="D941" s="6">
        <v>2017</v>
      </c>
      <c r="E941" s="8">
        <v>10331</v>
      </c>
      <c r="F941" s="8">
        <v>15000</v>
      </c>
      <c r="G941" s="8">
        <f t="shared" si="56"/>
        <v>4669</v>
      </c>
      <c r="H941" s="6">
        <v>120000</v>
      </c>
      <c r="I941" t="s">
        <v>1647</v>
      </c>
      <c r="J941" t="s">
        <v>35</v>
      </c>
      <c r="K941" t="s">
        <v>36</v>
      </c>
      <c r="L941" t="s">
        <v>54</v>
      </c>
      <c r="M941" t="s">
        <v>45</v>
      </c>
      <c r="N941" s="6">
        <v>0</v>
      </c>
      <c r="O941" t="str">
        <f t="shared" si="57"/>
        <v>Normal</v>
      </c>
      <c r="P941" t="str">
        <f t="shared" si="58"/>
        <v>Duplicate ID</v>
      </c>
      <c r="Q941" t="str">
        <f t="shared" si="59"/>
        <v>10,000-14,999</v>
      </c>
      <c r="R941" s="6">
        <f>IF(COUNTIF($A$2:A941,A941)=1,1,0)</f>
        <v>0</v>
      </c>
    </row>
    <row r="942" spans="1:18" x14ac:dyDescent="0.25">
      <c r="A942" s="6">
        <v>1380</v>
      </c>
      <c r="B942" s="7">
        <v>44961</v>
      </c>
      <c r="C942" t="s">
        <v>79</v>
      </c>
      <c r="D942" s="6">
        <v>2021</v>
      </c>
      <c r="E942" s="8">
        <v>28658</v>
      </c>
      <c r="F942" s="8">
        <v>31000</v>
      </c>
      <c r="G942" s="8">
        <f t="shared" si="56"/>
        <v>2342</v>
      </c>
      <c r="H942" s="6">
        <v>80000</v>
      </c>
      <c r="I942" t="s">
        <v>69</v>
      </c>
      <c r="J942" t="s">
        <v>72</v>
      </c>
      <c r="K942" t="s">
        <v>36</v>
      </c>
      <c r="L942" t="s">
        <v>48</v>
      </c>
      <c r="M942" t="s">
        <v>45</v>
      </c>
      <c r="N942" s="6">
        <v>3</v>
      </c>
      <c r="O942" t="str">
        <f t="shared" si="57"/>
        <v>Normal</v>
      </c>
      <c r="P942" t="str">
        <f t="shared" si="58"/>
        <v>Unique ID</v>
      </c>
      <c r="Q942" t="str">
        <f t="shared" si="59"/>
        <v>25,000-30,000</v>
      </c>
      <c r="R942" s="6">
        <f>IF(COUNTIF($A$2:A942,A942)=1,1,0)</f>
        <v>1</v>
      </c>
    </row>
    <row r="943" spans="1:18" x14ac:dyDescent="0.25">
      <c r="A943" s="6">
        <v>1417</v>
      </c>
      <c r="B943" s="7">
        <v>45307</v>
      </c>
      <c r="C943" t="s">
        <v>79</v>
      </c>
      <c r="D943" s="6">
        <v>2018</v>
      </c>
      <c r="E943" s="8">
        <v>6949</v>
      </c>
      <c r="F943" s="8">
        <v>12000</v>
      </c>
      <c r="G943" s="8">
        <f t="shared" si="56"/>
        <v>5051</v>
      </c>
      <c r="H943" s="6">
        <v>120000</v>
      </c>
      <c r="I943" t="s">
        <v>58</v>
      </c>
      <c r="J943" t="s">
        <v>72</v>
      </c>
      <c r="K943" t="s">
        <v>96</v>
      </c>
      <c r="L943" t="s">
        <v>48</v>
      </c>
      <c r="M943" t="s">
        <v>98</v>
      </c>
      <c r="N943" s="6" t="s">
        <v>1647</v>
      </c>
      <c r="O943" t="str">
        <f t="shared" si="57"/>
        <v>Normal</v>
      </c>
      <c r="P943" t="str">
        <f t="shared" si="58"/>
        <v>Duplicate ID</v>
      </c>
      <c r="Q943" t="str">
        <f t="shared" si="59"/>
        <v>5,000-9,999</v>
      </c>
      <c r="R943" s="6">
        <f>IF(COUNTIF($A$2:A943,A943)=1,1,0)</f>
        <v>0</v>
      </c>
    </row>
    <row r="944" spans="1:18" x14ac:dyDescent="0.25">
      <c r="A944" s="6">
        <v>1349</v>
      </c>
      <c r="B944" s="7">
        <v>44494</v>
      </c>
      <c r="C944" t="s">
        <v>57</v>
      </c>
      <c r="D944" s="6">
        <v>2014</v>
      </c>
      <c r="E944" s="8">
        <v>15880</v>
      </c>
      <c r="F944" s="8">
        <v>22000</v>
      </c>
      <c r="G944" s="8">
        <f t="shared" si="56"/>
        <v>6120</v>
      </c>
      <c r="H944" s="6">
        <v>80000</v>
      </c>
      <c r="I944" t="s">
        <v>58</v>
      </c>
      <c r="J944" t="s">
        <v>35</v>
      </c>
      <c r="K944" t="s">
        <v>96</v>
      </c>
      <c r="L944" t="s">
        <v>73</v>
      </c>
      <c r="M944" t="s">
        <v>98</v>
      </c>
      <c r="N944" s="6">
        <v>0</v>
      </c>
      <c r="O944" t="str">
        <f t="shared" si="57"/>
        <v>Normal</v>
      </c>
      <c r="P944" t="str">
        <f t="shared" si="58"/>
        <v>Duplicate ID</v>
      </c>
      <c r="Q944" t="str">
        <f t="shared" si="59"/>
        <v>15,000-19,999</v>
      </c>
      <c r="R944" s="6">
        <f>IF(COUNTIF($A$2:A944,A944)=1,1,0)</f>
        <v>0</v>
      </c>
    </row>
    <row r="945" spans="1:18" x14ac:dyDescent="0.25">
      <c r="A945" s="6">
        <v>1563</v>
      </c>
      <c r="B945" s="7">
        <v>44718</v>
      </c>
      <c r="C945" t="s">
        <v>40</v>
      </c>
      <c r="D945" s="6">
        <v>2022</v>
      </c>
      <c r="E945" s="8">
        <v>7967</v>
      </c>
      <c r="F945" s="8">
        <v>9000</v>
      </c>
      <c r="G945" s="8">
        <f t="shared" si="56"/>
        <v>1033</v>
      </c>
      <c r="H945" s="6">
        <v>80000</v>
      </c>
      <c r="I945" t="s">
        <v>69</v>
      </c>
      <c r="J945" t="s">
        <v>72</v>
      </c>
      <c r="K945" t="s">
        <v>36</v>
      </c>
      <c r="L945" t="s">
        <v>54</v>
      </c>
      <c r="M945" t="s">
        <v>45</v>
      </c>
      <c r="N945" s="6" t="s">
        <v>1647</v>
      </c>
      <c r="O945" t="str">
        <f t="shared" si="57"/>
        <v>Normal</v>
      </c>
      <c r="P945" t="str">
        <f t="shared" si="58"/>
        <v>Duplicate ID</v>
      </c>
      <c r="Q945" t="str">
        <f t="shared" si="59"/>
        <v>5,000-9,999</v>
      </c>
      <c r="R945" s="6">
        <f>IF(COUNTIF($A$2:A945,A945)=1,1,0)</f>
        <v>0</v>
      </c>
    </row>
    <row r="946" spans="1:18" x14ac:dyDescent="0.25">
      <c r="A946" s="6">
        <v>1417</v>
      </c>
      <c r="B946" s="7">
        <v>44916</v>
      </c>
      <c r="C946" t="s">
        <v>79</v>
      </c>
      <c r="D946" s="6">
        <v>2022</v>
      </c>
      <c r="E946" s="8">
        <v>20274</v>
      </c>
      <c r="F946" s="8">
        <v>26000</v>
      </c>
      <c r="G946" s="8">
        <f t="shared" si="56"/>
        <v>5726</v>
      </c>
      <c r="H946" s="6">
        <v>25000</v>
      </c>
      <c r="I946" t="s">
        <v>1647</v>
      </c>
      <c r="J946" t="s">
        <v>35</v>
      </c>
      <c r="K946" t="s">
        <v>36</v>
      </c>
      <c r="L946" t="s">
        <v>73</v>
      </c>
      <c r="M946" t="s">
        <v>1647</v>
      </c>
      <c r="N946" s="6">
        <v>0</v>
      </c>
      <c r="O946" t="str">
        <f t="shared" si="57"/>
        <v>Normal</v>
      </c>
      <c r="P946" t="str">
        <f t="shared" si="58"/>
        <v>Duplicate ID</v>
      </c>
      <c r="Q946" t="str">
        <f t="shared" si="59"/>
        <v>20,000-24,999</v>
      </c>
      <c r="R946" s="6">
        <f>IF(COUNTIF($A$2:A946,A946)=1,1,0)</f>
        <v>0</v>
      </c>
    </row>
    <row r="947" spans="1:18" x14ac:dyDescent="0.25">
      <c r="A947" s="6">
        <v>1415</v>
      </c>
      <c r="B947" s="7">
        <v>44692</v>
      </c>
      <c r="C947" t="s">
        <v>1648</v>
      </c>
      <c r="D947" s="6">
        <v>2016</v>
      </c>
      <c r="E947" s="8">
        <v>5489</v>
      </c>
      <c r="F947" s="8">
        <v>9000</v>
      </c>
      <c r="G947" s="8">
        <f t="shared" si="56"/>
        <v>3511</v>
      </c>
      <c r="H947" s="6">
        <v>120000</v>
      </c>
      <c r="I947" t="s">
        <v>58</v>
      </c>
      <c r="J947" t="s">
        <v>35</v>
      </c>
      <c r="K947" t="s">
        <v>36</v>
      </c>
      <c r="L947" t="s">
        <v>73</v>
      </c>
      <c r="M947" t="s">
        <v>45</v>
      </c>
      <c r="N947" s="6">
        <v>0</v>
      </c>
      <c r="O947" t="str">
        <f t="shared" si="57"/>
        <v>Normal</v>
      </c>
      <c r="P947" t="str">
        <f t="shared" si="58"/>
        <v>Duplicate ID</v>
      </c>
      <c r="Q947" t="str">
        <f t="shared" si="59"/>
        <v>5,000-9,999</v>
      </c>
      <c r="R947" s="6">
        <f>IF(COUNTIF($A$2:A947,A947)=1,1,0)</f>
        <v>0</v>
      </c>
    </row>
    <row r="948" spans="1:18" x14ac:dyDescent="0.25">
      <c r="A948" s="6">
        <v>1121</v>
      </c>
      <c r="B948" s="7">
        <v>45123</v>
      </c>
      <c r="C948" t="s">
        <v>57</v>
      </c>
      <c r="D948" s="6">
        <v>2016</v>
      </c>
      <c r="E948" s="8">
        <v>5924</v>
      </c>
      <c r="F948" s="8">
        <v>9000</v>
      </c>
      <c r="G948" s="8">
        <f t="shared" si="56"/>
        <v>3076</v>
      </c>
      <c r="H948" s="6">
        <v>15000</v>
      </c>
      <c r="I948" t="s">
        <v>69</v>
      </c>
      <c r="J948" t="s">
        <v>72</v>
      </c>
      <c r="K948" t="s">
        <v>96</v>
      </c>
      <c r="L948" t="s">
        <v>54</v>
      </c>
      <c r="M948" t="s">
        <v>90</v>
      </c>
      <c r="N948" s="6">
        <v>2</v>
      </c>
      <c r="O948" t="str">
        <f t="shared" si="57"/>
        <v>Normal</v>
      </c>
      <c r="P948" t="str">
        <f t="shared" si="58"/>
        <v>Duplicate ID</v>
      </c>
      <c r="Q948" t="str">
        <f t="shared" si="59"/>
        <v>5,000-9,999</v>
      </c>
      <c r="R948" s="6">
        <f>IF(COUNTIF($A$2:A948,A948)=1,1,0)</f>
        <v>0</v>
      </c>
    </row>
    <row r="949" spans="1:18" x14ac:dyDescent="0.25">
      <c r="A949" s="6">
        <v>1503</v>
      </c>
      <c r="B949" s="7">
        <v>44282</v>
      </c>
      <c r="C949" t="s">
        <v>1648</v>
      </c>
      <c r="D949" s="6"/>
      <c r="E949" s="8">
        <v>24964</v>
      </c>
      <c r="F949" s="8">
        <v>31000</v>
      </c>
      <c r="G949" s="8">
        <f t="shared" si="56"/>
        <v>6036</v>
      </c>
      <c r="H949" s="6">
        <v>120000</v>
      </c>
      <c r="I949" t="s">
        <v>69</v>
      </c>
      <c r="J949" t="s">
        <v>72</v>
      </c>
      <c r="K949" t="s">
        <v>96</v>
      </c>
      <c r="L949" t="s">
        <v>1647</v>
      </c>
      <c r="M949" t="s">
        <v>126</v>
      </c>
      <c r="N949" s="6">
        <v>3</v>
      </c>
      <c r="O949" t="str">
        <f t="shared" si="57"/>
        <v>Normal</v>
      </c>
      <c r="P949" t="str">
        <f t="shared" si="58"/>
        <v>Duplicate ID</v>
      </c>
      <c r="Q949" t="str">
        <f t="shared" si="59"/>
        <v>20,000-24,999</v>
      </c>
      <c r="R949" s="6">
        <f>IF(COUNTIF($A$2:A949,A949)=1,1,0)</f>
        <v>1</v>
      </c>
    </row>
    <row r="950" spans="1:18" x14ac:dyDescent="0.25">
      <c r="A950" s="6">
        <v>1499</v>
      </c>
      <c r="B950" s="7">
        <v>44276</v>
      </c>
      <c r="C950" t="s">
        <v>79</v>
      </c>
      <c r="D950" s="6">
        <v>2018</v>
      </c>
      <c r="E950" s="8">
        <v>26888</v>
      </c>
      <c r="F950" s="8">
        <v>31000</v>
      </c>
      <c r="G950" s="8">
        <f t="shared" si="56"/>
        <v>4112</v>
      </c>
      <c r="H950" s="6">
        <v>15000</v>
      </c>
      <c r="I950" t="s">
        <v>41</v>
      </c>
      <c r="J950" t="s">
        <v>35</v>
      </c>
      <c r="K950" t="s">
        <v>36</v>
      </c>
      <c r="L950" t="s">
        <v>73</v>
      </c>
      <c r="M950" t="s">
        <v>98</v>
      </c>
      <c r="N950" s="6">
        <v>3</v>
      </c>
      <c r="O950" t="str">
        <f t="shared" si="57"/>
        <v>Normal</v>
      </c>
      <c r="P950" t="str">
        <f t="shared" si="58"/>
        <v>Duplicate ID</v>
      </c>
      <c r="Q950" t="str">
        <f t="shared" si="59"/>
        <v>25,000-30,000</v>
      </c>
      <c r="R950" s="6">
        <f>IF(COUNTIF($A$2:A950,A950)=1,1,0)</f>
        <v>0</v>
      </c>
    </row>
    <row r="951" spans="1:18" x14ac:dyDescent="0.25">
      <c r="A951" s="6">
        <v>1565</v>
      </c>
      <c r="B951" s="7">
        <v>44831</v>
      </c>
      <c r="C951" t="s">
        <v>51</v>
      </c>
      <c r="D951" s="6">
        <v>2017</v>
      </c>
      <c r="E951" s="8">
        <v>27356</v>
      </c>
      <c r="F951" s="8">
        <v>31000</v>
      </c>
      <c r="G951" s="8">
        <f t="shared" si="56"/>
        <v>3644</v>
      </c>
      <c r="H951" s="6">
        <v>15000</v>
      </c>
      <c r="I951" t="s">
        <v>34</v>
      </c>
      <c r="J951" t="s">
        <v>35</v>
      </c>
      <c r="K951" t="s">
        <v>36</v>
      </c>
      <c r="L951" t="s">
        <v>100</v>
      </c>
      <c r="M951" t="s">
        <v>126</v>
      </c>
      <c r="N951" s="6" t="s">
        <v>1647</v>
      </c>
      <c r="O951" t="str">
        <f t="shared" si="57"/>
        <v>Normal</v>
      </c>
      <c r="P951" t="str">
        <f t="shared" si="58"/>
        <v>Duplicate ID</v>
      </c>
      <c r="Q951" t="str">
        <f t="shared" si="59"/>
        <v>25,000-30,000</v>
      </c>
      <c r="R951" s="6">
        <f>IF(COUNTIF($A$2:A951,A951)=1,1,0)</f>
        <v>0</v>
      </c>
    </row>
    <row r="952" spans="1:18" x14ac:dyDescent="0.25">
      <c r="A952" s="6">
        <v>1397</v>
      </c>
      <c r="B952" s="7">
        <v>45354</v>
      </c>
      <c r="C952" t="s">
        <v>1648</v>
      </c>
      <c r="D952" s="6">
        <v>2015</v>
      </c>
      <c r="E952" s="8">
        <v>8750</v>
      </c>
      <c r="F952" s="8">
        <v>12000</v>
      </c>
      <c r="G952" s="8">
        <f t="shared" si="56"/>
        <v>3250</v>
      </c>
      <c r="H952" s="6">
        <v>60000</v>
      </c>
      <c r="I952" t="s">
        <v>69</v>
      </c>
      <c r="J952" t="s">
        <v>1647</v>
      </c>
      <c r="K952" t="s">
        <v>36</v>
      </c>
      <c r="L952" t="s">
        <v>1647</v>
      </c>
      <c r="M952" t="s">
        <v>98</v>
      </c>
      <c r="N952" s="6">
        <v>1</v>
      </c>
      <c r="O952" t="str">
        <f t="shared" si="57"/>
        <v>Normal</v>
      </c>
      <c r="P952" t="str">
        <f t="shared" si="58"/>
        <v>Duplicate ID</v>
      </c>
      <c r="Q952" t="str">
        <f t="shared" si="59"/>
        <v>5,000-9,999</v>
      </c>
      <c r="R952" s="6">
        <f>IF(COUNTIF($A$2:A952,A952)=1,1,0)</f>
        <v>0</v>
      </c>
    </row>
    <row r="953" spans="1:18" x14ac:dyDescent="0.25">
      <c r="A953" s="6">
        <v>1436</v>
      </c>
      <c r="B953" s="7">
        <v>44875</v>
      </c>
      <c r="C953" t="s">
        <v>1648</v>
      </c>
      <c r="D953" s="6">
        <v>2018</v>
      </c>
      <c r="E953" s="8">
        <v>8622</v>
      </c>
      <c r="F953" s="8">
        <v>12000</v>
      </c>
      <c r="G953" s="8">
        <f t="shared" si="56"/>
        <v>3378</v>
      </c>
      <c r="H953" s="6">
        <v>15000</v>
      </c>
      <c r="I953" t="s">
        <v>58</v>
      </c>
      <c r="J953" t="s">
        <v>72</v>
      </c>
      <c r="K953" t="s">
        <v>96</v>
      </c>
      <c r="L953" t="s">
        <v>100</v>
      </c>
      <c r="M953" t="s">
        <v>126</v>
      </c>
      <c r="N953" s="6">
        <v>3</v>
      </c>
      <c r="O953" t="str">
        <f t="shared" si="57"/>
        <v>Normal</v>
      </c>
      <c r="P953" t="str">
        <f t="shared" si="58"/>
        <v>Duplicate ID</v>
      </c>
      <c r="Q953" t="str">
        <f t="shared" si="59"/>
        <v>5,000-9,999</v>
      </c>
      <c r="R953" s="6">
        <f>IF(COUNTIF($A$2:A953,A953)=1,1,0)</f>
        <v>1</v>
      </c>
    </row>
    <row r="954" spans="1:18" x14ac:dyDescent="0.25">
      <c r="A954" s="6">
        <v>1348</v>
      </c>
      <c r="B954" s="7">
        <v>44654</v>
      </c>
      <c r="C954" t="s">
        <v>57</v>
      </c>
      <c r="D954" s="6">
        <v>2020</v>
      </c>
      <c r="E954" s="8">
        <v>4504</v>
      </c>
      <c r="F954" s="8">
        <v>7000</v>
      </c>
      <c r="G954" s="8">
        <f t="shared" si="56"/>
        <v>2496</v>
      </c>
      <c r="H954" s="6">
        <v>40000</v>
      </c>
      <c r="I954" t="s">
        <v>1647</v>
      </c>
      <c r="J954" t="s">
        <v>35</v>
      </c>
      <c r="K954" t="s">
        <v>36</v>
      </c>
      <c r="L954" t="s">
        <v>100</v>
      </c>
      <c r="M954" t="s">
        <v>90</v>
      </c>
      <c r="N954" s="6">
        <v>1</v>
      </c>
      <c r="O954" t="str">
        <f t="shared" si="57"/>
        <v>Normal</v>
      </c>
      <c r="P954" t="str">
        <f t="shared" si="58"/>
        <v>Duplicate ID</v>
      </c>
      <c r="Q954" t="str">
        <f t="shared" si="59"/>
        <v>0-4,999</v>
      </c>
      <c r="R954" s="6">
        <f>IF(COUNTIF($A$2:A954,A954)=1,1,0)</f>
        <v>0</v>
      </c>
    </row>
    <row r="955" spans="1:18" x14ac:dyDescent="0.25">
      <c r="A955" s="6">
        <v>1021</v>
      </c>
      <c r="B955" s="7">
        <v>45077</v>
      </c>
      <c r="C955" t="s">
        <v>40</v>
      </c>
      <c r="D955" s="6">
        <v>2021</v>
      </c>
      <c r="E955" s="8">
        <v>24275</v>
      </c>
      <c r="F955" s="8">
        <v>31000</v>
      </c>
      <c r="G955" s="8">
        <f t="shared" si="56"/>
        <v>6725</v>
      </c>
      <c r="H955" s="6">
        <v>40000</v>
      </c>
      <c r="I955" t="s">
        <v>41</v>
      </c>
      <c r="J955" t="s">
        <v>72</v>
      </c>
      <c r="K955" t="s">
        <v>96</v>
      </c>
      <c r="L955" t="s">
        <v>73</v>
      </c>
      <c r="M955" t="s">
        <v>45</v>
      </c>
      <c r="N955" s="6">
        <v>3</v>
      </c>
      <c r="O955" t="str">
        <f t="shared" si="57"/>
        <v>Normal</v>
      </c>
      <c r="P955" t="str">
        <f t="shared" si="58"/>
        <v>Duplicate ID</v>
      </c>
      <c r="Q955" t="str">
        <f t="shared" si="59"/>
        <v>20,000-24,999</v>
      </c>
      <c r="R955" s="6">
        <f>IF(COUNTIF($A$2:A955,A955)=1,1,0)</f>
        <v>0</v>
      </c>
    </row>
    <row r="956" spans="1:18" x14ac:dyDescent="0.25">
      <c r="A956" s="6">
        <v>1486</v>
      </c>
      <c r="B956" s="7">
        <v>44929</v>
      </c>
      <c r="C956" t="s">
        <v>1648</v>
      </c>
      <c r="D956" s="6">
        <v>2015</v>
      </c>
      <c r="E956" s="8">
        <v>5848</v>
      </c>
      <c r="F956" s="8">
        <v>9000</v>
      </c>
      <c r="G956" s="8">
        <f t="shared" si="56"/>
        <v>3152</v>
      </c>
      <c r="H956" s="6">
        <v>15000</v>
      </c>
      <c r="I956" t="s">
        <v>58</v>
      </c>
      <c r="J956" t="s">
        <v>35</v>
      </c>
      <c r="K956" t="s">
        <v>36</v>
      </c>
      <c r="L956" t="s">
        <v>100</v>
      </c>
      <c r="M956" t="s">
        <v>126</v>
      </c>
      <c r="N956" s="6" t="s">
        <v>1647</v>
      </c>
      <c r="O956" t="str">
        <f t="shared" si="57"/>
        <v>Normal</v>
      </c>
      <c r="P956" t="str">
        <f t="shared" si="58"/>
        <v>Duplicate ID</v>
      </c>
      <c r="Q956" t="str">
        <f t="shared" si="59"/>
        <v>5,000-9,999</v>
      </c>
      <c r="R956" s="6">
        <f>IF(COUNTIF($A$2:A956,A956)=1,1,0)</f>
        <v>1</v>
      </c>
    </row>
    <row r="957" spans="1:18" x14ac:dyDescent="0.25">
      <c r="A957" s="6">
        <v>1382</v>
      </c>
      <c r="B957" s="7">
        <v>45315</v>
      </c>
      <c r="C957" t="s">
        <v>57</v>
      </c>
      <c r="D957" s="6">
        <v>2018</v>
      </c>
      <c r="E957" s="8">
        <v>8595</v>
      </c>
      <c r="F957" s="8">
        <v>15000</v>
      </c>
      <c r="G957" s="8">
        <f t="shared" si="56"/>
        <v>6405</v>
      </c>
      <c r="H957" s="6">
        <v>60000</v>
      </c>
      <c r="I957" t="s">
        <v>58</v>
      </c>
      <c r="J957" t="s">
        <v>1647</v>
      </c>
      <c r="K957" t="s">
        <v>96</v>
      </c>
      <c r="L957" t="s">
        <v>73</v>
      </c>
      <c r="M957" t="s">
        <v>1647</v>
      </c>
      <c r="N957" s="6">
        <v>0</v>
      </c>
      <c r="O957" t="str">
        <f t="shared" si="57"/>
        <v>Normal</v>
      </c>
      <c r="P957" t="str">
        <f t="shared" si="58"/>
        <v>Duplicate ID</v>
      </c>
      <c r="Q957" t="str">
        <f t="shared" si="59"/>
        <v>5,000-9,999</v>
      </c>
      <c r="R957" s="6">
        <f>IF(COUNTIF($A$2:A957,A957)=1,1,0)</f>
        <v>0</v>
      </c>
    </row>
    <row r="958" spans="1:18" x14ac:dyDescent="0.25">
      <c r="A958" s="6">
        <v>1011</v>
      </c>
      <c r="B958" s="7">
        <v>44997</v>
      </c>
      <c r="C958" t="s">
        <v>119</v>
      </c>
      <c r="D958" s="6">
        <v>2017</v>
      </c>
      <c r="E958" s="8">
        <v>9909</v>
      </c>
      <c r="F958" s="8">
        <v>12000</v>
      </c>
      <c r="G958" s="8">
        <f t="shared" si="56"/>
        <v>2091</v>
      </c>
      <c r="H958" s="6">
        <v>40000</v>
      </c>
      <c r="I958" t="s">
        <v>69</v>
      </c>
      <c r="J958" t="s">
        <v>1647</v>
      </c>
      <c r="K958" t="s">
        <v>1647</v>
      </c>
      <c r="L958" t="s">
        <v>73</v>
      </c>
      <c r="M958" t="s">
        <v>45</v>
      </c>
      <c r="N958" s="6">
        <v>1</v>
      </c>
      <c r="O958" t="str">
        <f t="shared" si="57"/>
        <v>Normal</v>
      </c>
      <c r="P958" t="str">
        <f t="shared" si="58"/>
        <v>Duplicate ID</v>
      </c>
      <c r="Q958" t="str">
        <f t="shared" si="59"/>
        <v>5,000-9,999</v>
      </c>
      <c r="R958" s="6">
        <f>IF(COUNTIF($A$2:A958,A958)=1,1,0)</f>
        <v>1</v>
      </c>
    </row>
    <row r="959" spans="1:18" x14ac:dyDescent="0.25">
      <c r="A959" s="6">
        <v>1489</v>
      </c>
      <c r="B959" s="7">
        <v>45169</v>
      </c>
      <c r="C959" t="s">
        <v>51</v>
      </c>
      <c r="D959" s="6">
        <v>2017</v>
      </c>
      <c r="E959" s="8">
        <v>28455</v>
      </c>
      <c r="F959" s="8">
        <v>31000</v>
      </c>
      <c r="G959" s="8">
        <f t="shared" si="56"/>
        <v>2545</v>
      </c>
      <c r="H959" s="6">
        <v>25000</v>
      </c>
      <c r="I959" t="s">
        <v>41</v>
      </c>
      <c r="J959" t="s">
        <v>35</v>
      </c>
      <c r="K959" t="s">
        <v>36</v>
      </c>
      <c r="L959" t="s">
        <v>1647</v>
      </c>
      <c r="M959" t="s">
        <v>90</v>
      </c>
      <c r="N959" s="6">
        <v>0</v>
      </c>
      <c r="O959" t="str">
        <f t="shared" si="57"/>
        <v>Normal</v>
      </c>
      <c r="P959" t="str">
        <f t="shared" si="58"/>
        <v>Duplicate ID</v>
      </c>
      <c r="Q959" t="str">
        <f t="shared" si="59"/>
        <v>25,000-30,000</v>
      </c>
      <c r="R959" s="6">
        <f>IF(COUNTIF($A$2:A959,A959)=1,1,0)</f>
        <v>1</v>
      </c>
    </row>
    <row r="960" spans="1:18" x14ac:dyDescent="0.25">
      <c r="A960" s="6">
        <v>1423</v>
      </c>
      <c r="B960" s="7">
        <v>44702</v>
      </c>
      <c r="C960" t="s">
        <v>1648</v>
      </c>
      <c r="D960" s="6">
        <v>2022</v>
      </c>
      <c r="E960" s="8">
        <v>6651</v>
      </c>
      <c r="F960" s="8">
        <v>9000</v>
      </c>
      <c r="G960" s="8">
        <f t="shared" si="56"/>
        <v>2349</v>
      </c>
      <c r="H960" s="6">
        <v>80000</v>
      </c>
      <c r="I960" t="s">
        <v>69</v>
      </c>
      <c r="J960" t="s">
        <v>72</v>
      </c>
      <c r="K960" t="s">
        <v>36</v>
      </c>
      <c r="L960" t="s">
        <v>48</v>
      </c>
      <c r="M960" t="s">
        <v>126</v>
      </c>
      <c r="N960" s="6">
        <v>2</v>
      </c>
      <c r="O960" t="str">
        <f t="shared" si="57"/>
        <v>Normal</v>
      </c>
      <c r="P960" t="str">
        <f t="shared" si="58"/>
        <v>Duplicate ID</v>
      </c>
      <c r="Q960" t="str">
        <f t="shared" si="59"/>
        <v>5,000-9,999</v>
      </c>
      <c r="R960" s="6">
        <f>IF(COUNTIF($A$2:A960,A960)=1,1,0)</f>
        <v>0</v>
      </c>
    </row>
    <row r="961" spans="1:18" x14ac:dyDescent="0.25">
      <c r="A961" s="6">
        <v>1400</v>
      </c>
      <c r="B961" s="7">
        <v>44962</v>
      </c>
      <c r="C961" t="s">
        <v>79</v>
      </c>
      <c r="D961" s="6">
        <v>2014</v>
      </c>
      <c r="E961" s="8">
        <v>8049</v>
      </c>
      <c r="F961" s="8">
        <v>15000</v>
      </c>
      <c r="G961" s="8">
        <f t="shared" si="56"/>
        <v>6951</v>
      </c>
      <c r="H961" s="6">
        <v>120000</v>
      </c>
      <c r="I961" t="s">
        <v>58</v>
      </c>
      <c r="J961" t="s">
        <v>72</v>
      </c>
      <c r="K961" t="s">
        <v>1647</v>
      </c>
      <c r="L961" t="s">
        <v>1647</v>
      </c>
      <c r="M961" t="s">
        <v>98</v>
      </c>
      <c r="N961" s="6">
        <v>1</v>
      </c>
      <c r="O961" t="str">
        <f t="shared" si="57"/>
        <v>Normal</v>
      </c>
      <c r="P961" t="str">
        <f t="shared" si="58"/>
        <v>Duplicate ID</v>
      </c>
      <c r="Q961" t="str">
        <f t="shared" si="59"/>
        <v>5,000-9,999</v>
      </c>
      <c r="R961" s="6">
        <f>IF(COUNTIF($A$2:A961,A961)=1,1,0)</f>
        <v>0</v>
      </c>
    </row>
    <row r="962" spans="1:18" x14ac:dyDescent="0.25">
      <c r="A962" s="6">
        <v>1031</v>
      </c>
      <c r="B962" s="7">
        <v>45083</v>
      </c>
      <c r="C962" t="s">
        <v>119</v>
      </c>
      <c r="D962" s="6"/>
      <c r="E962" s="8">
        <v>16386</v>
      </c>
      <c r="F962" s="8">
        <v>18000</v>
      </c>
      <c r="G962" s="8">
        <f t="shared" ref="G962:G1025" si="60">IF(OR(F962="",E962=""),"",F962-E962)</f>
        <v>1614</v>
      </c>
      <c r="H962" s="6">
        <v>60000</v>
      </c>
      <c r="I962" t="s">
        <v>58</v>
      </c>
      <c r="J962" t="s">
        <v>35</v>
      </c>
      <c r="K962" t="s">
        <v>96</v>
      </c>
      <c r="L962" t="s">
        <v>54</v>
      </c>
      <c r="M962" t="s">
        <v>98</v>
      </c>
      <c r="N962" s="6">
        <v>2</v>
      </c>
      <c r="O962" t="str">
        <f t="shared" ref="O962:O1025" si="61">IF(E962&lt;1000,"Outlier","Normal")</f>
        <v>Normal</v>
      </c>
      <c r="P962" t="str">
        <f t="shared" ref="P962:P1025" si="62">IF(COUNTIF($A$2:$A$2501,A962)&gt;1,"Duplicate ID","Unique ID")</f>
        <v>Duplicate ID</v>
      </c>
      <c r="Q962" t="str">
        <f t="shared" ref="Q962:Q1025" si="63">IF(E962&lt;5000,"0-4,999",IF(E962&lt;10000,"5,000-9,999",IF(E962&lt;15000,"10,000-14,999",IF(E962&lt;20000,"15,000-19,999",IF(E962&lt;25000,"20,000-24,999","25,000-30,000")))))</f>
        <v>15,000-19,999</v>
      </c>
      <c r="R962" s="6">
        <f>IF(COUNTIF($A$2:A962,A962)=1,1,0)</f>
        <v>0</v>
      </c>
    </row>
    <row r="963" spans="1:18" x14ac:dyDescent="0.25">
      <c r="A963" s="6">
        <v>1315</v>
      </c>
      <c r="B963" s="7">
        <v>44866</v>
      </c>
      <c r="C963" t="s">
        <v>1648</v>
      </c>
      <c r="D963" s="6">
        <v>2018</v>
      </c>
      <c r="E963" s="8">
        <v>16615</v>
      </c>
      <c r="F963" s="8">
        <v>22000</v>
      </c>
      <c r="G963" s="8">
        <f t="shared" si="60"/>
        <v>5385</v>
      </c>
      <c r="H963" s="6">
        <v>40000</v>
      </c>
      <c r="I963" t="s">
        <v>58</v>
      </c>
      <c r="J963" t="s">
        <v>72</v>
      </c>
      <c r="K963" t="s">
        <v>96</v>
      </c>
      <c r="L963" t="s">
        <v>73</v>
      </c>
      <c r="M963" t="s">
        <v>98</v>
      </c>
      <c r="N963" s="6">
        <v>2</v>
      </c>
      <c r="O963" t="str">
        <f t="shared" si="61"/>
        <v>Normal</v>
      </c>
      <c r="P963" t="str">
        <f t="shared" si="62"/>
        <v>Duplicate ID</v>
      </c>
      <c r="Q963" t="str">
        <f t="shared" si="63"/>
        <v>15,000-19,999</v>
      </c>
      <c r="R963" s="6">
        <f>IF(COUNTIF($A$2:A963,A963)=1,1,0)</f>
        <v>0</v>
      </c>
    </row>
    <row r="964" spans="1:18" x14ac:dyDescent="0.25">
      <c r="A964" s="6">
        <v>1233</v>
      </c>
      <c r="B964" s="7">
        <v>45248</v>
      </c>
      <c r="C964" t="s">
        <v>40</v>
      </c>
      <c r="D964" s="6">
        <v>2018</v>
      </c>
      <c r="E964" s="8">
        <v>14633</v>
      </c>
      <c r="F964" s="8">
        <v>18000</v>
      </c>
      <c r="G964" s="8">
        <f t="shared" si="60"/>
        <v>3367</v>
      </c>
      <c r="H964" s="6">
        <v>40000</v>
      </c>
      <c r="I964" t="s">
        <v>58</v>
      </c>
      <c r="J964" t="s">
        <v>72</v>
      </c>
      <c r="K964" t="s">
        <v>96</v>
      </c>
      <c r="L964" t="s">
        <v>100</v>
      </c>
      <c r="M964" t="s">
        <v>45</v>
      </c>
      <c r="N964" s="6" t="s">
        <v>1647</v>
      </c>
      <c r="O964" t="str">
        <f t="shared" si="61"/>
        <v>Normal</v>
      </c>
      <c r="P964" t="str">
        <f t="shared" si="62"/>
        <v>Duplicate ID</v>
      </c>
      <c r="Q964" t="str">
        <f t="shared" si="63"/>
        <v>10,000-14,999</v>
      </c>
      <c r="R964" s="6">
        <f>IF(COUNTIF($A$2:A964,A964)=1,1,0)</f>
        <v>1</v>
      </c>
    </row>
    <row r="965" spans="1:18" x14ac:dyDescent="0.25">
      <c r="A965" s="6">
        <v>1142</v>
      </c>
      <c r="B965" s="7">
        <v>44582</v>
      </c>
      <c r="C965" t="s">
        <v>1648</v>
      </c>
      <c r="D965" s="6">
        <v>2018</v>
      </c>
      <c r="E965" s="8">
        <v>13528</v>
      </c>
      <c r="F965" s="8">
        <v>18000</v>
      </c>
      <c r="G965" s="8">
        <f t="shared" si="60"/>
        <v>4472</v>
      </c>
      <c r="H965" s="6">
        <v>80000</v>
      </c>
      <c r="I965" t="s">
        <v>69</v>
      </c>
      <c r="J965" t="s">
        <v>1647</v>
      </c>
      <c r="K965" t="s">
        <v>1647</v>
      </c>
      <c r="L965" t="s">
        <v>54</v>
      </c>
      <c r="M965" t="s">
        <v>90</v>
      </c>
      <c r="N965" s="6">
        <v>3</v>
      </c>
      <c r="O965" t="str">
        <f t="shared" si="61"/>
        <v>Normal</v>
      </c>
      <c r="P965" t="str">
        <f t="shared" si="62"/>
        <v>Duplicate ID</v>
      </c>
      <c r="Q965" t="str">
        <f t="shared" si="63"/>
        <v>10,000-14,999</v>
      </c>
      <c r="R965" s="6">
        <f>IF(COUNTIF($A$2:A965,A965)=1,1,0)</f>
        <v>0</v>
      </c>
    </row>
    <row r="966" spans="1:18" x14ac:dyDescent="0.25">
      <c r="A966" s="6">
        <v>1345</v>
      </c>
      <c r="B966" s="7">
        <v>44618</v>
      </c>
      <c r="C966" t="s">
        <v>57</v>
      </c>
      <c r="D966" s="6">
        <v>2015</v>
      </c>
      <c r="E966" s="8">
        <v>14977</v>
      </c>
      <c r="F966" s="8">
        <v>18000</v>
      </c>
      <c r="G966" s="8">
        <f t="shared" si="60"/>
        <v>3023</v>
      </c>
      <c r="H966" s="6">
        <v>120000</v>
      </c>
      <c r="I966" t="s">
        <v>58</v>
      </c>
      <c r="J966" t="s">
        <v>72</v>
      </c>
      <c r="K966" t="s">
        <v>96</v>
      </c>
      <c r="L966" t="s">
        <v>54</v>
      </c>
      <c r="M966" t="s">
        <v>98</v>
      </c>
      <c r="N966" s="6" t="s">
        <v>1647</v>
      </c>
      <c r="O966" t="str">
        <f t="shared" si="61"/>
        <v>Normal</v>
      </c>
      <c r="P966" t="str">
        <f t="shared" si="62"/>
        <v>Duplicate ID</v>
      </c>
      <c r="Q966" t="str">
        <f t="shared" si="63"/>
        <v>10,000-14,999</v>
      </c>
      <c r="R966" s="6">
        <f>IF(COUNTIF($A$2:A966,A966)=1,1,0)</f>
        <v>0</v>
      </c>
    </row>
    <row r="967" spans="1:18" x14ac:dyDescent="0.25">
      <c r="A967" s="6">
        <v>1127</v>
      </c>
      <c r="B967" s="7">
        <v>44714</v>
      </c>
      <c r="C967" t="s">
        <v>51</v>
      </c>
      <c r="D967" s="6">
        <v>2016</v>
      </c>
      <c r="E967" s="8">
        <v>16410</v>
      </c>
      <c r="F967" s="8">
        <v>18000</v>
      </c>
      <c r="G967" s="8">
        <f t="shared" si="60"/>
        <v>1590</v>
      </c>
      <c r="H967" s="6">
        <v>80000</v>
      </c>
      <c r="I967" t="s">
        <v>41</v>
      </c>
      <c r="J967" t="s">
        <v>35</v>
      </c>
      <c r="K967" t="s">
        <v>36</v>
      </c>
      <c r="L967" t="s">
        <v>54</v>
      </c>
      <c r="M967" t="s">
        <v>98</v>
      </c>
      <c r="N967" s="6">
        <v>3</v>
      </c>
      <c r="O967" t="str">
        <f t="shared" si="61"/>
        <v>Normal</v>
      </c>
      <c r="P967" t="str">
        <f t="shared" si="62"/>
        <v>Duplicate ID</v>
      </c>
      <c r="Q967" t="str">
        <f t="shared" si="63"/>
        <v>15,000-19,999</v>
      </c>
      <c r="R967" s="6">
        <f>IF(COUNTIF($A$2:A967,A967)=1,1,0)</f>
        <v>0</v>
      </c>
    </row>
    <row r="968" spans="1:18" x14ac:dyDescent="0.25">
      <c r="A968" s="6">
        <v>1437</v>
      </c>
      <c r="B968" s="7">
        <v>44301</v>
      </c>
      <c r="C968" t="s">
        <v>119</v>
      </c>
      <c r="D968" s="6">
        <v>2022</v>
      </c>
      <c r="E968" s="8">
        <v>22824</v>
      </c>
      <c r="F968" s="8">
        <v>26000</v>
      </c>
      <c r="G968" s="8">
        <f t="shared" si="60"/>
        <v>3176</v>
      </c>
      <c r="H968" s="6">
        <v>25000</v>
      </c>
      <c r="I968" t="s">
        <v>34</v>
      </c>
      <c r="J968" t="s">
        <v>72</v>
      </c>
      <c r="K968" t="s">
        <v>96</v>
      </c>
      <c r="L968" t="s">
        <v>73</v>
      </c>
      <c r="M968" t="s">
        <v>90</v>
      </c>
      <c r="N968" s="6">
        <v>1</v>
      </c>
      <c r="O968" t="str">
        <f t="shared" si="61"/>
        <v>Normal</v>
      </c>
      <c r="P968" t="str">
        <f t="shared" si="62"/>
        <v>Duplicate ID</v>
      </c>
      <c r="Q968" t="str">
        <f t="shared" si="63"/>
        <v>20,000-24,999</v>
      </c>
      <c r="R968" s="6">
        <f>IF(COUNTIF($A$2:A968,A968)=1,1,0)</f>
        <v>0</v>
      </c>
    </row>
    <row r="969" spans="1:18" x14ac:dyDescent="0.25">
      <c r="A969" s="6">
        <v>1110</v>
      </c>
      <c r="B969" s="7">
        <v>44765</v>
      </c>
      <c r="C969" t="s">
        <v>32</v>
      </c>
      <c r="D969" s="6">
        <v>2019</v>
      </c>
      <c r="E969" s="8">
        <v>5425</v>
      </c>
      <c r="F969" s="8">
        <v>7000</v>
      </c>
      <c r="G969" s="8">
        <f t="shared" si="60"/>
        <v>1575</v>
      </c>
      <c r="H969" s="6">
        <v>15000</v>
      </c>
      <c r="I969" t="s">
        <v>34</v>
      </c>
      <c r="J969" t="s">
        <v>35</v>
      </c>
      <c r="K969" t="s">
        <v>36</v>
      </c>
      <c r="L969" t="s">
        <v>73</v>
      </c>
      <c r="M969" t="s">
        <v>126</v>
      </c>
      <c r="N969" s="6">
        <v>0</v>
      </c>
      <c r="O969" t="str">
        <f t="shared" si="61"/>
        <v>Normal</v>
      </c>
      <c r="P969" t="str">
        <f t="shared" si="62"/>
        <v>Duplicate ID</v>
      </c>
      <c r="Q969" t="str">
        <f t="shared" si="63"/>
        <v>5,000-9,999</v>
      </c>
      <c r="R969" s="6">
        <f>IF(COUNTIF($A$2:A969,A969)=1,1,0)</f>
        <v>1</v>
      </c>
    </row>
    <row r="970" spans="1:18" x14ac:dyDescent="0.25">
      <c r="A970" s="6">
        <v>1236</v>
      </c>
      <c r="B970" s="7">
        <v>44689</v>
      </c>
      <c r="C970" t="s">
        <v>51</v>
      </c>
      <c r="D970" s="6"/>
      <c r="E970" s="8">
        <v>13480</v>
      </c>
      <c r="F970" s="8">
        <v>18000</v>
      </c>
      <c r="G970" s="8">
        <f t="shared" si="60"/>
        <v>4520</v>
      </c>
      <c r="H970" s="6">
        <v>40000</v>
      </c>
      <c r="I970" t="s">
        <v>69</v>
      </c>
      <c r="J970" t="s">
        <v>35</v>
      </c>
      <c r="K970" t="s">
        <v>36</v>
      </c>
      <c r="L970" t="s">
        <v>73</v>
      </c>
      <c r="M970" t="s">
        <v>1647</v>
      </c>
      <c r="N970" s="6" t="s">
        <v>1647</v>
      </c>
      <c r="O970" t="str">
        <f t="shared" si="61"/>
        <v>Normal</v>
      </c>
      <c r="P970" t="str">
        <f t="shared" si="62"/>
        <v>Duplicate ID</v>
      </c>
      <c r="Q970" t="str">
        <f t="shared" si="63"/>
        <v>10,000-14,999</v>
      </c>
      <c r="R970" s="6">
        <f>IF(COUNTIF($A$2:A970,A970)=1,1,0)</f>
        <v>0</v>
      </c>
    </row>
    <row r="971" spans="1:18" x14ac:dyDescent="0.25">
      <c r="A971" s="6">
        <v>1017</v>
      </c>
      <c r="B971" s="7">
        <v>45306</v>
      </c>
      <c r="C971" t="s">
        <v>51</v>
      </c>
      <c r="D971" s="6">
        <v>2017</v>
      </c>
      <c r="E971" s="8">
        <v>9336</v>
      </c>
      <c r="F971" s="8">
        <v>12000</v>
      </c>
      <c r="G971" s="8">
        <f t="shared" si="60"/>
        <v>2664</v>
      </c>
      <c r="H971" s="6">
        <v>60000</v>
      </c>
      <c r="I971" t="s">
        <v>69</v>
      </c>
      <c r="J971" t="s">
        <v>72</v>
      </c>
      <c r="K971" t="s">
        <v>36</v>
      </c>
      <c r="L971" t="s">
        <v>73</v>
      </c>
      <c r="M971" t="s">
        <v>90</v>
      </c>
      <c r="N971" s="6">
        <v>3</v>
      </c>
      <c r="O971" t="str">
        <f t="shared" si="61"/>
        <v>Normal</v>
      </c>
      <c r="P971" t="str">
        <f t="shared" si="62"/>
        <v>Duplicate ID</v>
      </c>
      <c r="Q971" t="str">
        <f t="shared" si="63"/>
        <v>5,000-9,999</v>
      </c>
      <c r="R971" s="6">
        <f>IF(COUNTIF($A$2:A971,A971)=1,1,0)</f>
        <v>0</v>
      </c>
    </row>
    <row r="972" spans="1:18" x14ac:dyDescent="0.25">
      <c r="A972" s="6">
        <v>1225</v>
      </c>
      <c r="B972" s="7">
        <v>44552</v>
      </c>
      <c r="C972" t="s">
        <v>119</v>
      </c>
      <c r="D972" s="6">
        <v>2017</v>
      </c>
      <c r="E972" s="8">
        <v>28644</v>
      </c>
      <c r="F972" s="8">
        <v>31000</v>
      </c>
      <c r="G972" s="8">
        <f t="shared" si="60"/>
        <v>2356</v>
      </c>
      <c r="H972" s="6">
        <v>80000</v>
      </c>
      <c r="I972" t="s">
        <v>34</v>
      </c>
      <c r="J972" t="s">
        <v>1647</v>
      </c>
      <c r="K972" t="s">
        <v>1647</v>
      </c>
      <c r="L972" t="s">
        <v>48</v>
      </c>
      <c r="M972" t="s">
        <v>98</v>
      </c>
      <c r="N972" s="6">
        <v>1</v>
      </c>
      <c r="O972" t="str">
        <f t="shared" si="61"/>
        <v>Normal</v>
      </c>
      <c r="P972" t="str">
        <f t="shared" si="62"/>
        <v>Duplicate ID</v>
      </c>
      <c r="Q972" t="str">
        <f t="shared" si="63"/>
        <v>25,000-30,000</v>
      </c>
      <c r="R972" s="6">
        <f>IF(COUNTIF($A$2:A972,A972)=1,1,0)</f>
        <v>0</v>
      </c>
    </row>
    <row r="973" spans="1:18" x14ac:dyDescent="0.25">
      <c r="A973" s="6">
        <v>1453</v>
      </c>
      <c r="B973" s="7">
        <v>45106</v>
      </c>
      <c r="C973" t="s">
        <v>119</v>
      </c>
      <c r="D973" s="6">
        <v>2015</v>
      </c>
      <c r="E973" s="8">
        <v>2164</v>
      </c>
      <c r="F973" s="8">
        <v>9000</v>
      </c>
      <c r="G973" s="8">
        <f t="shared" si="60"/>
        <v>6836</v>
      </c>
      <c r="H973" s="6">
        <v>60000</v>
      </c>
      <c r="I973" t="s">
        <v>34</v>
      </c>
      <c r="J973" t="s">
        <v>35</v>
      </c>
      <c r="K973" t="s">
        <v>1647</v>
      </c>
      <c r="L973" t="s">
        <v>54</v>
      </c>
      <c r="M973" t="s">
        <v>90</v>
      </c>
      <c r="N973" s="6">
        <v>3</v>
      </c>
      <c r="O973" t="str">
        <f t="shared" si="61"/>
        <v>Normal</v>
      </c>
      <c r="P973" t="str">
        <f t="shared" si="62"/>
        <v>Duplicate ID</v>
      </c>
      <c r="Q973" t="str">
        <f t="shared" si="63"/>
        <v>0-4,999</v>
      </c>
      <c r="R973" s="6">
        <f>IF(COUNTIF($A$2:A973,A973)=1,1,0)</f>
        <v>0</v>
      </c>
    </row>
    <row r="974" spans="1:18" x14ac:dyDescent="0.25">
      <c r="A974" s="6">
        <v>1519</v>
      </c>
      <c r="B974" s="7">
        <v>45219</v>
      </c>
      <c r="C974" t="s">
        <v>1648</v>
      </c>
      <c r="D974" s="6">
        <v>2022</v>
      </c>
      <c r="E974" s="8">
        <v>20831</v>
      </c>
      <c r="F974" s="8">
        <v>22000</v>
      </c>
      <c r="G974" s="8">
        <f t="shared" si="60"/>
        <v>1169</v>
      </c>
      <c r="H974" s="6">
        <v>40000</v>
      </c>
      <c r="I974" t="s">
        <v>69</v>
      </c>
      <c r="J974" t="s">
        <v>35</v>
      </c>
      <c r="K974" t="s">
        <v>36</v>
      </c>
      <c r="L974" t="s">
        <v>48</v>
      </c>
      <c r="M974" t="s">
        <v>90</v>
      </c>
      <c r="N974" s="6">
        <v>3</v>
      </c>
      <c r="O974" t="str">
        <f t="shared" si="61"/>
        <v>Normal</v>
      </c>
      <c r="P974" t="str">
        <f t="shared" si="62"/>
        <v>Duplicate ID</v>
      </c>
      <c r="Q974" t="str">
        <f t="shared" si="63"/>
        <v>20,000-24,999</v>
      </c>
      <c r="R974" s="6">
        <f>IF(COUNTIF($A$2:A974,A974)=1,1,0)</f>
        <v>1</v>
      </c>
    </row>
    <row r="975" spans="1:18" x14ac:dyDescent="0.25">
      <c r="A975" s="6">
        <v>1254</v>
      </c>
      <c r="B975" s="7">
        <v>44758</v>
      </c>
      <c r="C975" t="s">
        <v>57</v>
      </c>
      <c r="D975" s="6">
        <v>2017</v>
      </c>
      <c r="E975" s="8">
        <v>17682</v>
      </c>
      <c r="F975" s="8">
        <v>22000</v>
      </c>
      <c r="G975" s="8">
        <f t="shared" si="60"/>
        <v>4318</v>
      </c>
      <c r="H975" s="6">
        <v>40000</v>
      </c>
      <c r="I975" t="s">
        <v>1647</v>
      </c>
      <c r="J975" t="s">
        <v>35</v>
      </c>
      <c r="K975" t="s">
        <v>1647</v>
      </c>
      <c r="L975" t="s">
        <v>100</v>
      </c>
      <c r="M975" t="s">
        <v>126</v>
      </c>
      <c r="N975" s="6">
        <v>3</v>
      </c>
      <c r="O975" t="str">
        <f t="shared" si="61"/>
        <v>Normal</v>
      </c>
      <c r="P975" t="str">
        <f t="shared" si="62"/>
        <v>Duplicate ID</v>
      </c>
      <c r="Q975" t="str">
        <f t="shared" si="63"/>
        <v>15,000-19,999</v>
      </c>
      <c r="R975" s="6">
        <f>IF(COUNTIF($A$2:A975,A975)=1,1,0)</f>
        <v>0</v>
      </c>
    </row>
    <row r="976" spans="1:18" x14ac:dyDescent="0.25">
      <c r="A976" s="6">
        <v>1502</v>
      </c>
      <c r="B976" s="7">
        <v>44238</v>
      </c>
      <c r="C976" t="s">
        <v>40</v>
      </c>
      <c r="D976" s="6">
        <v>2020</v>
      </c>
      <c r="E976" s="8">
        <v>17880</v>
      </c>
      <c r="F976" s="8">
        <v>22000</v>
      </c>
      <c r="G976" s="8">
        <f t="shared" si="60"/>
        <v>4120</v>
      </c>
      <c r="H976" s="6">
        <v>40000</v>
      </c>
      <c r="I976" t="s">
        <v>34</v>
      </c>
      <c r="J976" t="s">
        <v>72</v>
      </c>
      <c r="K976" t="s">
        <v>96</v>
      </c>
      <c r="L976" t="s">
        <v>100</v>
      </c>
      <c r="M976" t="s">
        <v>45</v>
      </c>
      <c r="N976" s="6">
        <v>2</v>
      </c>
      <c r="O976" t="str">
        <f t="shared" si="61"/>
        <v>Normal</v>
      </c>
      <c r="P976" t="str">
        <f t="shared" si="62"/>
        <v>Duplicate ID</v>
      </c>
      <c r="Q976" t="str">
        <f t="shared" si="63"/>
        <v>15,000-19,999</v>
      </c>
      <c r="R976" s="6">
        <f>IF(COUNTIF($A$2:A976,A976)=1,1,0)</f>
        <v>0</v>
      </c>
    </row>
    <row r="977" spans="1:18" x14ac:dyDescent="0.25">
      <c r="A977" s="6">
        <v>1529</v>
      </c>
      <c r="B977" s="7">
        <v>45396</v>
      </c>
      <c r="C977" t="s">
        <v>119</v>
      </c>
      <c r="D977" s="6">
        <v>2021</v>
      </c>
      <c r="E977" s="8">
        <v>9205</v>
      </c>
      <c r="F977" s="8">
        <v>12000</v>
      </c>
      <c r="G977" s="8">
        <f t="shared" si="60"/>
        <v>2795</v>
      </c>
      <c r="H977" s="6">
        <v>25000</v>
      </c>
      <c r="I977" t="s">
        <v>34</v>
      </c>
      <c r="J977" t="s">
        <v>72</v>
      </c>
      <c r="K977" t="s">
        <v>36</v>
      </c>
      <c r="L977" t="s">
        <v>100</v>
      </c>
      <c r="M977" t="s">
        <v>126</v>
      </c>
      <c r="N977" s="6">
        <v>1</v>
      </c>
      <c r="O977" t="str">
        <f t="shared" si="61"/>
        <v>Normal</v>
      </c>
      <c r="P977" t="str">
        <f t="shared" si="62"/>
        <v>Duplicate ID</v>
      </c>
      <c r="Q977" t="str">
        <f t="shared" si="63"/>
        <v>5,000-9,999</v>
      </c>
      <c r="R977" s="6">
        <f>IF(COUNTIF($A$2:A977,A977)=1,1,0)</f>
        <v>0</v>
      </c>
    </row>
    <row r="978" spans="1:18" x14ac:dyDescent="0.25">
      <c r="A978" s="6">
        <v>1261</v>
      </c>
      <c r="B978" s="7">
        <v>45272</v>
      </c>
      <c r="C978" t="s">
        <v>40</v>
      </c>
      <c r="D978" s="6"/>
      <c r="E978" s="8">
        <v>5351</v>
      </c>
      <c r="F978" s="8">
        <v>7000</v>
      </c>
      <c r="G978" s="8">
        <f t="shared" si="60"/>
        <v>1649</v>
      </c>
      <c r="H978" s="6">
        <v>40000</v>
      </c>
      <c r="I978" t="s">
        <v>69</v>
      </c>
      <c r="J978" t="s">
        <v>35</v>
      </c>
      <c r="K978" t="s">
        <v>36</v>
      </c>
      <c r="L978" t="s">
        <v>48</v>
      </c>
      <c r="M978" t="s">
        <v>45</v>
      </c>
      <c r="N978" s="6">
        <v>1</v>
      </c>
      <c r="O978" t="str">
        <f t="shared" si="61"/>
        <v>Normal</v>
      </c>
      <c r="P978" t="str">
        <f t="shared" si="62"/>
        <v>Duplicate ID</v>
      </c>
      <c r="Q978" t="str">
        <f t="shared" si="63"/>
        <v>5,000-9,999</v>
      </c>
      <c r="R978" s="6">
        <f>IF(COUNTIF($A$2:A978,A978)=1,1,0)</f>
        <v>0</v>
      </c>
    </row>
    <row r="979" spans="1:18" x14ac:dyDescent="0.25">
      <c r="A979" s="6">
        <v>1180</v>
      </c>
      <c r="B979" s="7">
        <v>45369</v>
      </c>
      <c r="C979" t="s">
        <v>40</v>
      </c>
      <c r="D979" s="6">
        <v>2017</v>
      </c>
      <c r="E979" s="8">
        <v>7573</v>
      </c>
      <c r="F979" s="8">
        <v>9000</v>
      </c>
      <c r="G979" s="8">
        <f t="shared" si="60"/>
        <v>1427</v>
      </c>
      <c r="H979" s="6">
        <v>80000</v>
      </c>
      <c r="I979" t="s">
        <v>58</v>
      </c>
      <c r="J979" t="s">
        <v>35</v>
      </c>
      <c r="K979" t="s">
        <v>36</v>
      </c>
      <c r="L979" t="s">
        <v>100</v>
      </c>
      <c r="M979" t="s">
        <v>126</v>
      </c>
      <c r="N979" s="6">
        <v>0</v>
      </c>
      <c r="O979" t="str">
        <f t="shared" si="61"/>
        <v>Normal</v>
      </c>
      <c r="P979" t="str">
        <f t="shared" si="62"/>
        <v>Duplicate ID</v>
      </c>
      <c r="Q979" t="str">
        <f t="shared" si="63"/>
        <v>5,000-9,999</v>
      </c>
      <c r="R979" s="6">
        <f>IF(COUNTIF($A$2:A979,A979)=1,1,0)</f>
        <v>0</v>
      </c>
    </row>
    <row r="980" spans="1:18" x14ac:dyDescent="0.25">
      <c r="A980" s="6">
        <v>1566</v>
      </c>
      <c r="B980" s="7">
        <v>45144</v>
      </c>
      <c r="C980" t="s">
        <v>32</v>
      </c>
      <c r="D980" s="6">
        <v>2018</v>
      </c>
      <c r="E980" s="8">
        <v>9984</v>
      </c>
      <c r="F980" s="8">
        <v>12000</v>
      </c>
      <c r="G980" s="8">
        <f t="shared" si="60"/>
        <v>2016</v>
      </c>
      <c r="H980" s="6">
        <v>80000</v>
      </c>
      <c r="I980" t="s">
        <v>58</v>
      </c>
      <c r="J980" t="s">
        <v>35</v>
      </c>
      <c r="K980" t="s">
        <v>36</v>
      </c>
      <c r="L980" t="s">
        <v>54</v>
      </c>
      <c r="M980" t="s">
        <v>90</v>
      </c>
      <c r="N980" s="6">
        <v>2</v>
      </c>
      <c r="O980" t="str">
        <f t="shared" si="61"/>
        <v>Normal</v>
      </c>
      <c r="P980" t="str">
        <f t="shared" si="62"/>
        <v>Duplicate ID</v>
      </c>
      <c r="Q980" t="str">
        <f t="shared" si="63"/>
        <v>5,000-9,999</v>
      </c>
      <c r="R980" s="6">
        <f>IF(COUNTIF($A$2:A980,A980)=1,1,0)</f>
        <v>0</v>
      </c>
    </row>
    <row r="981" spans="1:18" x14ac:dyDescent="0.25">
      <c r="A981" s="6">
        <v>1049</v>
      </c>
      <c r="B981" s="7">
        <v>44539</v>
      </c>
      <c r="C981" t="s">
        <v>40</v>
      </c>
      <c r="D981" s="6">
        <v>2022</v>
      </c>
      <c r="E981" s="8">
        <v>4895</v>
      </c>
      <c r="F981" s="8">
        <v>7000</v>
      </c>
      <c r="G981" s="8">
        <f t="shared" si="60"/>
        <v>2105</v>
      </c>
      <c r="H981" s="6">
        <v>60000</v>
      </c>
      <c r="I981" t="s">
        <v>69</v>
      </c>
      <c r="J981" t="s">
        <v>1647</v>
      </c>
      <c r="K981" t="s">
        <v>96</v>
      </c>
      <c r="L981" t="s">
        <v>48</v>
      </c>
      <c r="M981" t="s">
        <v>90</v>
      </c>
      <c r="N981" s="6">
        <v>3</v>
      </c>
      <c r="O981" t="str">
        <f t="shared" si="61"/>
        <v>Normal</v>
      </c>
      <c r="P981" t="str">
        <f t="shared" si="62"/>
        <v>Duplicate ID</v>
      </c>
      <c r="Q981" t="str">
        <f t="shared" si="63"/>
        <v>0-4,999</v>
      </c>
      <c r="R981" s="6">
        <f>IF(COUNTIF($A$2:A981,A981)=1,1,0)</f>
        <v>0</v>
      </c>
    </row>
    <row r="982" spans="1:18" x14ac:dyDescent="0.25">
      <c r="A982" s="6">
        <v>1068</v>
      </c>
      <c r="B982" s="7">
        <v>44283</v>
      </c>
      <c r="C982" t="s">
        <v>57</v>
      </c>
      <c r="D982" s="6">
        <v>2015</v>
      </c>
      <c r="E982" s="8">
        <v>8757</v>
      </c>
      <c r="F982" s="8">
        <v>15000</v>
      </c>
      <c r="G982" s="8">
        <f t="shared" si="60"/>
        <v>6243</v>
      </c>
      <c r="H982" s="6">
        <v>25000</v>
      </c>
      <c r="I982" t="s">
        <v>1647</v>
      </c>
      <c r="J982" t="s">
        <v>72</v>
      </c>
      <c r="K982" t="s">
        <v>1647</v>
      </c>
      <c r="L982" t="s">
        <v>1647</v>
      </c>
      <c r="M982" t="s">
        <v>98</v>
      </c>
      <c r="N982" s="6" t="s">
        <v>1647</v>
      </c>
      <c r="O982" t="str">
        <f t="shared" si="61"/>
        <v>Normal</v>
      </c>
      <c r="P982" t="str">
        <f t="shared" si="62"/>
        <v>Duplicate ID</v>
      </c>
      <c r="Q982" t="str">
        <f t="shared" si="63"/>
        <v>5,000-9,999</v>
      </c>
      <c r="R982" s="6">
        <f>IF(COUNTIF($A$2:A982,A982)=1,1,0)</f>
        <v>0</v>
      </c>
    </row>
    <row r="983" spans="1:18" x14ac:dyDescent="0.25">
      <c r="A983" s="6">
        <v>1257</v>
      </c>
      <c r="B983" s="7">
        <v>45026</v>
      </c>
      <c r="C983" t="s">
        <v>1648</v>
      </c>
      <c r="D983" s="6">
        <v>2018</v>
      </c>
      <c r="E983" s="8">
        <v>16270</v>
      </c>
      <c r="F983" s="8">
        <v>22000</v>
      </c>
      <c r="G983" s="8">
        <f t="shared" si="60"/>
        <v>5730</v>
      </c>
      <c r="H983" s="6">
        <v>80000</v>
      </c>
      <c r="I983" t="s">
        <v>1647</v>
      </c>
      <c r="J983" t="s">
        <v>35</v>
      </c>
      <c r="K983" t="s">
        <v>36</v>
      </c>
      <c r="L983" t="s">
        <v>100</v>
      </c>
      <c r="M983" t="s">
        <v>126</v>
      </c>
      <c r="N983" s="6" t="s">
        <v>1647</v>
      </c>
      <c r="O983" t="str">
        <f t="shared" si="61"/>
        <v>Normal</v>
      </c>
      <c r="P983" t="str">
        <f t="shared" si="62"/>
        <v>Duplicate ID</v>
      </c>
      <c r="Q983" t="str">
        <f t="shared" si="63"/>
        <v>15,000-19,999</v>
      </c>
      <c r="R983" s="6">
        <f>IF(COUNTIF($A$2:A983,A983)=1,1,0)</f>
        <v>0</v>
      </c>
    </row>
    <row r="984" spans="1:18" x14ac:dyDescent="0.25">
      <c r="A984" s="6">
        <v>1384</v>
      </c>
      <c r="B984" s="7">
        <v>44980</v>
      </c>
      <c r="C984" t="s">
        <v>79</v>
      </c>
      <c r="D984" s="6">
        <v>2018</v>
      </c>
      <c r="E984" s="8">
        <v>4622</v>
      </c>
      <c r="F984" s="8">
        <v>9000</v>
      </c>
      <c r="G984" s="8">
        <f t="shared" si="60"/>
        <v>4378</v>
      </c>
      <c r="H984" s="6">
        <v>80000</v>
      </c>
      <c r="I984" t="s">
        <v>41</v>
      </c>
      <c r="J984" t="s">
        <v>35</v>
      </c>
      <c r="K984" t="s">
        <v>96</v>
      </c>
      <c r="L984" t="s">
        <v>100</v>
      </c>
      <c r="M984" t="s">
        <v>98</v>
      </c>
      <c r="N984" s="6" t="s">
        <v>1647</v>
      </c>
      <c r="O984" t="str">
        <f t="shared" si="61"/>
        <v>Normal</v>
      </c>
      <c r="P984" t="str">
        <f t="shared" si="62"/>
        <v>Duplicate ID</v>
      </c>
      <c r="Q984" t="str">
        <f t="shared" si="63"/>
        <v>0-4,999</v>
      </c>
      <c r="R984" s="6">
        <f>IF(COUNTIF($A$2:A984,A984)=1,1,0)</f>
        <v>0</v>
      </c>
    </row>
    <row r="985" spans="1:18" x14ac:dyDescent="0.25">
      <c r="A985" s="6">
        <v>1016</v>
      </c>
      <c r="B985" s="7">
        <v>44488</v>
      </c>
      <c r="C985" t="s">
        <v>32</v>
      </c>
      <c r="D985" s="6">
        <v>2018</v>
      </c>
      <c r="E985" s="8">
        <v>14998</v>
      </c>
      <c r="F985" s="8">
        <v>18000</v>
      </c>
      <c r="G985" s="8">
        <f t="shared" si="60"/>
        <v>3002</v>
      </c>
      <c r="H985" s="6">
        <v>60000</v>
      </c>
      <c r="I985" t="s">
        <v>34</v>
      </c>
      <c r="J985" t="s">
        <v>72</v>
      </c>
      <c r="K985" t="s">
        <v>96</v>
      </c>
      <c r="L985" t="s">
        <v>54</v>
      </c>
      <c r="M985" t="s">
        <v>90</v>
      </c>
      <c r="N985" s="6">
        <v>3</v>
      </c>
      <c r="O985" t="str">
        <f t="shared" si="61"/>
        <v>Normal</v>
      </c>
      <c r="P985" t="str">
        <f t="shared" si="62"/>
        <v>Duplicate ID</v>
      </c>
      <c r="Q985" t="str">
        <f t="shared" si="63"/>
        <v>10,000-14,999</v>
      </c>
      <c r="R985" s="6">
        <f>IF(COUNTIF($A$2:A985,A985)=1,1,0)</f>
        <v>0</v>
      </c>
    </row>
    <row r="986" spans="1:18" x14ac:dyDescent="0.25">
      <c r="A986" s="6">
        <v>1302</v>
      </c>
      <c r="B986" s="7">
        <v>44404</v>
      </c>
      <c r="C986" t="s">
        <v>32</v>
      </c>
      <c r="D986" s="6">
        <v>2020</v>
      </c>
      <c r="E986" s="8">
        <v>4808</v>
      </c>
      <c r="F986" s="8">
        <v>7000</v>
      </c>
      <c r="G986" s="8">
        <f t="shared" si="60"/>
        <v>2192</v>
      </c>
      <c r="H986" s="6">
        <v>25000</v>
      </c>
      <c r="I986" t="s">
        <v>34</v>
      </c>
      <c r="J986" t="s">
        <v>35</v>
      </c>
      <c r="K986" t="s">
        <v>1647</v>
      </c>
      <c r="L986" t="s">
        <v>54</v>
      </c>
      <c r="M986" t="s">
        <v>45</v>
      </c>
      <c r="N986" s="6" t="s">
        <v>1647</v>
      </c>
      <c r="O986" t="str">
        <f t="shared" si="61"/>
        <v>Normal</v>
      </c>
      <c r="P986" t="str">
        <f t="shared" si="62"/>
        <v>Duplicate ID</v>
      </c>
      <c r="Q986" t="str">
        <f t="shared" si="63"/>
        <v>0-4,999</v>
      </c>
      <c r="R986" s="6">
        <f>IF(COUNTIF($A$2:A986,A986)=1,1,0)</f>
        <v>0</v>
      </c>
    </row>
    <row r="987" spans="1:18" x14ac:dyDescent="0.25">
      <c r="A987" s="6">
        <v>1198</v>
      </c>
      <c r="B987" s="7">
        <v>44875</v>
      </c>
      <c r="C987" t="s">
        <v>1648</v>
      </c>
      <c r="D987" s="6">
        <v>2014</v>
      </c>
      <c r="E987" s="8">
        <v>27113</v>
      </c>
      <c r="F987" s="8">
        <v>31000</v>
      </c>
      <c r="G987" s="8">
        <f t="shared" si="60"/>
        <v>3887</v>
      </c>
      <c r="H987" s="6">
        <v>15000</v>
      </c>
      <c r="I987" t="s">
        <v>41</v>
      </c>
      <c r="J987" t="s">
        <v>35</v>
      </c>
      <c r="K987" t="s">
        <v>1647</v>
      </c>
      <c r="L987" t="s">
        <v>54</v>
      </c>
      <c r="M987" t="s">
        <v>126</v>
      </c>
      <c r="N987" s="6">
        <v>0</v>
      </c>
      <c r="O987" t="str">
        <f t="shared" si="61"/>
        <v>Normal</v>
      </c>
      <c r="P987" t="str">
        <f t="shared" si="62"/>
        <v>Duplicate ID</v>
      </c>
      <c r="Q987" t="str">
        <f t="shared" si="63"/>
        <v>25,000-30,000</v>
      </c>
      <c r="R987" s="6">
        <f>IF(COUNTIF($A$2:A987,A987)=1,1,0)</f>
        <v>0</v>
      </c>
    </row>
    <row r="988" spans="1:18" x14ac:dyDescent="0.25">
      <c r="A988" s="6">
        <v>1342</v>
      </c>
      <c r="B988" s="7">
        <v>45023</v>
      </c>
      <c r="C988" t="s">
        <v>57</v>
      </c>
      <c r="D988" s="6">
        <v>2018</v>
      </c>
      <c r="E988" s="8">
        <v>17328</v>
      </c>
      <c r="F988" s="8">
        <v>22000</v>
      </c>
      <c r="G988" s="8">
        <f t="shared" si="60"/>
        <v>4672</v>
      </c>
      <c r="H988" s="6">
        <v>15000</v>
      </c>
      <c r="I988" t="s">
        <v>69</v>
      </c>
      <c r="J988" t="s">
        <v>72</v>
      </c>
      <c r="K988" t="s">
        <v>36</v>
      </c>
      <c r="L988" t="s">
        <v>1647</v>
      </c>
      <c r="M988" t="s">
        <v>126</v>
      </c>
      <c r="N988" s="6">
        <v>3</v>
      </c>
      <c r="O988" t="str">
        <f t="shared" si="61"/>
        <v>Normal</v>
      </c>
      <c r="P988" t="str">
        <f t="shared" si="62"/>
        <v>Duplicate ID</v>
      </c>
      <c r="Q988" t="str">
        <f t="shared" si="63"/>
        <v>15,000-19,999</v>
      </c>
      <c r="R988" s="6">
        <f>IF(COUNTIF($A$2:A988,A988)=1,1,0)</f>
        <v>1</v>
      </c>
    </row>
    <row r="989" spans="1:18" x14ac:dyDescent="0.25">
      <c r="A989" s="6">
        <v>1518</v>
      </c>
      <c r="B989" s="7">
        <v>45356</v>
      </c>
      <c r="C989" t="s">
        <v>1648</v>
      </c>
      <c r="D989" s="6">
        <v>2020</v>
      </c>
      <c r="E989" s="8">
        <v>1511</v>
      </c>
      <c r="F989" s="8">
        <v>7000</v>
      </c>
      <c r="G989" s="8">
        <f t="shared" si="60"/>
        <v>5489</v>
      </c>
      <c r="H989" s="6">
        <v>120000</v>
      </c>
      <c r="I989" t="s">
        <v>34</v>
      </c>
      <c r="J989" t="s">
        <v>72</v>
      </c>
      <c r="K989" t="s">
        <v>96</v>
      </c>
      <c r="L989" t="s">
        <v>54</v>
      </c>
      <c r="M989" t="s">
        <v>90</v>
      </c>
      <c r="N989" s="6">
        <v>1</v>
      </c>
      <c r="O989" t="str">
        <f t="shared" si="61"/>
        <v>Normal</v>
      </c>
      <c r="P989" t="str">
        <f t="shared" si="62"/>
        <v>Unique ID</v>
      </c>
      <c r="Q989" t="str">
        <f t="shared" si="63"/>
        <v>0-4,999</v>
      </c>
      <c r="R989" s="6">
        <f>IF(COUNTIF($A$2:A989,A989)=1,1,0)</f>
        <v>1</v>
      </c>
    </row>
    <row r="990" spans="1:18" x14ac:dyDescent="0.25">
      <c r="A990" s="6">
        <v>1042</v>
      </c>
      <c r="B990" s="7">
        <v>44648</v>
      </c>
      <c r="C990" t="s">
        <v>57</v>
      </c>
      <c r="D990" s="6">
        <v>2015</v>
      </c>
      <c r="E990" s="8">
        <v>21770</v>
      </c>
      <c r="F990" s="8">
        <v>26000</v>
      </c>
      <c r="G990" s="8">
        <f t="shared" si="60"/>
        <v>4230</v>
      </c>
      <c r="H990" s="6">
        <v>40000</v>
      </c>
      <c r="I990" t="s">
        <v>34</v>
      </c>
      <c r="J990" t="s">
        <v>1647</v>
      </c>
      <c r="K990" t="s">
        <v>36</v>
      </c>
      <c r="L990" t="s">
        <v>48</v>
      </c>
      <c r="M990" t="s">
        <v>90</v>
      </c>
      <c r="N990" s="6">
        <v>3</v>
      </c>
      <c r="O990" t="str">
        <f t="shared" si="61"/>
        <v>Normal</v>
      </c>
      <c r="P990" t="str">
        <f t="shared" si="62"/>
        <v>Duplicate ID</v>
      </c>
      <c r="Q990" t="str">
        <f t="shared" si="63"/>
        <v>20,000-24,999</v>
      </c>
      <c r="R990" s="6">
        <f>IF(COUNTIF($A$2:A990,A990)=1,1,0)</f>
        <v>0</v>
      </c>
    </row>
    <row r="991" spans="1:18" x14ac:dyDescent="0.25">
      <c r="A991" s="6">
        <v>1271</v>
      </c>
      <c r="B991" s="7">
        <v>44273</v>
      </c>
      <c r="C991" t="s">
        <v>119</v>
      </c>
      <c r="D991" s="6">
        <v>2017</v>
      </c>
      <c r="E991" s="8">
        <v>4662</v>
      </c>
      <c r="F991" s="8">
        <v>7000</v>
      </c>
      <c r="G991" s="8">
        <f t="shared" si="60"/>
        <v>2338</v>
      </c>
      <c r="H991" s="6">
        <v>15000</v>
      </c>
      <c r="I991" t="s">
        <v>58</v>
      </c>
      <c r="J991" t="s">
        <v>72</v>
      </c>
      <c r="K991" t="s">
        <v>36</v>
      </c>
      <c r="L991" t="s">
        <v>73</v>
      </c>
      <c r="M991" t="s">
        <v>98</v>
      </c>
      <c r="N991" s="6">
        <v>2</v>
      </c>
      <c r="O991" t="str">
        <f t="shared" si="61"/>
        <v>Normal</v>
      </c>
      <c r="P991" t="str">
        <f t="shared" si="62"/>
        <v>Duplicate ID</v>
      </c>
      <c r="Q991" t="str">
        <f t="shared" si="63"/>
        <v>0-4,999</v>
      </c>
      <c r="R991" s="6">
        <f>IF(COUNTIF($A$2:A991,A991)=1,1,0)</f>
        <v>0</v>
      </c>
    </row>
    <row r="992" spans="1:18" x14ac:dyDescent="0.25">
      <c r="A992" s="6">
        <v>1338</v>
      </c>
      <c r="B992" s="7">
        <v>45319</v>
      </c>
      <c r="C992" t="s">
        <v>79</v>
      </c>
      <c r="D992" s="6">
        <v>2021</v>
      </c>
      <c r="E992" s="8">
        <v>12425</v>
      </c>
      <c r="F992" s="8">
        <v>18000</v>
      </c>
      <c r="G992" s="8">
        <f t="shared" si="60"/>
        <v>5575</v>
      </c>
      <c r="H992" s="6">
        <v>80000</v>
      </c>
      <c r="I992" t="s">
        <v>69</v>
      </c>
      <c r="J992" t="s">
        <v>1647</v>
      </c>
      <c r="K992" t="s">
        <v>36</v>
      </c>
      <c r="L992" t="s">
        <v>100</v>
      </c>
      <c r="M992" t="s">
        <v>126</v>
      </c>
      <c r="N992" s="6">
        <v>3</v>
      </c>
      <c r="O992" t="str">
        <f t="shared" si="61"/>
        <v>Normal</v>
      </c>
      <c r="P992" t="str">
        <f t="shared" si="62"/>
        <v>Duplicate ID</v>
      </c>
      <c r="Q992" t="str">
        <f t="shared" si="63"/>
        <v>10,000-14,999</v>
      </c>
      <c r="R992" s="6">
        <f>IF(COUNTIF($A$2:A992,A992)=1,1,0)</f>
        <v>0</v>
      </c>
    </row>
    <row r="993" spans="1:18" x14ac:dyDescent="0.25">
      <c r="A993" s="6">
        <v>1414</v>
      </c>
      <c r="B993" s="7">
        <v>45218</v>
      </c>
      <c r="C993" t="s">
        <v>1648</v>
      </c>
      <c r="D993" s="6">
        <v>2018</v>
      </c>
      <c r="E993" s="8">
        <v>18538</v>
      </c>
      <c r="F993" s="8">
        <v>22000</v>
      </c>
      <c r="G993" s="8">
        <f t="shared" si="60"/>
        <v>3462</v>
      </c>
      <c r="H993" s="6">
        <v>80000</v>
      </c>
      <c r="I993" t="s">
        <v>69</v>
      </c>
      <c r="J993" t="s">
        <v>35</v>
      </c>
      <c r="K993" t="s">
        <v>36</v>
      </c>
      <c r="L993" t="s">
        <v>1647</v>
      </c>
      <c r="M993" t="s">
        <v>90</v>
      </c>
      <c r="N993" s="6">
        <v>1</v>
      </c>
      <c r="O993" t="str">
        <f t="shared" si="61"/>
        <v>Normal</v>
      </c>
      <c r="P993" t="str">
        <f t="shared" si="62"/>
        <v>Duplicate ID</v>
      </c>
      <c r="Q993" t="str">
        <f t="shared" si="63"/>
        <v>15,000-19,999</v>
      </c>
      <c r="R993" s="6">
        <f>IF(COUNTIF($A$2:A993,A993)=1,1,0)</f>
        <v>0</v>
      </c>
    </row>
    <row r="994" spans="1:18" x14ac:dyDescent="0.25">
      <c r="A994" s="6">
        <v>1517</v>
      </c>
      <c r="B994" s="7">
        <v>45307</v>
      </c>
      <c r="C994" t="s">
        <v>119</v>
      </c>
      <c r="D994" s="6">
        <v>2021</v>
      </c>
      <c r="E994" s="8">
        <v>5288</v>
      </c>
      <c r="F994" s="8">
        <v>12000</v>
      </c>
      <c r="G994" s="8">
        <f t="shared" si="60"/>
        <v>6712</v>
      </c>
      <c r="H994" s="6">
        <v>15000</v>
      </c>
      <c r="I994" t="s">
        <v>69</v>
      </c>
      <c r="J994" t="s">
        <v>72</v>
      </c>
      <c r="K994" t="s">
        <v>36</v>
      </c>
      <c r="L994" t="s">
        <v>100</v>
      </c>
      <c r="M994" t="s">
        <v>90</v>
      </c>
      <c r="N994" s="6" t="s">
        <v>1647</v>
      </c>
      <c r="O994" t="str">
        <f t="shared" si="61"/>
        <v>Normal</v>
      </c>
      <c r="P994" t="str">
        <f t="shared" si="62"/>
        <v>Duplicate ID</v>
      </c>
      <c r="Q994" t="str">
        <f t="shared" si="63"/>
        <v>5,000-9,999</v>
      </c>
      <c r="R994" s="6">
        <f>IF(COUNTIF($A$2:A994,A994)=1,1,0)</f>
        <v>0</v>
      </c>
    </row>
    <row r="995" spans="1:18" x14ac:dyDescent="0.25">
      <c r="A995" s="6">
        <v>1415</v>
      </c>
      <c r="B995" s="7">
        <v>45089</v>
      </c>
      <c r="C995" t="s">
        <v>1648</v>
      </c>
      <c r="D995" s="6">
        <v>2018</v>
      </c>
      <c r="E995" s="8">
        <v>7534</v>
      </c>
      <c r="F995" s="8">
        <v>9000</v>
      </c>
      <c r="G995" s="8">
        <f t="shared" si="60"/>
        <v>1466</v>
      </c>
      <c r="H995" s="6">
        <v>40000</v>
      </c>
      <c r="I995" t="s">
        <v>41</v>
      </c>
      <c r="J995" t="s">
        <v>72</v>
      </c>
      <c r="K995" t="s">
        <v>96</v>
      </c>
      <c r="L995" t="s">
        <v>73</v>
      </c>
      <c r="M995" t="s">
        <v>45</v>
      </c>
      <c r="N995" s="6">
        <v>1</v>
      </c>
      <c r="O995" t="str">
        <f t="shared" si="61"/>
        <v>Normal</v>
      </c>
      <c r="P995" t="str">
        <f t="shared" si="62"/>
        <v>Duplicate ID</v>
      </c>
      <c r="Q995" t="str">
        <f t="shared" si="63"/>
        <v>5,000-9,999</v>
      </c>
      <c r="R995" s="6">
        <f>IF(COUNTIF($A$2:A995,A995)=1,1,0)</f>
        <v>0</v>
      </c>
    </row>
    <row r="996" spans="1:18" x14ac:dyDescent="0.25">
      <c r="A996" s="6">
        <v>1440</v>
      </c>
      <c r="B996" s="7">
        <v>45027</v>
      </c>
      <c r="C996" t="s">
        <v>1648</v>
      </c>
      <c r="D996" s="6">
        <v>2021</v>
      </c>
      <c r="E996" s="8">
        <v>23247</v>
      </c>
      <c r="F996" s="8">
        <v>26000</v>
      </c>
      <c r="G996" s="8">
        <f t="shared" si="60"/>
        <v>2753</v>
      </c>
      <c r="H996" s="6">
        <v>80000</v>
      </c>
      <c r="I996" t="s">
        <v>58</v>
      </c>
      <c r="J996" t="s">
        <v>72</v>
      </c>
      <c r="K996" t="s">
        <v>36</v>
      </c>
      <c r="L996" t="s">
        <v>54</v>
      </c>
      <c r="M996" t="s">
        <v>98</v>
      </c>
      <c r="N996" s="6">
        <v>0</v>
      </c>
      <c r="O996" t="str">
        <f t="shared" si="61"/>
        <v>Normal</v>
      </c>
      <c r="P996" t="str">
        <f t="shared" si="62"/>
        <v>Duplicate ID</v>
      </c>
      <c r="Q996" t="str">
        <f t="shared" si="63"/>
        <v>20,000-24,999</v>
      </c>
      <c r="R996" s="6">
        <f>IF(COUNTIF($A$2:A996,A996)=1,1,0)</f>
        <v>0</v>
      </c>
    </row>
    <row r="997" spans="1:18" x14ac:dyDescent="0.25">
      <c r="A997" s="6">
        <v>1553</v>
      </c>
      <c r="B997" s="7">
        <v>44504</v>
      </c>
      <c r="C997" t="s">
        <v>32</v>
      </c>
      <c r="D997" s="6">
        <v>2015</v>
      </c>
      <c r="E997" s="8">
        <v>7931</v>
      </c>
      <c r="F997" s="8">
        <v>9000</v>
      </c>
      <c r="G997" s="8">
        <f t="shared" si="60"/>
        <v>1069</v>
      </c>
      <c r="H997" s="6">
        <v>120000</v>
      </c>
      <c r="I997" t="s">
        <v>58</v>
      </c>
      <c r="J997" t="s">
        <v>35</v>
      </c>
      <c r="K997" t="s">
        <v>36</v>
      </c>
      <c r="L997" t="s">
        <v>48</v>
      </c>
      <c r="M997" t="s">
        <v>90</v>
      </c>
      <c r="N997" s="6">
        <v>0</v>
      </c>
      <c r="O997" t="str">
        <f t="shared" si="61"/>
        <v>Normal</v>
      </c>
      <c r="P997" t="str">
        <f t="shared" si="62"/>
        <v>Duplicate ID</v>
      </c>
      <c r="Q997" t="str">
        <f t="shared" si="63"/>
        <v>5,000-9,999</v>
      </c>
      <c r="R997" s="6">
        <f>IF(COUNTIF($A$2:A997,A997)=1,1,0)</f>
        <v>0</v>
      </c>
    </row>
    <row r="998" spans="1:18" x14ac:dyDescent="0.25">
      <c r="A998" s="6">
        <v>1585</v>
      </c>
      <c r="B998" s="7">
        <v>44928</v>
      </c>
      <c r="C998" t="s">
        <v>32</v>
      </c>
      <c r="D998" s="6">
        <v>2018</v>
      </c>
      <c r="E998" s="8">
        <v>15384</v>
      </c>
      <c r="F998" s="8">
        <v>22000</v>
      </c>
      <c r="G998" s="8">
        <f t="shared" si="60"/>
        <v>6616</v>
      </c>
      <c r="H998" s="6">
        <v>120000</v>
      </c>
      <c r="I998" t="s">
        <v>41</v>
      </c>
      <c r="J998" t="s">
        <v>35</v>
      </c>
      <c r="K998" t="s">
        <v>1647</v>
      </c>
      <c r="L998" t="s">
        <v>73</v>
      </c>
      <c r="M998" t="s">
        <v>126</v>
      </c>
      <c r="N998" s="6" t="s">
        <v>1647</v>
      </c>
      <c r="O998" t="str">
        <f t="shared" si="61"/>
        <v>Normal</v>
      </c>
      <c r="P998" t="str">
        <f t="shared" si="62"/>
        <v>Duplicate ID</v>
      </c>
      <c r="Q998" t="str">
        <f t="shared" si="63"/>
        <v>15,000-19,999</v>
      </c>
      <c r="R998" s="6">
        <f>IF(COUNTIF($A$2:A998,A998)=1,1,0)</f>
        <v>0</v>
      </c>
    </row>
    <row r="999" spans="1:18" x14ac:dyDescent="0.25">
      <c r="A999" s="6">
        <v>1273</v>
      </c>
      <c r="B999" s="7">
        <v>44417</v>
      </c>
      <c r="C999" t="s">
        <v>40</v>
      </c>
      <c r="D999" s="6">
        <v>2017</v>
      </c>
      <c r="E999" s="8">
        <v>6983</v>
      </c>
      <c r="F999" s="8">
        <v>12000</v>
      </c>
      <c r="G999" s="8">
        <f t="shared" si="60"/>
        <v>5017</v>
      </c>
      <c r="H999" s="6">
        <v>60000</v>
      </c>
      <c r="I999" t="s">
        <v>69</v>
      </c>
      <c r="J999" t="s">
        <v>35</v>
      </c>
      <c r="K999" t="s">
        <v>36</v>
      </c>
      <c r="L999" t="s">
        <v>48</v>
      </c>
      <c r="M999" t="s">
        <v>45</v>
      </c>
      <c r="N999" s="6">
        <v>1</v>
      </c>
      <c r="O999" t="str">
        <f t="shared" si="61"/>
        <v>Normal</v>
      </c>
      <c r="P999" t="str">
        <f t="shared" si="62"/>
        <v>Duplicate ID</v>
      </c>
      <c r="Q999" t="str">
        <f t="shared" si="63"/>
        <v>5,000-9,999</v>
      </c>
      <c r="R999" s="6">
        <f>IF(COUNTIF($A$2:A999,A999)=1,1,0)</f>
        <v>0</v>
      </c>
    </row>
    <row r="1000" spans="1:18" x14ac:dyDescent="0.25">
      <c r="A1000" s="6">
        <v>1402</v>
      </c>
      <c r="B1000" s="7">
        <v>44262</v>
      </c>
      <c r="C1000" t="s">
        <v>32</v>
      </c>
      <c r="D1000" s="6">
        <v>2021</v>
      </c>
      <c r="E1000" s="8">
        <v>11676</v>
      </c>
      <c r="F1000" s="8">
        <v>15000</v>
      </c>
      <c r="G1000" s="8">
        <f t="shared" si="60"/>
        <v>3324</v>
      </c>
      <c r="H1000" s="6">
        <v>120000</v>
      </c>
      <c r="I1000" t="s">
        <v>1647</v>
      </c>
      <c r="J1000" t="s">
        <v>72</v>
      </c>
      <c r="K1000" t="s">
        <v>1647</v>
      </c>
      <c r="L1000" t="s">
        <v>54</v>
      </c>
      <c r="M1000" t="s">
        <v>45</v>
      </c>
      <c r="N1000" s="6">
        <v>3</v>
      </c>
      <c r="O1000" t="str">
        <f t="shared" si="61"/>
        <v>Normal</v>
      </c>
      <c r="P1000" t="str">
        <f t="shared" si="62"/>
        <v>Duplicate ID</v>
      </c>
      <c r="Q1000" t="str">
        <f t="shared" si="63"/>
        <v>10,000-14,999</v>
      </c>
      <c r="R1000" s="6">
        <f>IF(COUNTIF($A$2:A1000,A1000)=1,1,0)</f>
        <v>0</v>
      </c>
    </row>
    <row r="1001" spans="1:18" x14ac:dyDescent="0.25">
      <c r="A1001" s="6">
        <v>1246</v>
      </c>
      <c r="B1001" s="7">
        <v>44628</v>
      </c>
      <c r="C1001" t="s">
        <v>1648</v>
      </c>
      <c r="D1001" s="6">
        <v>2017</v>
      </c>
      <c r="E1001" s="8">
        <v>14325</v>
      </c>
      <c r="F1001" s="8">
        <v>18000</v>
      </c>
      <c r="G1001" s="8">
        <f t="shared" si="60"/>
        <v>3675</v>
      </c>
      <c r="H1001" s="6">
        <v>120000</v>
      </c>
      <c r="I1001" t="s">
        <v>41</v>
      </c>
      <c r="J1001" t="s">
        <v>1647</v>
      </c>
      <c r="K1001" t="s">
        <v>36</v>
      </c>
      <c r="L1001" t="s">
        <v>100</v>
      </c>
      <c r="M1001" t="s">
        <v>126</v>
      </c>
      <c r="N1001" s="6">
        <v>3</v>
      </c>
      <c r="O1001" t="str">
        <f t="shared" si="61"/>
        <v>Normal</v>
      </c>
      <c r="P1001" t="str">
        <f t="shared" si="62"/>
        <v>Duplicate ID</v>
      </c>
      <c r="Q1001" t="str">
        <f t="shared" si="63"/>
        <v>10,000-14,999</v>
      </c>
      <c r="R1001" s="6">
        <f>IF(COUNTIF($A$2:A1001,A1001)=1,1,0)</f>
        <v>0</v>
      </c>
    </row>
    <row r="1002" spans="1:18" x14ac:dyDescent="0.25">
      <c r="A1002" s="6">
        <v>1593</v>
      </c>
      <c r="B1002" s="7">
        <v>44852</v>
      </c>
      <c r="C1002" t="s">
        <v>32</v>
      </c>
      <c r="D1002" s="6">
        <v>2016</v>
      </c>
      <c r="E1002" s="8">
        <v>5275</v>
      </c>
      <c r="F1002" s="8">
        <v>9000</v>
      </c>
      <c r="G1002" s="8">
        <f t="shared" si="60"/>
        <v>3725</v>
      </c>
      <c r="H1002" s="6">
        <v>40000</v>
      </c>
      <c r="I1002" t="s">
        <v>69</v>
      </c>
      <c r="J1002" t="s">
        <v>35</v>
      </c>
      <c r="K1002" t="s">
        <v>96</v>
      </c>
      <c r="L1002" t="s">
        <v>73</v>
      </c>
      <c r="M1002" t="s">
        <v>45</v>
      </c>
      <c r="N1002" s="6">
        <v>1</v>
      </c>
      <c r="O1002" t="str">
        <f t="shared" si="61"/>
        <v>Normal</v>
      </c>
      <c r="P1002" t="str">
        <f t="shared" si="62"/>
        <v>Duplicate ID</v>
      </c>
      <c r="Q1002" t="str">
        <f t="shared" si="63"/>
        <v>5,000-9,999</v>
      </c>
      <c r="R1002" s="6">
        <f>IF(COUNTIF($A$2:A1002,A1002)=1,1,0)</f>
        <v>0</v>
      </c>
    </row>
    <row r="1003" spans="1:18" x14ac:dyDescent="0.25">
      <c r="A1003" s="6">
        <v>1258</v>
      </c>
      <c r="B1003" s="7">
        <v>44261</v>
      </c>
      <c r="C1003" t="s">
        <v>79</v>
      </c>
      <c r="D1003" s="6">
        <v>2017</v>
      </c>
      <c r="E1003" s="8">
        <v>20600</v>
      </c>
      <c r="F1003" s="8">
        <v>22000</v>
      </c>
      <c r="G1003" s="8">
        <f t="shared" si="60"/>
        <v>1400</v>
      </c>
      <c r="H1003" s="6">
        <v>15000</v>
      </c>
      <c r="I1003" t="s">
        <v>34</v>
      </c>
      <c r="J1003" t="s">
        <v>72</v>
      </c>
      <c r="K1003" t="s">
        <v>96</v>
      </c>
      <c r="L1003" t="s">
        <v>100</v>
      </c>
      <c r="M1003" t="s">
        <v>45</v>
      </c>
      <c r="N1003" s="6">
        <v>3</v>
      </c>
      <c r="O1003" t="str">
        <f t="shared" si="61"/>
        <v>Normal</v>
      </c>
      <c r="P1003" t="str">
        <f t="shared" si="62"/>
        <v>Duplicate ID</v>
      </c>
      <c r="Q1003" t="str">
        <f t="shared" si="63"/>
        <v>20,000-24,999</v>
      </c>
      <c r="R1003" s="6">
        <f>IF(COUNTIF($A$2:A1003,A1003)=1,1,0)</f>
        <v>0</v>
      </c>
    </row>
    <row r="1004" spans="1:18" x14ac:dyDescent="0.25">
      <c r="A1004" s="6">
        <v>1425</v>
      </c>
      <c r="B1004" s="7">
        <v>44710</v>
      </c>
      <c r="C1004" t="s">
        <v>51</v>
      </c>
      <c r="D1004" s="6"/>
      <c r="E1004" s="8">
        <v>9656</v>
      </c>
      <c r="F1004" s="8">
        <v>12000</v>
      </c>
      <c r="G1004" s="8">
        <f t="shared" si="60"/>
        <v>2344</v>
      </c>
      <c r="H1004" s="6">
        <v>15000</v>
      </c>
      <c r="I1004" t="s">
        <v>41</v>
      </c>
      <c r="J1004" t="s">
        <v>35</v>
      </c>
      <c r="K1004" t="s">
        <v>36</v>
      </c>
      <c r="L1004" t="s">
        <v>1647</v>
      </c>
      <c r="M1004" t="s">
        <v>98</v>
      </c>
      <c r="N1004" s="6">
        <v>2</v>
      </c>
      <c r="O1004" t="str">
        <f t="shared" si="61"/>
        <v>Normal</v>
      </c>
      <c r="P1004" t="str">
        <f t="shared" si="62"/>
        <v>Duplicate ID</v>
      </c>
      <c r="Q1004" t="str">
        <f t="shared" si="63"/>
        <v>5,000-9,999</v>
      </c>
      <c r="R1004" s="6">
        <f>IF(COUNTIF($A$2:A1004,A1004)=1,1,0)</f>
        <v>0</v>
      </c>
    </row>
    <row r="1005" spans="1:18" x14ac:dyDescent="0.25">
      <c r="A1005" s="6">
        <v>1351</v>
      </c>
      <c r="B1005" s="7">
        <v>44935</v>
      </c>
      <c r="C1005" t="s">
        <v>57</v>
      </c>
      <c r="D1005" s="6">
        <v>2016</v>
      </c>
      <c r="E1005" s="8">
        <v>24925</v>
      </c>
      <c r="F1005" s="8">
        <v>26000</v>
      </c>
      <c r="G1005" s="8">
        <f t="shared" si="60"/>
        <v>1075</v>
      </c>
      <c r="H1005" s="6">
        <v>15000</v>
      </c>
      <c r="I1005" t="s">
        <v>1647</v>
      </c>
      <c r="J1005" t="s">
        <v>1647</v>
      </c>
      <c r="K1005" t="s">
        <v>36</v>
      </c>
      <c r="L1005" t="s">
        <v>100</v>
      </c>
      <c r="M1005" t="s">
        <v>90</v>
      </c>
      <c r="N1005" s="6">
        <v>2</v>
      </c>
      <c r="O1005" t="str">
        <f t="shared" si="61"/>
        <v>Normal</v>
      </c>
      <c r="P1005" t="str">
        <f t="shared" si="62"/>
        <v>Duplicate ID</v>
      </c>
      <c r="Q1005" t="str">
        <f t="shared" si="63"/>
        <v>20,000-24,999</v>
      </c>
      <c r="R1005" s="6">
        <f>IF(COUNTIF($A$2:A1005,A1005)=1,1,0)</f>
        <v>0</v>
      </c>
    </row>
    <row r="1006" spans="1:18" x14ac:dyDescent="0.25">
      <c r="A1006" s="6">
        <v>1445</v>
      </c>
      <c r="B1006" s="7">
        <v>44599</v>
      </c>
      <c r="C1006" t="s">
        <v>119</v>
      </c>
      <c r="D1006" s="6">
        <v>2022</v>
      </c>
      <c r="E1006" s="8">
        <v>20163</v>
      </c>
      <c r="F1006" s="8">
        <v>26000</v>
      </c>
      <c r="G1006" s="8">
        <f t="shared" si="60"/>
        <v>5837</v>
      </c>
      <c r="H1006" s="6">
        <v>80000</v>
      </c>
      <c r="I1006" t="s">
        <v>69</v>
      </c>
      <c r="J1006" t="s">
        <v>1647</v>
      </c>
      <c r="K1006" t="s">
        <v>96</v>
      </c>
      <c r="L1006" t="s">
        <v>73</v>
      </c>
      <c r="M1006" t="s">
        <v>45</v>
      </c>
      <c r="N1006" s="6">
        <v>2</v>
      </c>
      <c r="O1006" t="str">
        <f t="shared" si="61"/>
        <v>Normal</v>
      </c>
      <c r="P1006" t="str">
        <f t="shared" si="62"/>
        <v>Duplicate ID</v>
      </c>
      <c r="Q1006" t="str">
        <f t="shared" si="63"/>
        <v>20,000-24,999</v>
      </c>
      <c r="R1006" s="6">
        <f>IF(COUNTIF($A$2:A1006,A1006)=1,1,0)</f>
        <v>1</v>
      </c>
    </row>
    <row r="1007" spans="1:18" x14ac:dyDescent="0.25">
      <c r="A1007" s="6">
        <v>1585</v>
      </c>
      <c r="B1007" s="7">
        <v>45146</v>
      </c>
      <c r="C1007" t="s">
        <v>40</v>
      </c>
      <c r="D1007" s="6">
        <v>2020</v>
      </c>
      <c r="E1007" s="8">
        <v>4582</v>
      </c>
      <c r="F1007" s="8">
        <v>9000</v>
      </c>
      <c r="G1007" s="8">
        <f t="shared" si="60"/>
        <v>4418</v>
      </c>
      <c r="H1007" s="6">
        <v>60000</v>
      </c>
      <c r="I1007" t="s">
        <v>1647</v>
      </c>
      <c r="J1007" t="s">
        <v>72</v>
      </c>
      <c r="K1007" t="s">
        <v>96</v>
      </c>
      <c r="L1007" t="s">
        <v>73</v>
      </c>
      <c r="M1007" t="s">
        <v>90</v>
      </c>
      <c r="N1007" s="6" t="s">
        <v>1647</v>
      </c>
      <c r="O1007" t="str">
        <f t="shared" si="61"/>
        <v>Normal</v>
      </c>
      <c r="P1007" t="str">
        <f t="shared" si="62"/>
        <v>Duplicate ID</v>
      </c>
      <c r="Q1007" t="str">
        <f t="shared" si="63"/>
        <v>0-4,999</v>
      </c>
      <c r="R1007" s="6">
        <f>IF(COUNTIF($A$2:A1007,A1007)=1,1,0)</f>
        <v>0</v>
      </c>
    </row>
    <row r="1008" spans="1:18" x14ac:dyDescent="0.25">
      <c r="A1008" s="6">
        <v>1041</v>
      </c>
      <c r="B1008" s="7">
        <v>44666</v>
      </c>
      <c r="C1008" t="s">
        <v>119</v>
      </c>
      <c r="D1008" s="6">
        <v>2020</v>
      </c>
      <c r="E1008" s="8">
        <v>12653</v>
      </c>
      <c r="F1008" s="8">
        <v>18000</v>
      </c>
      <c r="G1008" s="8">
        <f t="shared" si="60"/>
        <v>5347</v>
      </c>
      <c r="H1008" s="6">
        <v>15000</v>
      </c>
      <c r="I1008" t="s">
        <v>41</v>
      </c>
      <c r="J1008" t="s">
        <v>72</v>
      </c>
      <c r="K1008" t="s">
        <v>36</v>
      </c>
      <c r="L1008" t="s">
        <v>73</v>
      </c>
      <c r="M1008" t="s">
        <v>45</v>
      </c>
      <c r="N1008" s="6" t="s">
        <v>1647</v>
      </c>
      <c r="O1008" t="str">
        <f t="shared" si="61"/>
        <v>Normal</v>
      </c>
      <c r="P1008" t="str">
        <f t="shared" si="62"/>
        <v>Duplicate ID</v>
      </c>
      <c r="Q1008" t="str">
        <f t="shared" si="63"/>
        <v>10,000-14,999</v>
      </c>
      <c r="R1008" s="6">
        <f>IF(COUNTIF($A$2:A1008,A1008)=1,1,0)</f>
        <v>0</v>
      </c>
    </row>
    <row r="1009" spans="1:18" x14ac:dyDescent="0.25">
      <c r="A1009" s="6">
        <v>1508</v>
      </c>
      <c r="B1009" s="7">
        <v>44301</v>
      </c>
      <c r="C1009" t="s">
        <v>1648</v>
      </c>
      <c r="D1009" s="6">
        <v>2014</v>
      </c>
      <c r="E1009" s="8">
        <v>11567</v>
      </c>
      <c r="F1009" s="8">
        <v>18000</v>
      </c>
      <c r="G1009" s="8">
        <f t="shared" si="60"/>
        <v>6433</v>
      </c>
      <c r="H1009" s="6">
        <v>80000</v>
      </c>
      <c r="I1009" t="s">
        <v>69</v>
      </c>
      <c r="J1009" t="s">
        <v>35</v>
      </c>
      <c r="K1009" t="s">
        <v>36</v>
      </c>
      <c r="L1009" t="s">
        <v>48</v>
      </c>
      <c r="M1009" t="s">
        <v>1647</v>
      </c>
      <c r="N1009" s="6">
        <v>2</v>
      </c>
      <c r="O1009" t="str">
        <f t="shared" si="61"/>
        <v>Normal</v>
      </c>
      <c r="P1009" t="str">
        <f t="shared" si="62"/>
        <v>Duplicate ID</v>
      </c>
      <c r="Q1009" t="str">
        <f t="shared" si="63"/>
        <v>10,000-14,999</v>
      </c>
      <c r="R1009" s="6">
        <f>IF(COUNTIF($A$2:A1009,A1009)=1,1,0)</f>
        <v>0</v>
      </c>
    </row>
    <row r="1010" spans="1:18" x14ac:dyDescent="0.25">
      <c r="A1010" s="6">
        <v>1081</v>
      </c>
      <c r="B1010" s="7">
        <v>45076</v>
      </c>
      <c r="C1010" t="s">
        <v>57</v>
      </c>
      <c r="D1010" s="6">
        <v>2022</v>
      </c>
      <c r="E1010" s="8">
        <v>8388</v>
      </c>
      <c r="F1010" s="8">
        <v>15000</v>
      </c>
      <c r="G1010" s="8">
        <f t="shared" si="60"/>
        <v>6612</v>
      </c>
      <c r="H1010" s="6">
        <v>15000</v>
      </c>
      <c r="I1010" t="s">
        <v>41</v>
      </c>
      <c r="J1010" t="s">
        <v>35</v>
      </c>
      <c r="K1010" t="s">
        <v>96</v>
      </c>
      <c r="L1010" t="s">
        <v>100</v>
      </c>
      <c r="M1010" t="s">
        <v>45</v>
      </c>
      <c r="N1010" s="6">
        <v>2</v>
      </c>
      <c r="O1010" t="str">
        <f t="shared" si="61"/>
        <v>Normal</v>
      </c>
      <c r="P1010" t="str">
        <f t="shared" si="62"/>
        <v>Duplicate ID</v>
      </c>
      <c r="Q1010" t="str">
        <f t="shared" si="63"/>
        <v>5,000-9,999</v>
      </c>
      <c r="R1010" s="6">
        <f>IF(COUNTIF($A$2:A1010,A1010)=1,1,0)</f>
        <v>0</v>
      </c>
    </row>
    <row r="1011" spans="1:18" x14ac:dyDescent="0.25">
      <c r="A1011" s="6">
        <v>1370</v>
      </c>
      <c r="B1011" s="7">
        <v>44532</v>
      </c>
      <c r="C1011" t="s">
        <v>1648</v>
      </c>
      <c r="D1011" s="6">
        <v>2016</v>
      </c>
      <c r="E1011" s="8">
        <v>19027</v>
      </c>
      <c r="F1011" s="8">
        <v>26000</v>
      </c>
      <c r="G1011" s="8">
        <f t="shared" si="60"/>
        <v>6973</v>
      </c>
      <c r="H1011" s="6">
        <v>25000</v>
      </c>
      <c r="I1011" t="s">
        <v>41</v>
      </c>
      <c r="J1011" t="s">
        <v>35</v>
      </c>
      <c r="K1011" t="s">
        <v>36</v>
      </c>
      <c r="L1011" t="s">
        <v>73</v>
      </c>
      <c r="M1011" t="s">
        <v>126</v>
      </c>
      <c r="N1011" s="6">
        <v>1</v>
      </c>
      <c r="O1011" t="str">
        <f t="shared" si="61"/>
        <v>Normal</v>
      </c>
      <c r="P1011" t="str">
        <f t="shared" si="62"/>
        <v>Duplicate ID</v>
      </c>
      <c r="Q1011" t="str">
        <f t="shared" si="63"/>
        <v>15,000-19,999</v>
      </c>
      <c r="R1011" s="6">
        <f>IF(COUNTIF($A$2:A1011,A1011)=1,1,0)</f>
        <v>0</v>
      </c>
    </row>
    <row r="1012" spans="1:18" x14ac:dyDescent="0.25">
      <c r="A1012" s="6">
        <v>1124</v>
      </c>
      <c r="B1012" s="7">
        <v>44888</v>
      </c>
      <c r="C1012" t="s">
        <v>40</v>
      </c>
      <c r="D1012" s="6">
        <v>2018</v>
      </c>
      <c r="E1012" s="8">
        <v>7304</v>
      </c>
      <c r="F1012" s="8">
        <v>12000</v>
      </c>
      <c r="G1012" s="8">
        <f t="shared" si="60"/>
        <v>4696</v>
      </c>
      <c r="H1012" s="6">
        <v>15000</v>
      </c>
      <c r="I1012" t="s">
        <v>41</v>
      </c>
      <c r="J1012" t="s">
        <v>72</v>
      </c>
      <c r="K1012" t="s">
        <v>1647</v>
      </c>
      <c r="L1012" t="s">
        <v>54</v>
      </c>
      <c r="M1012" t="s">
        <v>126</v>
      </c>
      <c r="N1012" s="6">
        <v>2</v>
      </c>
      <c r="O1012" t="str">
        <f t="shared" si="61"/>
        <v>Normal</v>
      </c>
      <c r="P1012" t="str">
        <f t="shared" si="62"/>
        <v>Duplicate ID</v>
      </c>
      <c r="Q1012" t="str">
        <f t="shared" si="63"/>
        <v>5,000-9,999</v>
      </c>
      <c r="R1012" s="6">
        <f>IF(COUNTIF($A$2:A1012,A1012)=1,1,0)</f>
        <v>0</v>
      </c>
    </row>
    <row r="1013" spans="1:18" x14ac:dyDescent="0.25">
      <c r="A1013" s="6">
        <v>1256</v>
      </c>
      <c r="B1013" s="7">
        <v>45313</v>
      </c>
      <c r="C1013" t="s">
        <v>40</v>
      </c>
      <c r="D1013" s="6">
        <v>2019</v>
      </c>
      <c r="E1013" s="8">
        <v>9450</v>
      </c>
      <c r="F1013" s="8">
        <v>12000</v>
      </c>
      <c r="G1013" s="8">
        <f t="shared" si="60"/>
        <v>2550</v>
      </c>
      <c r="H1013" s="6">
        <v>60000</v>
      </c>
      <c r="I1013" t="s">
        <v>41</v>
      </c>
      <c r="J1013" t="s">
        <v>35</v>
      </c>
      <c r="K1013" t="s">
        <v>36</v>
      </c>
      <c r="L1013" t="s">
        <v>100</v>
      </c>
      <c r="M1013" t="s">
        <v>45</v>
      </c>
      <c r="N1013" s="6">
        <v>1</v>
      </c>
      <c r="O1013" t="str">
        <f t="shared" si="61"/>
        <v>Normal</v>
      </c>
      <c r="P1013" t="str">
        <f t="shared" si="62"/>
        <v>Duplicate ID</v>
      </c>
      <c r="Q1013" t="str">
        <f t="shared" si="63"/>
        <v>5,000-9,999</v>
      </c>
      <c r="R1013" s="6">
        <f>IF(COUNTIF($A$2:A1013,A1013)=1,1,0)</f>
        <v>0</v>
      </c>
    </row>
    <row r="1014" spans="1:18" x14ac:dyDescent="0.25">
      <c r="A1014" s="6">
        <v>1442</v>
      </c>
      <c r="B1014" s="7">
        <v>44994</v>
      </c>
      <c r="C1014" t="s">
        <v>57</v>
      </c>
      <c r="D1014" s="6">
        <v>2021</v>
      </c>
      <c r="E1014" s="8">
        <v>18214</v>
      </c>
      <c r="F1014" s="8">
        <v>22000</v>
      </c>
      <c r="G1014" s="8">
        <f t="shared" si="60"/>
        <v>3786</v>
      </c>
      <c r="H1014" s="6">
        <v>15000</v>
      </c>
      <c r="I1014" t="s">
        <v>58</v>
      </c>
      <c r="J1014" t="s">
        <v>35</v>
      </c>
      <c r="K1014" t="s">
        <v>36</v>
      </c>
      <c r="L1014" t="s">
        <v>48</v>
      </c>
      <c r="M1014" t="s">
        <v>126</v>
      </c>
      <c r="N1014" s="6">
        <v>1</v>
      </c>
      <c r="O1014" t="str">
        <f t="shared" si="61"/>
        <v>Normal</v>
      </c>
      <c r="P1014" t="str">
        <f t="shared" si="62"/>
        <v>Duplicate ID</v>
      </c>
      <c r="Q1014" t="str">
        <f t="shared" si="63"/>
        <v>15,000-19,999</v>
      </c>
      <c r="R1014" s="6">
        <f>IF(COUNTIF($A$2:A1014,A1014)=1,1,0)</f>
        <v>1</v>
      </c>
    </row>
    <row r="1015" spans="1:18" x14ac:dyDescent="0.25">
      <c r="A1015" s="6">
        <v>1203</v>
      </c>
      <c r="B1015" s="7">
        <v>44952</v>
      </c>
      <c r="C1015" t="s">
        <v>1648</v>
      </c>
      <c r="D1015" s="6">
        <v>2022</v>
      </c>
      <c r="E1015" s="8">
        <v>27361</v>
      </c>
      <c r="F1015" s="8">
        <v>31000</v>
      </c>
      <c r="G1015" s="8">
        <f t="shared" si="60"/>
        <v>3639</v>
      </c>
      <c r="H1015" s="6">
        <v>60000</v>
      </c>
      <c r="I1015" t="s">
        <v>69</v>
      </c>
      <c r="J1015" t="s">
        <v>35</v>
      </c>
      <c r="K1015" t="s">
        <v>96</v>
      </c>
      <c r="L1015" t="s">
        <v>54</v>
      </c>
      <c r="M1015" t="s">
        <v>98</v>
      </c>
      <c r="N1015" s="6">
        <v>0</v>
      </c>
      <c r="O1015" t="str">
        <f t="shared" si="61"/>
        <v>Normal</v>
      </c>
      <c r="P1015" t="str">
        <f t="shared" si="62"/>
        <v>Duplicate ID</v>
      </c>
      <c r="Q1015" t="str">
        <f t="shared" si="63"/>
        <v>25,000-30,000</v>
      </c>
      <c r="R1015" s="6">
        <f>IF(COUNTIF($A$2:A1015,A1015)=1,1,0)</f>
        <v>0</v>
      </c>
    </row>
    <row r="1016" spans="1:18" x14ac:dyDescent="0.25">
      <c r="A1016" s="6">
        <v>1574</v>
      </c>
      <c r="B1016" s="7">
        <v>45263</v>
      </c>
      <c r="C1016" t="s">
        <v>51</v>
      </c>
      <c r="D1016" s="6">
        <v>2021</v>
      </c>
      <c r="E1016" s="8">
        <v>7214</v>
      </c>
      <c r="F1016" s="8">
        <v>9000</v>
      </c>
      <c r="G1016" s="8">
        <f t="shared" si="60"/>
        <v>1786</v>
      </c>
      <c r="H1016" s="6">
        <v>25000</v>
      </c>
      <c r="I1016" t="s">
        <v>69</v>
      </c>
      <c r="J1016" t="s">
        <v>35</v>
      </c>
      <c r="K1016" t="s">
        <v>1647</v>
      </c>
      <c r="L1016" t="s">
        <v>73</v>
      </c>
      <c r="M1016" t="s">
        <v>45</v>
      </c>
      <c r="N1016" s="6">
        <v>1</v>
      </c>
      <c r="O1016" t="str">
        <f t="shared" si="61"/>
        <v>Normal</v>
      </c>
      <c r="P1016" t="str">
        <f t="shared" si="62"/>
        <v>Duplicate ID</v>
      </c>
      <c r="Q1016" t="str">
        <f t="shared" si="63"/>
        <v>5,000-9,999</v>
      </c>
      <c r="R1016" s="6">
        <f>IF(COUNTIF($A$2:A1016,A1016)=1,1,0)</f>
        <v>0</v>
      </c>
    </row>
    <row r="1017" spans="1:18" x14ac:dyDescent="0.25">
      <c r="A1017" s="6">
        <v>1056</v>
      </c>
      <c r="B1017" s="7">
        <v>44415</v>
      </c>
      <c r="C1017" t="s">
        <v>51</v>
      </c>
      <c r="D1017" s="6">
        <v>2022</v>
      </c>
      <c r="E1017" s="8">
        <v>24682</v>
      </c>
      <c r="F1017" s="8">
        <v>26000</v>
      </c>
      <c r="G1017" s="8">
        <f t="shared" si="60"/>
        <v>1318</v>
      </c>
      <c r="H1017" s="6">
        <v>40000</v>
      </c>
      <c r="I1017" t="s">
        <v>69</v>
      </c>
      <c r="J1017" t="s">
        <v>72</v>
      </c>
      <c r="K1017" t="s">
        <v>36</v>
      </c>
      <c r="L1017" t="s">
        <v>54</v>
      </c>
      <c r="M1017" t="s">
        <v>45</v>
      </c>
      <c r="N1017" s="6">
        <v>3</v>
      </c>
      <c r="O1017" t="str">
        <f t="shared" si="61"/>
        <v>Normal</v>
      </c>
      <c r="P1017" t="str">
        <f t="shared" si="62"/>
        <v>Duplicate ID</v>
      </c>
      <c r="Q1017" t="str">
        <f t="shared" si="63"/>
        <v>20,000-24,999</v>
      </c>
      <c r="R1017" s="6">
        <f>IF(COUNTIF($A$2:A1017,A1017)=1,1,0)</f>
        <v>0</v>
      </c>
    </row>
    <row r="1018" spans="1:18" x14ac:dyDescent="0.25">
      <c r="A1018" s="6">
        <v>1307</v>
      </c>
      <c r="B1018" s="7">
        <v>44828</v>
      </c>
      <c r="C1018" t="s">
        <v>40</v>
      </c>
      <c r="D1018" s="6">
        <v>2022</v>
      </c>
      <c r="E1018" s="8">
        <v>16919</v>
      </c>
      <c r="F1018" s="8">
        <v>22000</v>
      </c>
      <c r="G1018" s="8">
        <f t="shared" si="60"/>
        <v>5081</v>
      </c>
      <c r="H1018" s="6">
        <v>15000</v>
      </c>
      <c r="I1018" t="s">
        <v>58</v>
      </c>
      <c r="J1018" t="s">
        <v>35</v>
      </c>
      <c r="K1018" t="s">
        <v>36</v>
      </c>
      <c r="L1018" t="s">
        <v>1647</v>
      </c>
      <c r="M1018" t="s">
        <v>126</v>
      </c>
      <c r="N1018" s="6">
        <v>2</v>
      </c>
      <c r="O1018" t="str">
        <f t="shared" si="61"/>
        <v>Normal</v>
      </c>
      <c r="P1018" t="str">
        <f t="shared" si="62"/>
        <v>Duplicate ID</v>
      </c>
      <c r="Q1018" t="str">
        <f t="shared" si="63"/>
        <v>15,000-19,999</v>
      </c>
      <c r="R1018" s="6">
        <f>IF(COUNTIF($A$2:A1018,A1018)=1,1,0)</f>
        <v>1</v>
      </c>
    </row>
    <row r="1019" spans="1:18" x14ac:dyDescent="0.25">
      <c r="A1019" s="6">
        <v>1187</v>
      </c>
      <c r="B1019" s="7">
        <v>44450</v>
      </c>
      <c r="C1019" t="s">
        <v>32</v>
      </c>
      <c r="D1019" s="6">
        <v>2015</v>
      </c>
      <c r="E1019" s="8">
        <v>14393</v>
      </c>
      <c r="F1019" s="8">
        <v>18000</v>
      </c>
      <c r="G1019" s="8">
        <f t="shared" si="60"/>
        <v>3607</v>
      </c>
      <c r="H1019" s="6">
        <v>40000</v>
      </c>
      <c r="I1019" t="s">
        <v>41</v>
      </c>
      <c r="J1019" t="s">
        <v>72</v>
      </c>
      <c r="K1019" t="s">
        <v>96</v>
      </c>
      <c r="L1019" t="s">
        <v>1647</v>
      </c>
      <c r="M1019" t="s">
        <v>1647</v>
      </c>
      <c r="N1019" s="6">
        <v>0</v>
      </c>
      <c r="O1019" t="str">
        <f t="shared" si="61"/>
        <v>Normal</v>
      </c>
      <c r="P1019" t="str">
        <f t="shared" si="62"/>
        <v>Duplicate ID</v>
      </c>
      <c r="Q1019" t="str">
        <f t="shared" si="63"/>
        <v>10,000-14,999</v>
      </c>
      <c r="R1019" s="6">
        <f>IF(COUNTIF($A$2:A1019,A1019)=1,1,0)</f>
        <v>1</v>
      </c>
    </row>
    <row r="1020" spans="1:18" x14ac:dyDescent="0.25">
      <c r="A1020" s="6">
        <v>1319</v>
      </c>
      <c r="B1020" s="7">
        <v>44280</v>
      </c>
      <c r="C1020" t="s">
        <v>51</v>
      </c>
      <c r="D1020" s="6">
        <v>2022</v>
      </c>
      <c r="E1020" s="8">
        <v>13694</v>
      </c>
      <c r="F1020" s="8">
        <v>18000</v>
      </c>
      <c r="G1020" s="8">
        <f t="shared" si="60"/>
        <v>4306</v>
      </c>
      <c r="H1020" s="6">
        <v>15000</v>
      </c>
      <c r="I1020" t="s">
        <v>69</v>
      </c>
      <c r="J1020" t="s">
        <v>35</v>
      </c>
      <c r="K1020" t="s">
        <v>36</v>
      </c>
      <c r="L1020" t="s">
        <v>73</v>
      </c>
      <c r="M1020" t="s">
        <v>126</v>
      </c>
      <c r="N1020" s="6" t="s">
        <v>1647</v>
      </c>
      <c r="O1020" t="str">
        <f t="shared" si="61"/>
        <v>Normal</v>
      </c>
      <c r="P1020" t="str">
        <f t="shared" si="62"/>
        <v>Duplicate ID</v>
      </c>
      <c r="Q1020" t="str">
        <f t="shared" si="63"/>
        <v>10,000-14,999</v>
      </c>
      <c r="R1020" s="6">
        <f>IF(COUNTIF($A$2:A1020,A1020)=1,1,0)</f>
        <v>0</v>
      </c>
    </row>
    <row r="1021" spans="1:18" x14ac:dyDescent="0.25">
      <c r="A1021" s="6">
        <v>1415</v>
      </c>
      <c r="B1021" s="7">
        <v>44936</v>
      </c>
      <c r="C1021" t="s">
        <v>40</v>
      </c>
      <c r="D1021" s="6">
        <v>2015</v>
      </c>
      <c r="E1021" s="8">
        <v>26157</v>
      </c>
      <c r="F1021" s="8">
        <v>31000</v>
      </c>
      <c r="G1021" s="8">
        <f t="shared" si="60"/>
        <v>4843</v>
      </c>
      <c r="H1021" s="6">
        <v>15000</v>
      </c>
      <c r="I1021" t="s">
        <v>58</v>
      </c>
      <c r="J1021" t="s">
        <v>35</v>
      </c>
      <c r="K1021" t="s">
        <v>96</v>
      </c>
      <c r="L1021" t="s">
        <v>100</v>
      </c>
      <c r="M1021" t="s">
        <v>90</v>
      </c>
      <c r="N1021" s="6" t="s">
        <v>1647</v>
      </c>
      <c r="O1021" t="str">
        <f t="shared" si="61"/>
        <v>Normal</v>
      </c>
      <c r="P1021" t="str">
        <f t="shared" si="62"/>
        <v>Duplicate ID</v>
      </c>
      <c r="Q1021" t="str">
        <f t="shared" si="63"/>
        <v>25,000-30,000</v>
      </c>
      <c r="R1021" s="6">
        <f>IF(COUNTIF($A$2:A1021,A1021)=1,1,0)</f>
        <v>0</v>
      </c>
    </row>
    <row r="1022" spans="1:18" x14ac:dyDescent="0.25">
      <c r="A1022" s="6">
        <v>1173</v>
      </c>
      <c r="B1022" s="7">
        <v>44456</v>
      </c>
      <c r="C1022" t="s">
        <v>32</v>
      </c>
      <c r="D1022" s="6">
        <v>2018</v>
      </c>
      <c r="E1022" s="8">
        <v>4211</v>
      </c>
      <c r="F1022" s="8">
        <v>7000</v>
      </c>
      <c r="G1022" s="8">
        <f t="shared" si="60"/>
        <v>2789</v>
      </c>
      <c r="H1022" s="6">
        <v>60000</v>
      </c>
      <c r="I1022" t="s">
        <v>58</v>
      </c>
      <c r="J1022" t="s">
        <v>72</v>
      </c>
      <c r="K1022" t="s">
        <v>36</v>
      </c>
      <c r="L1022" t="s">
        <v>1647</v>
      </c>
      <c r="M1022" t="s">
        <v>45</v>
      </c>
      <c r="N1022" s="6" t="s">
        <v>1647</v>
      </c>
      <c r="O1022" t="str">
        <f t="shared" si="61"/>
        <v>Normal</v>
      </c>
      <c r="P1022" t="str">
        <f t="shared" si="62"/>
        <v>Duplicate ID</v>
      </c>
      <c r="Q1022" t="str">
        <f t="shared" si="63"/>
        <v>0-4,999</v>
      </c>
      <c r="R1022" s="6">
        <f>IF(COUNTIF($A$2:A1022,A1022)=1,1,0)</f>
        <v>0</v>
      </c>
    </row>
    <row r="1023" spans="1:18" x14ac:dyDescent="0.25">
      <c r="A1023" s="6">
        <v>1397</v>
      </c>
      <c r="B1023" s="7">
        <v>44629</v>
      </c>
      <c r="C1023" t="s">
        <v>57</v>
      </c>
      <c r="D1023" s="6">
        <v>2021</v>
      </c>
      <c r="E1023" s="8">
        <v>10480</v>
      </c>
      <c r="F1023" s="8">
        <v>15000</v>
      </c>
      <c r="G1023" s="8">
        <f t="shared" si="60"/>
        <v>4520</v>
      </c>
      <c r="H1023" s="6">
        <v>15000</v>
      </c>
      <c r="I1023" t="s">
        <v>34</v>
      </c>
      <c r="J1023" t="s">
        <v>1647</v>
      </c>
      <c r="K1023" t="s">
        <v>96</v>
      </c>
      <c r="L1023" t="s">
        <v>54</v>
      </c>
      <c r="M1023" t="s">
        <v>45</v>
      </c>
      <c r="N1023" s="6">
        <v>1</v>
      </c>
      <c r="O1023" t="str">
        <f t="shared" si="61"/>
        <v>Normal</v>
      </c>
      <c r="P1023" t="str">
        <f t="shared" si="62"/>
        <v>Duplicate ID</v>
      </c>
      <c r="Q1023" t="str">
        <f t="shared" si="63"/>
        <v>10,000-14,999</v>
      </c>
      <c r="R1023" s="6">
        <f>IF(COUNTIF($A$2:A1023,A1023)=1,1,0)</f>
        <v>0</v>
      </c>
    </row>
    <row r="1024" spans="1:18" x14ac:dyDescent="0.25">
      <c r="A1024" s="6">
        <v>1001</v>
      </c>
      <c r="B1024" s="7">
        <v>45216</v>
      </c>
      <c r="C1024" t="s">
        <v>32</v>
      </c>
      <c r="D1024" s="6">
        <v>2020</v>
      </c>
      <c r="E1024" s="8">
        <v>12042</v>
      </c>
      <c r="F1024" s="8">
        <v>18000</v>
      </c>
      <c r="G1024" s="8">
        <f t="shared" si="60"/>
        <v>5958</v>
      </c>
      <c r="H1024" s="6">
        <v>120000</v>
      </c>
      <c r="I1024" t="s">
        <v>69</v>
      </c>
      <c r="J1024" t="s">
        <v>35</v>
      </c>
      <c r="K1024" t="s">
        <v>1647</v>
      </c>
      <c r="L1024" t="s">
        <v>100</v>
      </c>
      <c r="M1024" t="s">
        <v>126</v>
      </c>
      <c r="N1024" s="6">
        <v>1</v>
      </c>
      <c r="O1024" t="str">
        <f t="shared" si="61"/>
        <v>Normal</v>
      </c>
      <c r="P1024" t="str">
        <f t="shared" si="62"/>
        <v>Duplicate ID</v>
      </c>
      <c r="Q1024" t="str">
        <f t="shared" si="63"/>
        <v>10,000-14,999</v>
      </c>
      <c r="R1024" s="6">
        <f>IF(COUNTIF($A$2:A1024,A1024)=1,1,0)</f>
        <v>1</v>
      </c>
    </row>
    <row r="1025" spans="1:18" x14ac:dyDescent="0.25">
      <c r="A1025" s="6">
        <v>1404</v>
      </c>
      <c r="B1025" s="7">
        <v>44344</v>
      </c>
      <c r="C1025" t="s">
        <v>32</v>
      </c>
      <c r="D1025" s="6">
        <v>2014</v>
      </c>
      <c r="E1025" s="8">
        <v>13619</v>
      </c>
      <c r="F1025" s="8">
        <v>15000</v>
      </c>
      <c r="G1025" s="8">
        <f t="shared" si="60"/>
        <v>1381</v>
      </c>
      <c r="H1025" s="6">
        <v>25000</v>
      </c>
      <c r="I1025" t="s">
        <v>41</v>
      </c>
      <c r="J1025" t="s">
        <v>35</v>
      </c>
      <c r="K1025" t="s">
        <v>36</v>
      </c>
      <c r="L1025" t="s">
        <v>73</v>
      </c>
      <c r="M1025" t="s">
        <v>98</v>
      </c>
      <c r="N1025" s="6">
        <v>0</v>
      </c>
      <c r="O1025" t="str">
        <f t="shared" si="61"/>
        <v>Normal</v>
      </c>
      <c r="P1025" t="str">
        <f t="shared" si="62"/>
        <v>Duplicate ID</v>
      </c>
      <c r="Q1025" t="str">
        <f t="shared" si="63"/>
        <v>10,000-14,999</v>
      </c>
      <c r="R1025" s="6">
        <f>IF(COUNTIF($A$2:A1025,A1025)=1,1,0)</f>
        <v>1</v>
      </c>
    </row>
    <row r="1026" spans="1:18" x14ac:dyDescent="0.25">
      <c r="A1026" s="6">
        <v>1377</v>
      </c>
      <c r="B1026" s="7">
        <v>44449</v>
      </c>
      <c r="C1026" t="s">
        <v>51</v>
      </c>
      <c r="D1026" s="6">
        <v>2017</v>
      </c>
      <c r="E1026" s="8">
        <v>28796</v>
      </c>
      <c r="F1026" s="8">
        <v>31000</v>
      </c>
      <c r="G1026" s="8">
        <f t="shared" ref="G1026:G1089" si="64">IF(OR(F1026="",E1026=""),"",F1026-E1026)</f>
        <v>2204</v>
      </c>
      <c r="H1026" s="6">
        <v>25000</v>
      </c>
      <c r="I1026" t="s">
        <v>69</v>
      </c>
      <c r="J1026" t="s">
        <v>72</v>
      </c>
      <c r="K1026" t="s">
        <v>36</v>
      </c>
      <c r="L1026" t="s">
        <v>100</v>
      </c>
      <c r="M1026" t="s">
        <v>90</v>
      </c>
      <c r="N1026" s="6">
        <v>3</v>
      </c>
      <c r="O1026" t="str">
        <f t="shared" ref="O1026:O1089" si="65">IF(E1026&lt;1000,"Outlier","Normal")</f>
        <v>Normal</v>
      </c>
      <c r="P1026" t="str">
        <f t="shared" ref="P1026:P1089" si="66">IF(COUNTIF($A$2:$A$2501,A1026)&gt;1,"Duplicate ID","Unique ID")</f>
        <v>Duplicate ID</v>
      </c>
      <c r="Q1026" t="str">
        <f t="shared" ref="Q1026:Q1089" si="67">IF(E1026&lt;5000,"0-4,999",IF(E1026&lt;10000,"5,000-9,999",IF(E1026&lt;15000,"10,000-14,999",IF(E1026&lt;20000,"15,000-19,999",IF(E1026&lt;25000,"20,000-24,999","25,000-30,000")))))</f>
        <v>25,000-30,000</v>
      </c>
      <c r="R1026" s="6">
        <f>IF(COUNTIF($A$2:A1026,A1026)=1,1,0)</f>
        <v>0</v>
      </c>
    </row>
    <row r="1027" spans="1:18" x14ac:dyDescent="0.25">
      <c r="A1027" s="6">
        <v>1447</v>
      </c>
      <c r="B1027" s="7">
        <v>44757</v>
      </c>
      <c r="C1027" t="s">
        <v>79</v>
      </c>
      <c r="D1027" s="6">
        <v>2017</v>
      </c>
      <c r="E1027" s="8">
        <v>9995</v>
      </c>
      <c r="F1027" s="8">
        <v>15000</v>
      </c>
      <c r="G1027" s="8">
        <f t="shared" si="64"/>
        <v>5005</v>
      </c>
      <c r="H1027" s="6">
        <v>60000</v>
      </c>
      <c r="I1027" t="s">
        <v>41</v>
      </c>
      <c r="J1027" t="s">
        <v>35</v>
      </c>
      <c r="K1027" t="s">
        <v>96</v>
      </c>
      <c r="L1027" t="s">
        <v>1647</v>
      </c>
      <c r="M1027" t="s">
        <v>45</v>
      </c>
      <c r="N1027" s="6">
        <v>1</v>
      </c>
      <c r="O1027" t="str">
        <f t="shared" si="65"/>
        <v>Normal</v>
      </c>
      <c r="P1027" t="str">
        <f t="shared" si="66"/>
        <v>Duplicate ID</v>
      </c>
      <c r="Q1027" t="str">
        <f t="shared" si="67"/>
        <v>5,000-9,999</v>
      </c>
      <c r="R1027" s="6">
        <f>IF(COUNTIF($A$2:A1027,A1027)=1,1,0)</f>
        <v>0</v>
      </c>
    </row>
    <row r="1028" spans="1:18" x14ac:dyDescent="0.25">
      <c r="A1028" s="6">
        <v>1181</v>
      </c>
      <c r="B1028" s="7">
        <v>44769</v>
      </c>
      <c r="C1028" t="s">
        <v>1648</v>
      </c>
      <c r="D1028" s="6">
        <v>2015</v>
      </c>
      <c r="E1028" s="8">
        <v>14679</v>
      </c>
      <c r="F1028" s="8">
        <v>18000</v>
      </c>
      <c r="G1028" s="8">
        <f t="shared" si="64"/>
        <v>3321</v>
      </c>
      <c r="H1028" s="6">
        <v>25000</v>
      </c>
      <c r="I1028" t="s">
        <v>41</v>
      </c>
      <c r="J1028" t="s">
        <v>1647</v>
      </c>
      <c r="K1028" t="s">
        <v>96</v>
      </c>
      <c r="L1028" t="s">
        <v>54</v>
      </c>
      <c r="M1028" t="s">
        <v>45</v>
      </c>
      <c r="N1028" s="6">
        <v>1</v>
      </c>
      <c r="O1028" t="str">
        <f t="shared" si="65"/>
        <v>Normal</v>
      </c>
      <c r="P1028" t="str">
        <f t="shared" si="66"/>
        <v>Duplicate ID</v>
      </c>
      <c r="Q1028" t="str">
        <f t="shared" si="67"/>
        <v>10,000-14,999</v>
      </c>
      <c r="R1028" s="6">
        <f>IF(COUNTIF($A$2:A1028,A1028)=1,1,0)</f>
        <v>0</v>
      </c>
    </row>
    <row r="1029" spans="1:18" x14ac:dyDescent="0.25">
      <c r="A1029" s="6">
        <v>1164</v>
      </c>
      <c r="B1029" s="7">
        <v>44749</v>
      </c>
      <c r="C1029" t="s">
        <v>1648</v>
      </c>
      <c r="D1029" s="6">
        <v>2017</v>
      </c>
      <c r="E1029" s="8">
        <v>13801</v>
      </c>
      <c r="F1029" s="8">
        <v>18000</v>
      </c>
      <c r="G1029" s="8">
        <f t="shared" si="64"/>
        <v>4199</v>
      </c>
      <c r="H1029" s="6">
        <v>60000</v>
      </c>
      <c r="I1029" t="s">
        <v>58</v>
      </c>
      <c r="J1029" t="s">
        <v>72</v>
      </c>
      <c r="K1029" t="s">
        <v>96</v>
      </c>
      <c r="L1029" t="s">
        <v>100</v>
      </c>
      <c r="M1029" t="s">
        <v>1647</v>
      </c>
      <c r="N1029" s="6" t="s">
        <v>1647</v>
      </c>
      <c r="O1029" t="str">
        <f t="shared" si="65"/>
        <v>Normal</v>
      </c>
      <c r="P1029" t="str">
        <f t="shared" si="66"/>
        <v>Duplicate ID</v>
      </c>
      <c r="Q1029" t="str">
        <f t="shared" si="67"/>
        <v>10,000-14,999</v>
      </c>
      <c r="R1029" s="6">
        <f>IF(COUNTIF($A$2:A1029,A1029)=1,1,0)</f>
        <v>0</v>
      </c>
    </row>
    <row r="1030" spans="1:18" x14ac:dyDescent="0.25">
      <c r="A1030" s="6">
        <v>1260</v>
      </c>
      <c r="B1030" s="7">
        <v>45266</v>
      </c>
      <c r="C1030" t="s">
        <v>32</v>
      </c>
      <c r="D1030" s="6">
        <v>2015</v>
      </c>
      <c r="E1030" s="8">
        <v>13963</v>
      </c>
      <c r="F1030" s="8">
        <v>18000</v>
      </c>
      <c r="G1030" s="8">
        <f t="shared" si="64"/>
        <v>4037</v>
      </c>
      <c r="H1030" s="6">
        <v>120000</v>
      </c>
      <c r="I1030" t="s">
        <v>69</v>
      </c>
      <c r="J1030" t="s">
        <v>72</v>
      </c>
      <c r="K1030" t="s">
        <v>36</v>
      </c>
      <c r="L1030" t="s">
        <v>73</v>
      </c>
      <c r="M1030" t="s">
        <v>126</v>
      </c>
      <c r="N1030" s="6">
        <v>1</v>
      </c>
      <c r="O1030" t="str">
        <f t="shared" si="65"/>
        <v>Normal</v>
      </c>
      <c r="P1030" t="str">
        <f t="shared" si="66"/>
        <v>Duplicate ID</v>
      </c>
      <c r="Q1030" t="str">
        <f t="shared" si="67"/>
        <v>10,000-14,999</v>
      </c>
      <c r="R1030" s="6">
        <f>IF(COUNTIF($A$2:A1030,A1030)=1,1,0)</f>
        <v>0</v>
      </c>
    </row>
    <row r="1031" spans="1:18" x14ac:dyDescent="0.25">
      <c r="A1031" s="6">
        <v>1542</v>
      </c>
      <c r="B1031" s="7">
        <v>45373</v>
      </c>
      <c r="C1031" t="s">
        <v>51</v>
      </c>
      <c r="D1031" s="6">
        <v>2018</v>
      </c>
      <c r="E1031" s="8">
        <v>9446</v>
      </c>
      <c r="F1031" s="8">
        <v>15000</v>
      </c>
      <c r="G1031" s="8">
        <f t="shared" si="64"/>
        <v>5554</v>
      </c>
      <c r="H1031" s="6">
        <v>120000</v>
      </c>
      <c r="I1031" t="s">
        <v>41</v>
      </c>
      <c r="J1031" t="s">
        <v>35</v>
      </c>
      <c r="K1031" t="s">
        <v>36</v>
      </c>
      <c r="L1031" t="s">
        <v>54</v>
      </c>
      <c r="M1031" t="s">
        <v>1647</v>
      </c>
      <c r="N1031" s="6">
        <v>3</v>
      </c>
      <c r="O1031" t="str">
        <f t="shared" si="65"/>
        <v>Normal</v>
      </c>
      <c r="P1031" t="str">
        <f t="shared" si="66"/>
        <v>Duplicate ID</v>
      </c>
      <c r="Q1031" t="str">
        <f t="shared" si="67"/>
        <v>5,000-9,999</v>
      </c>
      <c r="R1031" s="6">
        <f>IF(COUNTIF($A$2:A1031,A1031)=1,1,0)</f>
        <v>0</v>
      </c>
    </row>
    <row r="1032" spans="1:18" x14ac:dyDescent="0.25">
      <c r="A1032" s="6">
        <v>1313</v>
      </c>
      <c r="B1032" s="7">
        <v>44419</v>
      </c>
      <c r="C1032" t="s">
        <v>51</v>
      </c>
      <c r="D1032" s="6">
        <v>2014</v>
      </c>
      <c r="E1032" s="8">
        <v>28466</v>
      </c>
      <c r="F1032" s="8">
        <v>31000</v>
      </c>
      <c r="G1032" s="8">
        <f t="shared" si="64"/>
        <v>2534</v>
      </c>
      <c r="H1032" s="6">
        <v>25000</v>
      </c>
      <c r="I1032" t="s">
        <v>69</v>
      </c>
      <c r="J1032" t="s">
        <v>1647</v>
      </c>
      <c r="K1032" t="s">
        <v>36</v>
      </c>
      <c r="L1032" t="s">
        <v>48</v>
      </c>
      <c r="M1032" t="s">
        <v>45</v>
      </c>
      <c r="N1032" s="6">
        <v>0</v>
      </c>
      <c r="O1032" t="str">
        <f t="shared" si="65"/>
        <v>Normal</v>
      </c>
      <c r="P1032" t="str">
        <f t="shared" si="66"/>
        <v>Duplicate ID</v>
      </c>
      <c r="Q1032" t="str">
        <f t="shared" si="67"/>
        <v>25,000-30,000</v>
      </c>
      <c r="R1032" s="6">
        <f>IF(COUNTIF($A$2:A1032,A1032)=1,1,0)</f>
        <v>0</v>
      </c>
    </row>
    <row r="1033" spans="1:18" x14ac:dyDescent="0.25">
      <c r="A1033" s="6">
        <v>1344</v>
      </c>
      <c r="B1033" s="7">
        <v>44290</v>
      </c>
      <c r="C1033" t="s">
        <v>79</v>
      </c>
      <c r="D1033" s="6">
        <v>2021</v>
      </c>
      <c r="E1033" s="8">
        <v>11340</v>
      </c>
      <c r="F1033" s="8">
        <v>15000</v>
      </c>
      <c r="G1033" s="8">
        <f t="shared" si="64"/>
        <v>3660</v>
      </c>
      <c r="H1033" s="6">
        <v>25000</v>
      </c>
      <c r="I1033" t="s">
        <v>1647</v>
      </c>
      <c r="J1033" t="s">
        <v>35</v>
      </c>
      <c r="K1033" t="s">
        <v>96</v>
      </c>
      <c r="L1033" t="s">
        <v>1647</v>
      </c>
      <c r="M1033" t="s">
        <v>126</v>
      </c>
      <c r="N1033" s="6">
        <v>0</v>
      </c>
      <c r="O1033" t="str">
        <f t="shared" si="65"/>
        <v>Normal</v>
      </c>
      <c r="P1033" t="str">
        <f t="shared" si="66"/>
        <v>Duplicate ID</v>
      </c>
      <c r="Q1033" t="str">
        <f t="shared" si="67"/>
        <v>10,000-14,999</v>
      </c>
      <c r="R1033" s="6">
        <f>IF(COUNTIF($A$2:A1033,A1033)=1,1,0)</f>
        <v>0</v>
      </c>
    </row>
    <row r="1034" spans="1:18" x14ac:dyDescent="0.25">
      <c r="A1034" s="6">
        <v>1209</v>
      </c>
      <c r="B1034" s="7">
        <v>44286</v>
      </c>
      <c r="C1034" t="s">
        <v>32</v>
      </c>
      <c r="D1034" s="6"/>
      <c r="E1034" s="8">
        <v>7636</v>
      </c>
      <c r="F1034" s="8">
        <v>12000</v>
      </c>
      <c r="G1034" s="8">
        <f t="shared" si="64"/>
        <v>4364</v>
      </c>
      <c r="H1034" s="6">
        <v>25000</v>
      </c>
      <c r="I1034" t="s">
        <v>41</v>
      </c>
      <c r="J1034" t="s">
        <v>1647</v>
      </c>
      <c r="K1034" t="s">
        <v>96</v>
      </c>
      <c r="L1034" t="s">
        <v>100</v>
      </c>
      <c r="M1034" t="s">
        <v>90</v>
      </c>
      <c r="N1034" s="6">
        <v>1</v>
      </c>
      <c r="O1034" t="str">
        <f t="shared" si="65"/>
        <v>Normal</v>
      </c>
      <c r="P1034" t="str">
        <f t="shared" si="66"/>
        <v>Duplicate ID</v>
      </c>
      <c r="Q1034" t="str">
        <f t="shared" si="67"/>
        <v>5,000-9,999</v>
      </c>
      <c r="R1034" s="6">
        <f>IF(COUNTIF($A$2:A1034,A1034)=1,1,0)</f>
        <v>0</v>
      </c>
    </row>
    <row r="1035" spans="1:18" x14ac:dyDescent="0.25">
      <c r="A1035" s="6">
        <v>1418</v>
      </c>
      <c r="B1035" s="7">
        <v>44220</v>
      </c>
      <c r="C1035" t="s">
        <v>57</v>
      </c>
      <c r="D1035" s="6">
        <v>2019</v>
      </c>
      <c r="E1035" s="8">
        <v>5900</v>
      </c>
      <c r="F1035" s="8">
        <v>9000</v>
      </c>
      <c r="G1035" s="8">
        <f t="shared" si="64"/>
        <v>3100</v>
      </c>
      <c r="H1035" s="6">
        <v>15000</v>
      </c>
      <c r="I1035" t="s">
        <v>1647</v>
      </c>
      <c r="J1035" t="s">
        <v>35</v>
      </c>
      <c r="K1035" t="s">
        <v>36</v>
      </c>
      <c r="L1035" t="s">
        <v>54</v>
      </c>
      <c r="M1035" t="s">
        <v>90</v>
      </c>
      <c r="N1035" s="6" t="s">
        <v>1647</v>
      </c>
      <c r="O1035" t="str">
        <f t="shared" si="65"/>
        <v>Normal</v>
      </c>
      <c r="P1035" t="str">
        <f t="shared" si="66"/>
        <v>Duplicate ID</v>
      </c>
      <c r="Q1035" t="str">
        <f t="shared" si="67"/>
        <v>5,000-9,999</v>
      </c>
      <c r="R1035" s="6">
        <f>IF(COUNTIF($A$2:A1035,A1035)=1,1,0)</f>
        <v>0</v>
      </c>
    </row>
    <row r="1036" spans="1:18" x14ac:dyDescent="0.25">
      <c r="A1036" s="6">
        <v>1045</v>
      </c>
      <c r="B1036" s="7">
        <v>44690</v>
      </c>
      <c r="C1036" t="s">
        <v>32</v>
      </c>
      <c r="D1036" s="6">
        <v>2015</v>
      </c>
      <c r="E1036" s="8">
        <v>12602</v>
      </c>
      <c r="F1036" s="8">
        <v>18000</v>
      </c>
      <c r="G1036" s="8">
        <f t="shared" si="64"/>
        <v>5398</v>
      </c>
      <c r="H1036" s="6">
        <v>80000</v>
      </c>
      <c r="I1036" t="s">
        <v>41</v>
      </c>
      <c r="J1036" t="s">
        <v>72</v>
      </c>
      <c r="K1036" t="s">
        <v>36</v>
      </c>
      <c r="L1036" t="s">
        <v>48</v>
      </c>
      <c r="M1036" t="s">
        <v>45</v>
      </c>
      <c r="N1036" s="6">
        <v>0</v>
      </c>
      <c r="O1036" t="str">
        <f t="shared" si="65"/>
        <v>Normal</v>
      </c>
      <c r="P1036" t="str">
        <f t="shared" si="66"/>
        <v>Duplicate ID</v>
      </c>
      <c r="Q1036" t="str">
        <f t="shared" si="67"/>
        <v>10,000-14,999</v>
      </c>
      <c r="R1036" s="6">
        <f>IF(COUNTIF($A$2:A1036,A1036)=1,1,0)</f>
        <v>0</v>
      </c>
    </row>
    <row r="1037" spans="1:18" x14ac:dyDescent="0.25">
      <c r="A1037" s="6">
        <v>1437</v>
      </c>
      <c r="B1037" s="7">
        <v>44197</v>
      </c>
      <c r="C1037" t="s">
        <v>40</v>
      </c>
      <c r="D1037" s="6">
        <v>2022</v>
      </c>
      <c r="E1037" s="8">
        <v>11726</v>
      </c>
      <c r="F1037" s="8">
        <v>15000</v>
      </c>
      <c r="G1037" s="8">
        <f t="shared" si="64"/>
        <v>3274</v>
      </c>
      <c r="H1037" s="6">
        <v>80000</v>
      </c>
      <c r="I1037" t="s">
        <v>58</v>
      </c>
      <c r="J1037" t="s">
        <v>35</v>
      </c>
      <c r="K1037" t="s">
        <v>36</v>
      </c>
      <c r="L1037" t="s">
        <v>73</v>
      </c>
      <c r="M1037" t="s">
        <v>45</v>
      </c>
      <c r="N1037" s="6">
        <v>1</v>
      </c>
      <c r="O1037" t="str">
        <f t="shared" si="65"/>
        <v>Normal</v>
      </c>
      <c r="P1037" t="str">
        <f t="shared" si="66"/>
        <v>Duplicate ID</v>
      </c>
      <c r="Q1037" t="str">
        <f t="shared" si="67"/>
        <v>10,000-14,999</v>
      </c>
      <c r="R1037" s="6">
        <f>IF(COUNTIF($A$2:A1037,A1037)=1,1,0)</f>
        <v>0</v>
      </c>
    </row>
    <row r="1038" spans="1:18" x14ac:dyDescent="0.25">
      <c r="A1038" s="6">
        <v>1200</v>
      </c>
      <c r="B1038" s="7">
        <v>44564</v>
      </c>
      <c r="C1038" t="s">
        <v>57</v>
      </c>
      <c r="D1038" s="6">
        <v>2016</v>
      </c>
      <c r="E1038" s="8">
        <v>13630</v>
      </c>
      <c r="F1038" s="8">
        <v>15000</v>
      </c>
      <c r="G1038" s="8">
        <f t="shared" si="64"/>
        <v>1370</v>
      </c>
      <c r="H1038" s="6">
        <v>120000</v>
      </c>
      <c r="I1038" t="s">
        <v>41</v>
      </c>
      <c r="J1038" t="s">
        <v>72</v>
      </c>
      <c r="K1038" t="s">
        <v>36</v>
      </c>
      <c r="L1038" t="s">
        <v>100</v>
      </c>
      <c r="M1038" t="s">
        <v>126</v>
      </c>
      <c r="N1038" s="6">
        <v>0</v>
      </c>
      <c r="O1038" t="str">
        <f t="shared" si="65"/>
        <v>Normal</v>
      </c>
      <c r="P1038" t="str">
        <f t="shared" si="66"/>
        <v>Duplicate ID</v>
      </c>
      <c r="Q1038" t="str">
        <f t="shared" si="67"/>
        <v>10,000-14,999</v>
      </c>
      <c r="R1038" s="6">
        <f>IF(COUNTIF($A$2:A1038,A1038)=1,1,0)</f>
        <v>0</v>
      </c>
    </row>
    <row r="1039" spans="1:18" x14ac:dyDescent="0.25">
      <c r="A1039" s="6">
        <v>1064</v>
      </c>
      <c r="B1039" s="7">
        <v>44512</v>
      </c>
      <c r="C1039" t="s">
        <v>57</v>
      </c>
      <c r="D1039" s="6">
        <v>2019</v>
      </c>
      <c r="E1039" s="8">
        <v>13463</v>
      </c>
      <c r="F1039" s="8">
        <v>18000</v>
      </c>
      <c r="G1039" s="8">
        <f t="shared" si="64"/>
        <v>4537</v>
      </c>
      <c r="H1039" s="6">
        <v>120000</v>
      </c>
      <c r="I1039" t="s">
        <v>58</v>
      </c>
      <c r="J1039" t="s">
        <v>72</v>
      </c>
      <c r="K1039" t="s">
        <v>36</v>
      </c>
      <c r="L1039" t="s">
        <v>1647</v>
      </c>
      <c r="M1039" t="s">
        <v>90</v>
      </c>
      <c r="N1039" s="6">
        <v>3</v>
      </c>
      <c r="O1039" t="str">
        <f t="shared" si="65"/>
        <v>Normal</v>
      </c>
      <c r="P1039" t="str">
        <f t="shared" si="66"/>
        <v>Duplicate ID</v>
      </c>
      <c r="Q1039" t="str">
        <f t="shared" si="67"/>
        <v>10,000-14,999</v>
      </c>
      <c r="R1039" s="6">
        <f>IF(COUNTIF($A$2:A1039,A1039)=1,1,0)</f>
        <v>0</v>
      </c>
    </row>
    <row r="1040" spans="1:18" x14ac:dyDescent="0.25">
      <c r="A1040" s="6">
        <v>1425</v>
      </c>
      <c r="B1040" s="7">
        <v>44511</v>
      </c>
      <c r="C1040" t="s">
        <v>32</v>
      </c>
      <c r="D1040" s="6">
        <v>2015</v>
      </c>
      <c r="E1040" s="8">
        <v>10401</v>
      </c>
      <c r="F1040" s="8">
        <v>12000</v>
      </c>
      <c r="G1040" s="8">
        <f t="shared" si="64"/>
        <v>1599</v>
      </c>
      <c r="H1040" s="6">
        <v>25000</v>
      </c>
      <c r="I1040" t="s">
        <v>69</v>
      </c>
      <c r="J1040" t="s">
        <v>1647</v>
      </c>
      <c r="K1040" t="s">
        <v>1647</v>
      </c>
      <c r="L1040" t="s">
        <v>1647</v>
      </c>
      <c r="M1040" t="s">
        <v>45</v>
      </c>
      <c r="N1040" s="6">
        <v>3</v>
      </c>
      <c r="O1040" t="str">
        <f t="shared" si="65"/>
        <v>Normal</v>
      </c>
      <c r="P1040" t="str">
        <f t="shared" si="66"/>
        <v>Duplicate ID</v>
      </c>
      <c r="Q1040" t="str">
        <f t="shared" si="67"/>
        <v>10,000-14,999</v>
      </c>
      <c r="R1040" s="6">
        <f>IF(COUNTIF($A$2:A1040,A1040)=1,1,0)</f>
        <v>0</v>
      </c>
    </row>
    <row r="1041" spans="1:18" x14ac:dyDescent="0.25">
      <c r="A1041" s="6">
        <v>1455</v>
      </c>
      <c r="B1041" s="7">
        <v>44549</v>
      </c>
      <c r="C1041" t="s">
        <v>57</v>
      </c>
      <c r="D1041" s="6"/>
      <c r="E1041" s="8">
        <v>10520</v>
      </c>
      <c r="F1041" s="8">
        <v>15000</v>
      </c>
      <c r="G1041" s="8">
        <f t="shared" si="64"/>
        <v>4480</v>
      </c>
      <c r="H1041" s="6">
        <v>60000</v>
      </c>
      <c r="I1041" t="s">
        <v>41</v>
      </c>
      <c r="J1041" t="s">
        <v>35</v>
      </c>
      <c r="K1041" t="s">
        <v>96</v>
      </c>
      <c r="L1041" t="s">
        <v>54</v>
      </c>
      <c r="M1041" t="s">
        <v>98</v>
      </c>
      <c r="N1041" s="6" t="s">
        <v>1647</v>
      </c>
      <c r="O1041" t="str">
        <f t="shared" si="65"/>
        <v>Normal</v>
      </c>
      <c r="P1041" t="str">
        <f t="shared" si="66"/>
        <v>Duplicate ID</v>
      </c>
      <c r="Q1041" t="str">
        <f t="shared" si="67"/>
        <v>10,000-14,999</v>
      </c>
      <c r="R1041" s="6">
        <f>IF(COUNTIF($A$2:A1041,A1041)=1,1,0)</f>
        <v>0</v>
      </c>
    </row>
    <row r="1042" spans="1:18" x14ac:dyDescent="0.25">
      <c r="A1042" s="6">
        <v>1235</v>
      </c>
      <c r="B1042" s="7">
        <v>44307</v>
      </c>
      <c r="C1042" t="s">
        <v>1648</v>
      </c>
      <c r="D1042" s="6">
        <v>2015</v>
      </c>
      <c r="E1042" s="8">
        <v>6962</v>
      </c>
      <c r="F1042" s="8">
        <v>9000</v>
      </c>
      <c r="G1042" s="8">
        <f t="shared" si="64"/>
        <v>2038</v>
      </c>
      <c r="H1042" s="6">
        <v>120000</v>
      </c>
      <c r="I1042" t="s">
        <v>1647</v>
      </c>
      <c r="J1042" t="s">
        <v>72</v>
      </c>
      <c r="K1042" t="s">
        <v>1647</v>
      </c>
      <c r="L1042" t="s">
        <v>100</v>
      </c>
      <c r="M1042" t="s">
        <v>126</v>
      </c>
      <c r="N1042" s="6" t="s">
        <v>1647</v>
      </c>
      <c r="O1042" t="str">
        <f t="shared" si="65"/>
        <v>Normal</v>
      </c>
      <c r="P1042" t="str">
        <f t="shared" si="66"/>
        <v>Duplicate ID</v>
      </c>
      <c r="Q1042" t="str">
        <f t="shared" si="67"/>
        <v>5,000-9,999</v>
      </c>
      <c r="R1042" s="6">
        <f>IF(COUNTIF($A$2:A1042,A1042)=1,1,0)</f>
        <v>0</v>
      </c>
    </row>
    <row r="1043" spans="1:18" x14ac:dyDescent="0.25">
      <c r="A1043" s="6">
        <v>1520</v>
      </c>
      <c r="B1043" s="7">
        <v>44300</v>
      </c>
      <c r="C1043" t="s">
        <v>57</v>
      </c>
      <c r="D1043" s="6">
        <v>2022</v>
      </c>
      <c r="E1043" s="8">
        <v>12030</v>
      </c>
      <c r="F1043" s="8">
        <v>15000</v>
      </c>
      <c r="G1043" s="8">
        <f t="shared" si="64"/>
        <v>2970</v>
      </c>
      <c r="H1043" s="6">
        <v>25000</v>
      </c>
      <c r="I1043" t="s">
        <v>41</v>
      </c>
      <c r="J1043" t="s">
        <v>72</v>
      </c>
      <c r="K1043" t="s">
        <v>1647</v>
      </c>
      <c r="L1043" t="s">
        <v>1647</v>
      </c>
      <c r="M1043" t="s">
        <v>126</v>
      </c>
      <c r="N1043" s="6">
        <v>2</v>
      </c>
      <c r="O1043" t="str">
        <f t="shared" si="65"/>
        <v>Normal</v>
      </c>
      <c r="P1043" t="str">
        <f t="shared" si="66"/>
        <v>Duplicate ID</v>
      </c>
      <c r="Q1043" t="str">
        <f t="shared" si="67"/>
        <v>10,000-14,999</v>
      </c>
      <c r="R1043" s="6">
        <f>IF(COUNTIF($A$2:A1043,A1043)=1,1,0)</f>
        <v>1</v>
      </c>
    </row>
    <row r="1044" spans="1:18" x14ac:dyDescent="0.25">
      <c r="A1044" s="6">
        <v>1502</v>
      </c>
      <c r="B1044" s="7">
        <v>45072</v>
      </c>
      <c r="C1044" t="s">
        <v>119</v>
      </c>
      <c r="D1044" s="6">
        <v>2019</v>
      </c>
      <c r="E1044" s="8">
        <v>10640</v>
      </c>
      <c r="F1044" s="8">
        <v>12000</v>
      </c>
      <c r="G1044" s="8">
        <f t="shared" si="64"/>
        <v>1360</v>
      </c>
      <c r="H1044" s="6">
        <v>25000</v>
      </c>
      <c r="I1044" t="s">
        <v>58</v>
      </c>
      <c r="J1044" t="s">
        <v>35</v>
      </c>
      <c r="K1044" t="s">
        <v>1647</v>
      </c>
      <c r="L1044" t="s">
        <v>100</v>
      </c>
      <c r="M1044" t="s">
        <v>98</v>
      </c>
      <c r="N1044" s="6">
        <v>0</v>
      </c>
      <c r="O1044" t="str">
        <f t="shared" si="65"/>
        <v>Normal</v>
      </c>
      <c r="P1044" t="str">
        <f t="shared" si="66"/>
        <v>Duplicate ID</v>
      </c>
      <c r="Q1044" t="str">
        <f t="shared" si="67"/>
        <v>10,000-14,999</v>
      </c>
      <c r="R1044" s="6">
        <f>IF(COUNTIF($A$2:A1044,A1044)=1,1,0)</f>
        <v>0</v>
      </c>
    </row>
    <row r="1045" spans="1:18" x14ac:dyDescent="0.25">
      <c r="A1045" s="6">
        <v>1168</v>
      </c>
      <c r="B1045" s="7">
        <v>45140</v>
      </c>
      <c r="C1045" t="s">
        <v>1648</v>
      </c>
      <c r="D1045" s="6">
        <v>2018</v>
      </c>
      <c r="E1045" s="8">
        <v>5364</v>
      </c>
      <c r="F1045" s="8">
        <v>9000</v>
      </c>
      <c r="G1045" s="8">
        <f t="shared" si="64"/>
        <v>3636</v>
      </c>
      <c r="H1045" s="6">
        <v>120000</v>
      </c>
      <c r="I1045" t="s">
        <v>41</v>
      </c>
      <c r="J1045" t="s">
        <v>35</v>
      </c>
      <c r="K1045" t="s">
        <v>36</v>
      </c>
      <c r="L1045" t="s">
        <v>73</v>
      </c>
      <c r="M1045" t="s">
        <v>126</v>
      </c>
      <c r="N1045" s="6">
        <v>0</v>
      </c>
      <c r="O1045" t="str">
        <f t="shared" si="65"/>
        <v>Normal</v>
      </c>
      <c r="P1045" t="str">
        <f t="shared" si="66"/>
        <v>Duplicate ID</v>
      </c>
      <c r="Q1045" t="str">
        <f t="shared" si="67"/>
        <v>5,000-9,999</v>
      </c>
      <c r="R1045" s="6">
        <f>IF(COUNTIF($A$2:A1045,A1045)=1,1,0)</f>
        <v>0</v>
      </c>
    </row>
    <row r="1046" spans="1:18" x14ac:dyDescent="0.25">
      <c r="A1046" s="6">
        <v>1492</v>
      </c>
      <c r="B1046" s="7">
        <v>44586</v>
      </c>
      <c r="C1046" t="s">
        <v>51</v>
      </c>
      <c r="D1046" s="6">
        <v>2016</v>
      </c>
      <c r="E1046" s="8">
        <v>2365</v>
      </c>
      <c r="F1046" s="8">
        <v>9000</v>
      </c>
      <c r="G1046" s="8">
        <f t="shared" si="64"/>
        <v>6635</v>
      </c>
      <c r="H1046" s="6">
        <v>15000</v>
      </c>
      <c r="I1046" t="s">
        <v>69</v>
      </c>
      <c r="J1046" t="s">
        <v>35</v>
      </c>
      <c r="K1046" t="s">
        <v>1647</v>
      </c>
      <c r="L1046" t="s">
        <v>73</v>
      </c>
      <c r="M1046" t="s">
        <v>90</v>
      </c>
      <c r="N1046" s="6">
        <v>2</v>
      </c>
      <c r="O1046" t="str">
        <f t="shared" si="65"/>
        <v>Normal</v>
      </c>
      <c r="P1046" t="str">
        <f t="shared" si="66"/>
        <v>Duplicate ID</v>
      </c>
      <c r="Q1046" t="str">
        <f t="shared" si="67"/>
        <v>0-4,999</v>
      </c>
      <c r="R1046" s="6">
        <f>IF(COUNTIF($A$2:A1046,A1046)=1,1,0)</f>
        <v>0</v>
      </c>
    </row>
    <row r="1047" spans="1:18" x14ac:dyDescent="0.25">
      <c r="A1047" s="6">
        <v>1299</v>
      </c>
      <c r="B1047" s="7">
        <v>44790</v>
      </c>
      <c r="C1047" t="s">
        <v>51</v>
      </c>
      <c r="D1047" s="6">
        <v>2020</v>
      </c>
      <c r="E1047" s="8">
        <v>2712</v>
      </c>
      <c r="F1047" s="8">
        <v>9000</v>
      </c>
      <c r="G1047" s="8">
        <f t="shared" si="64"/>
        <v>6288</v>
      </c>
      <c r="H1047" s="6">
        <v>80000</v>
      </c>
      <c r="I1047" t="s">
        <v>1647</v>
      </c>
      <c r="J1047" t="s">
        <v>72</v>
      </c>
      <c r="K1047" t="s">
        <v>96</v>
      </c>
      <c r="L1047" t="s">
        <v>1647</v>
      </c>
      <c r="M1047" t="s">
        <v>126</v>
      </c>
      <c r="N1047" s="6">
        <v>1</v>
      </c>
      <c r="O1047" t="str">
        <f t="shared" si="65"/>
        <v>Normal</v>
      </c>
      <c r="P1047" t="str">
        <f t="shared" si="66"/>
        <v>Duplicate ID</v>
      </c>
      <c r="Q1047" t="str">
        <f t="shared" si="67"/>
        <v>0-4,999</v>
      </c>
      <c r="R1047" s="6">
        <f>IF(COUNTIF($A$2:A1047,A1047)=1,1,0)</f>
        <v>1</v>
      </c>
    </row>
    <row r="1048" spans="1:18" x14ac:dyDescent="0.25">
      <c r="A1048" s="6">
        <v>1041</v>
      </c>
      <c r="B1048" s="7">
        <v>45157</v>
      </c>
      <c r="C1048" t="s">
        <v>57</v>
      </c>
      <c r="D1048" s="6">
        <v>2018</v>
      </c>
      <c r="E1048" s="8">
        <v>2892</v>
      </c>
      <c r="F1048" s="8">
        <v>7000</v>
      </c>
      <c r="G1048" s="8">
        <f t="shared" si="64"/>
        <v>4108</v>
      </c>
      <c r="H1048" s="6">
        <v>40000</v>
      </c>
      <c r="I1048" t="s">
        <v>41</v>
      </c>
      <c r="J1048" t="s">
        <v>35</v>
      </c>
      <c r="K1048" t="s">
        <v>96</v>
      </c>
      <c r="L1048" t="s">
        <v>100</v>
      </c>
      <c r="M1048" t="s">
        <v>98</v>
      </c>
      <c r="N1048" s="6">
        <v>2</v>
      </c>
      <c r="O1048" t="str">
        <f t="shared" si="65"/>
        <v>Normal</v>
      </c>
      <c r="P1048" t="str">
        <f t="shared" si="66"/>
        <v>Duplicate ID</v>
      </c>
      <c r="Q1048" t="str">
        <f t="shared" si="67"/>
        <v>0-4,999</v>
      </c>
      <c r="R1048" s="6">
        <f>IF(COUNTIF($A$2:A1048,A1048)=1,1,0)</f>
        <v>0</v>
      </c>
    </row>
    <row r="1049" spans="1:18" x14ac:dyDescent="0.25">
      <c r="A1049" s="6">
        <v>1542</v>
      </c>
      <c r="B1049" s="7">
        <v>44760</v>
      </c>
      <c r="C1049" t="s">
        <v>51</v>
      </c>
      <c r="D1049" s="6">
        <v>2015</v>
      </c>
      <c r="E1049" s="8">
        <v>16774</v>
      </c>
      <c r="F1049" s="8">
        <v>22000</v>
      </c>
      <c r="G1049" s="8">
        <f t="shared" si="64"/>
        <v>5226</v>
      </c>
      <c r="H1049" s="6">
        <v>120000</v>
      </c>
      <c r="I1049" t="s">
        <v>34</v>
      </c>
      <c r="J1049" t="s">
        <v>35</v>
      </c>
      <c r="K1049" t="s">
        <v>96</v>
      </c>
      <c r="L1049" t="s">
        <v>1647</v>
      </c>
      <c r="M1049" t="s">
        <v>90</v>
      </c>
      <c r="N1049" s="6">
        <v>2</v>
      </c>
      <c r="O1049" t="str">
        <f t="shared" si="65"/>
        <v>Normal</v>
      </c>
      <c r="P1049" t="str">
        <f t="shared" si="66"/>
        <v>Duplicate ID</v>
      </c>
      <c r="Q1049" t="str">
        <f t="shared" si="67"/>
        <v>15,000-19,999</v>
      </c>
      <c r="R1049" s="6">
        <f>IF(COUNTIF($A$2:A1049,A1049)=1,1,0)</f>
        <v>0</v>
      </c>
    </row>
    <row r="1050" spans="1:18" x14ac:dyDescent="0.25">
      <c r="A1050" s="6">
        <v>1590</v>
      </c>
      <c r="B1050" s="7">
        <v>44545</v>
      </c>
      <c r="C1050" t="s">
        <v>79</v>
      </c>
      <c r="D1050" s="6">
        <v>2018</v>
      </c>
      <c r="E1050" s="8">
        <v>3460</v>
      </c>
      <c r="F1050" s="8">
        <v>7000</v>
      </c>
      <c r="G1050" s="8">
        <f t="shared" si="64"/>
        <v>3540</v>
      </c>
      <c r="H1050" s="6">
        <v>40000</v>
      </c>
      <c r="I1050" t="s">
        <v>1647</v>
      </c>
      <c r="J1050" t="s">
        <v>35</v>
      </c>
      <c r="K1050" t="s">
        <v>96</v>
      </c>
      <c r="L1050" t="s">
        <v>100</v>
      </c>
      <c r="M1050" t="s">
        <v>90</v>
      </c>
      <c r="N1050" s="6">
        <v>3</v>
      </c>
      <c r="O1050" t="str">
        <f t="shared" si="65"/>
        <v>Normal</v>
      </c>
      <c r="P1050" t="str">
        <f t="shared" si="66"/>
        <v>Duplicate ID</v>
      </c>
      <c r="Q1050" t="str">
        <f t="shared" si="67"/>
        <v>0-4,999</v>
      </c>
      <c r="R1050" s="6">
        <f>IF(COUNTIF($A$2:A1050,A1050)=1,1,0)</f>
        <v>0</v>
      </c>
    </row>
    <row r="1051" spans="1:18" x14ac:dyDescent="0.25">
      <c r="A1051" s="6">
        <v>1189</v>
      </c>
      <c r="B1051" s="7">
        <v>45273</v>
      </c>
      <c r="C1051" t="s">
        <v>1648</v>
      </c>
      <c r="D1051" s="6"/>
      <c r="E1051" s="8">
        <v>15885</v>
      </c>
      <c r="F1051" s="8">
        <v>22000</v>
      </c>
      <c r="G1051" s="8">
        <f t="shared" si="64"/>
        <v>6115</v>
      </c>
      <c r="H1051" s="6">
        <v>15000</v>
      </c>
      <c r="I1051" t="s">
        <v>41</v>
      </c>
      <c r="J1051" t="s">
        <v>72</v>
      </c>
      <c r="K1051" t="s">
        <v>96</v>
      </c>
      <c r="L1051" t="s">
        <v>1647</v>
      </c>
      <c r="M1051" t="s">
        <v>126</v>
      </c>
      <c r="N1051" s="6" t="s">
        <v>1647</v>
      </c>
      <c r="O1051" t="str">
        <f t="shared" si="65"/>
        <v>Normal</v>
      </c>
      <c r="P1051" t="str">
        <f t="shared" si="66"/>
        <v>Duplicate ID</v>
      </c>
      <c r="Q1051" t="str">
        <f t="shared" si="67"/>
        <v>15,000-19,999</v>
      </c>
      <c r="R1051" s="6">
        <f>IF(COUNTIF($A$2:A1051,A1051)=1,1,0)</f>
        <v>0</v>
      </c>
    </row>
    <row r="1052" spans="1:18" x14ac:dyDescent="0.25">
      <c r="A1052" s="6">
        <v>1485</v>
      </c>
      <c r="B1052" s="7">
        <v>45318</v>
      </c>
      <c r="C1052" t="s">
        <v>40</v>
      </c>
      <c r="D1052" s="6">
        <v>2018</v>
      </c>
      <c r="E1052" s="8">
        <v>15547</v>
      </c>
      <c r="F1052" s="8">
        <v>18000</v>
      </c>
      <c r="G1052" s="8">
        <f t="shared" si="64"/>
        <v>2453</v>
      </c>
      <c r="H1052" s="6">
        <v>120000</v>
      </c>
      <c r="I1052" t="s">
        <v>34</v>
      </c>
      <c r="J1052" t="s">
        <v>35</v>
      </c>
      <c r="K1052" t="s">
        <v>1647</v>
      </c>
      <c r="L1052" t="s">
        <v>73</v>
      </c>
      <c r="M1052" t="s">
        <v>98</v>
      </c>
      <c r="N1052" s="6">
        <v>2</v>
      </c>
      <c r="O1052" t="str">
        <f t="shared" si="65"/>
        <v>Normal</v>
      </c>
      <c r="P1052" t="str">
        <f t="shared" si="66"/>
        <v>Duplicate ID</v>
      </c>
      <c r="Q1052" t="str">
        <f t="shared" si="67"/>
        <v>15,000-19,999</v>
      </c>
      <c r="R1052" s="6">
        <f>IF(COUNTIF($A$2:A1052,A1052)=1,1,0)</f>
        <v>0</v>
      </c>
    </row>
    <row r="1053" spans="1:18" x14ac:dyDescent="0.25">
      <c r="A1053" s="6">
        <v>1302</v>
      </c>
      <c r="B1053" s="7">
        <v>45016</v>
      </c>
      <c r="C1053" t="s">
        <v>119</v>
      </c>
      <c r="D1053" s="6">
        <v>2016</v>
      </c>
      <c r="E1053" s="8">
        <v>2294</v>
      </c>
      <c r="F1053" s="8">
        <v>9000</v>
      </c>
      <c r="G1053" s="8">
        <f t="shared" si="64"/>
        <v>6706</v>
      </c>
      <c r="H1053" s="6">
        <v>25000</v>
      </c>
      <c r="I1053" t="s">
        <v>69</v>
      </c>
      <c r="J1053" t="s">
        <v>72</v>
      </c>
      <c r="K1053" t="s">
        <v>96</v>
      </c>
      <c r="L1053" t="s">
        <v>100</v>
      </c>
      <c r="M1053" t="s">
        <v>126</v>
      </c>
      <c r="N1053" s="6">
        <v>1</v>
      </c>
      <c r="O1053" t="str">
        <f t="shared" si="65"/>
        <v>Normal</v>
      </c>
      <c r="P1053" t="str">
        <f t="shared" si="66"/>
        <v>Duplicate ID</v>
      </c>
      <c r="Q1053" t="str">
        <f t="shared" si="67"/>
        <v>0-4,999</v>
      </c>
      <c r="R1053" s="6">
        <f>IF(COUNTIF($A$2:A1053,A1053)=1,1,0)</f>
        <v>0</v>
      </c>
    </row>
    <row r="1054" spans="1:18" x14ac:dyDescent="0.25">
      <c r="A1054" s="6">
        <v>1441</v>
      </c>
      <c r="B1054" s="7">
        <v>45279</v>
      </c>
      <c r="C1054" t="s">
        <v>1648</v>
      </c>
      <c r="D1054" s="6">
        <v>2016</v>
      </c>
      <c r="E1054" s="8">
        <v>15059</v>
      </c>
      <c r="F1054" s="8">
        <v>22000</v>
      </c>
      <c r="G1054" s="8">
        <f t="shared" si="64"/>
        <v>6941</v>
      </c>
      <c r="H1054" s="6">
        <v>120000</v>
      </c>
      <c r="I1054" t="s">
        <v>41</v>
      </c>
      <c r="J1054" t="s">
        <v>72</v>
      </c>
      <c r="K1054" t="s">
        <v>36</v>
      </c>
      <c r="L1054" t="s">
        <v>48</v>
      </c>
      <c r="M1054" t="s">
        <v>45</v>
      </c>
      <c r="N1054" s="6">
        <v>3</v>
      </c>
      <c r="O1054" t="str">
        <f t="shared" si="65"/>
        <v>Normal</v>
      </c>
      <c r="P1054" t="str">
        <f t="shared" si="66"/>
        <v>Duplicate ID</v>
      </c>
      <c r="Q1054" t="str">
        <f t="shared" si="67"/>
        <v>15,000-19,999</v>
      </c>
      <c r="R1054" s="6">
        <f>IF(COUNTIF($A$2:A1054,A1054)=1,1,0)</f>
        <v>0</v>
      </c>
    </row>
    <row r="1055" spans="1:18" x14ac:dyDescent="0.25">
      <c r="A1055" s="6">
        <v>1412</v>
      </c>
      <c r="B1055" s="7">
        <v>44579</v>
      </c>
      <c r="C1055" t="s">
        <v>57</v>
      </c>
      <c r="D1055" s="6">
        <v>2019</v>
      </c>
      <c r="E1055" s="8">
        <v>20654</v>
      </c>
      <c r="F1055" s="8">
        <v>22000</v>
      </c>
      <c r="G1055" s="8">
        <f t="shared" si="64"/>
        <v>1346</v>
      </c>
      <c r="H1055" s="6">
        <v>40000</v>
      </c>
      <c r="I1055" t="s">
        <v>58</v>
      </c>
      <c r="J1055" t="s">
        <v>72</v>
      </c>
      <c r="K1055" t="s">
        <v>36</v>
      </c>
      <c r="L1055" t="s">
        <v>73</v>
      </c>
      <c r="M1055" t="s">
        <v>126</v>
      </c>
      <c r="N1055" s="6">
        <v>3</v>
      </c>
      <c r="O1055" t="str">
        <f t="shared" si="65"/>
        <v>Normal</v>
      </c>
      <c r="P1055" t="str">
        <f t="shared" si="66"/>
        <v>Duplicate ID</v>
      </c>
      <c r="Q1055" t="str">
        <f t="shared" si="67"/>
        <v>20,000-24,999</v>
      </c>
      <c r="R1055" s="6">
        <f>IF(COUNTIF($A$2:A1055,A1055)=1,1,0)</f>
        <v>0</v>
      </c>
    </row>
    <row r="1056" spans="1:18" x14ac:dyDescent="0.25">
      <c r="A1056" s="6">
        <v>1589</v>
      </c>
      <c r="B1056" s="7">
        <v>45247</v>
      </c>
      <c r="C1056" t="s">
        <v>79</v>
      </c>
      <c r="D1056" s="6">
        <v>2018</v>
      </c>
      <c r="E1056" s="8">
        <v>22620</v>
      </c>
      <c r="F1056" s="8">
        <v>26000</v>
      </c>
      <c r="G1056" s="8">
        <f t="shared" si="64"/>
        <v>3380</v>
      </c>
      <c r="H1056" s="6">
        <v>40000</v>
      </c>
      <c r="I1056" t="s">
        <v>41</v>
      </c>
      <c r="J1056" t="s">
        <v>35</v>
      </c>
      <c r="K1056" t="s">
        <v>36</v>
      </c>
      <c r="L1056" t="s">
        <v>54</v>
      </c>
      <c r="M1056" t="s">
        <v>90</v>
      </c>
      <c r="N1056" s="6" t="s">
        <v>1647</v>
      </c>
      <c r="O1056" t="str">
        <f t="shared" si="65"/>
        <v>Normal</v>
      </c>
      <c r="P1056" t="str">
        <f t="shared" si="66"/>
        <v>Duplicate ID</v>
      </c>
      <c r="Q1056" t="str">
        <f t="shared" si="67"/>
        <v>20,000-24,999</v>
      </c>
      <c r="R1056" s="6">
        <f>IF(COUNTIF($A$2:A1056,A1056)=1,1,0)</f>
        <v>0</v>
      </c>
    </row>
    <row r="1057" spans="1:18" x14ac:dyDescent="0.25">
      <c r="A1057" s="6">
        <v>1063</v>
      </c>
      <c r="B1057" s="7">
        <v>45150</v>
      </c>
      <c r="C1057" t="s">
        <v>57</v>
      </c>
      <c r="D1057" s="6">
        <v>2018</v>
      </c>
      <c r="E1057" s="8">
        <v>19901</v>
      </c>
      <c r="F1057" s="8">
        <v>22000</v>
      </c>
      <c r="G1057" s="8">
        <f t="shared" si="64"/>
        <v>2099</v>
      </c>
      <c r="H1057" s="6">
        <v>120000</v>
      </c>
      <c r="I1057" t="s">
        <v>41</v>
      </c>
      <c r="J1057" t="s">
        <v>72</v>
      </c>
      <c r="K1057" t="s">
        <v>36</v>
      </c>
      <c r="L1057" t="s">
        <v>100</v>
      </c>
      <c r="M1057" t="s">
        <v>90</v>
      </c>
      <c r="N1057" s="6">
        <v>1</v>
      </c>
      <c r="O1057" t="str">
        <f t="shared" si="65"/>
        <v>Normal</v>
      </c>
      <c r="P1057" t="str">
        <f t="shared" si="66"/>
        <v>Duplicate ID</v>
      </c>
      <c r="Q1057" t="str">
        <f t="shared" si="67"/>
        <v>15,000-19,999</v>
      </c>
      <c r="R1057" s="6">
        <f>IF(COUNTIF($A$2:A1057,A1057)=1,1,0)</f>
        <v>0</v>
      </c>
    </row>
    <row r="1058" spans="1:18" x14ac:dyDescent="0.25">
      <c r="A1058" s="6">
        <v>1404</v>
      </c>
      <c r="B1058" s="7">
        <v>44447</v>
      </c>
      <c r="C1058" t="s">
        <v>79</v>
      </c>
      <c r="D1058" s="6">
        <v>2017</v>
      </c>
      <c r="E1058" s="8">
        <v>14419</v>
      </c>
      <c r="F1058" s="8">
        <v>18000</v>
      </c>
      <c r="G1058" s="8">
        <f t="shared" si="64"/>
        <v>3581</v>
      </c>
      <c r="H1058" s="6">
        <v>80000</v>
      </c>
      <c r="I1058" t="s">
        <v>41</v>
      </c>
      <c r="J1058" t="s">
        <v>35</v>
      </c>
      <c r="K1058" t="s">
        <v>1647</v>
      </c>
      <c r="L1058" t="s">
        <v>48</v>
      </c>
      <c r="M1058" t="s">
        <v>1647</v>
      </c>
      <c r="N1058" s="6">
        <v>3</v>
      </c>
      <c r="O1058" t="str">
        <f t="shared" si="65"/>
        <v>Normal</v>
      </c>
      <c r="P1058" t="str">
        <f t="shared" si="66"/>
        <v>Duplicate ID</v>
      </c>
      <c r="Q1058" t="str">
        <f t="shared" si="67"/>
        <v>10,000-14,999</v>
      </c>
      <c r="R1058" s="6">
        <f>IF(COUNTIF($A$2:A1058,A1058)=1,1,0)</f>
        <v>0</v>
      </c>
    </row>
    <row r="1059" spans="1:18" x14ac:dyDescent="0.25">
      <c r="A1059" s="6">
        <v>1093</v>
      </c>
      <c r="B1059" s="7">
        <v>44690</v>
      </c>
      <c r="C1059" t="s">
        <v>32</v>
      </c>
      <c r="D1059" s="6">
        <v>2022</v>
      </c>
      <c r="E1059" s="8">
        <v>4373</v>
      </c>
      <c r="F1059" s="8">
        <v>7000</v>
      </c>
      <c r="G1059" s="8">
        <f t="shared" si="64"/>
        <v>2627</v>
      </c>
      <c r="H1059" s="6">
        <v>80000</v>
      </c>
      <c r="I1059" t="s">
        <v>34</v>
      </c>
      <c r="J1059" t="s">
        <v>72</v>
      </c>
      <c r="K1059" t="s">
        <v>36</v>
      </c>
      <c r="L1059" t="s">
        <v>73</v>
      </c>
      <c r="M1059" t="s">
        <v>98</v>
      </c>
      <c r="N1059" s="6">
        <v>0</v>
      </c>
      <c r="O1059" t="str">
        <f t="shared" si="65"/>
        <v>Normal</v>
      </c>
      <c r="P1059" t="str">
        <f t="shared" si="66"/>
        <v>Duplicate ID</v>
      </c>
      <c r="Q1059" t="str">
        <f t="shared" si="67"/>
        <v>0-4,999</v>
      </c>
      <c r="R1059" s="6">
        <f>IF(COUNTIF($A$2:A1059,A1059)=1,1,0)</f>
        <v>0</v>
      </c>
    </row>
    <row r="1060" spans="1:18" x14ac:dyDescent="0.25">
      <c r="A1060" s="6">
        <v>1472</v>
      </c>
      <c r="B1060" s="7">
        <v>44392</v>
      </c>
      <c r="C1060" t="s">
        <v>40</v>
      </c>
      <c r="D1060" s="6">
        <v>2015</v>
      </c>
      <c r="E1060" s="8">
        <v>26811</v>
      </c>
      <c r="F1060" s="8">
        <v>31000</v>
      </c>
      <c r="G1060" s="8">
        <f t="shared" si="64"/>
        <v>4189</v>
      </c>
      <c r="H1060" s="6">
        <v>40000</v>
      </c>
      <c r="I1060" t="s">
        <v>41</v>
      </c>
      <c r="J1060" t="s">
        <v>35</v>
      </c>
      <c r="K1060" t="s">
        <v>36</v>
      </c>
      <c r="L1060" t="s">
        <v>100</v>
      </c>
      <c r="M1060" t="s">
        <v>126</v>
      </c>
      <c r="N1060" s="6">
        <v>0</v>
      </c>
      <c r="O1060" t="str">
        <f t="shared" si="65"/>
        <v>Normal</v>
      </c>
      <c r="P1060" t="str">
        <f t="shared" si="66"/>
        <v>Duplicate ID</v>
      </c>
      <c r="Q1060" t="str">
        <f t="shared" si="67"/>
        <v>25,000-30,000</v>
      </c>
      <c r="R1060" s="6">
        <f>IF(COUNTIF($A$2:A1060,A1060)=1,1,0)</f>
        <v>0</v>
      </c>
    </row>
    <row r="1061" spans="1:18" x14ac:dyDescent="0.25">
      <c r="A1061" s="6">
        <v>1536</v>
      </c>
      <c r="B1061" s="7">
        <v>44458</v>
      </c>
      <c r="C1061" t="s">
        <v>32</v>
      </c>
      <c r="D1061" s="6">
        <v>2019</v>
      </c>
      <c r="E1061" s="8">
        <v>20497</v>
      </c>
      <c r="F1061" s="8">
        <v>26000</v>
      </c>
      <c r="G1061" s="8">
        <f t="shared" si="64"/>
        <v>5503</v>
      </c>
      <c r="H1061" s="6">
        <v>15000</v>
      </c>
      <c r="I1061" t="s">
        <v>1647</v>
      </c>
      <c r="J1061" t="s">
        <v>72</v>
      </c>
      <c r="K1061" t="s">
        <v>96</v>
      </c>
      <c r="L1061" t="s">
        <v>54</v>
      </c>
      <c r="M1061" t="s">
        <v>126</v>
      </c>
      <c r="N1061" s="6">
        <v>3</v>
      </c>
      <c r="O1061" t="str">
        <f t="shared" si="65"/>
        <v>Normal</v>
      </c>
      <c r="P1061" t="str">
        <f t="shared" si="66"/>
        <v>Duplicate ID</v>
      </c>
      <c r="Q1061" t="str">
        <f t="shared" si="67"/>
        <v>20,000-24,999</v>
      </c>
      <c r="R1061" s="6">
        <f>IF(COUNTIF($A$2:A1061,A1061)=1,1,0)</f>
        <v>0</v>
      </c>
    </row>
    <row r="1062" spans="1:18" x14ac:dyDescent="0.25">
      <c r="A1062" s="6">
        <v>1137</v>
      </c>
      <c r="B1062" s="7">
        <v>44905</v>
      </c>
      <c r="C1062" t="s">
        <v>40</v>
      </c>
      <c r="D1062" s="6"/>
      <c r="E1062" s="8">
        <v>10987</v>
      </c>
      <c r="F1062" s="8">
        <v>15000</v>
      </c>
      <c r="G1062" s="8">
        <f t="shared" si="64"/>
        <v>4013</v>
      </c>
      <c r="H1062" s="6">
        <v>60000</v>
      </c>
      <c r="I1062" t="s">
        <v>41</v>
      </c>
      <c r="J1062" t="s">
        <v>1647</v>
      </c>
      <c r="K1062" t="s">
        <v>1647</v>
      </c>
      <c r="L1062" t="s">
        <v>54</v>
      </c>
      <c r="M1062" t="s">
        <v>126</v>
      </c>
      <c r="N1062" s="6" t="s">
        <v>1647</v>
      </c>
      <c r="O1062" t="str">
        <f t="shared" si="65"/>
        <v>Normal</v>
      </c>
      <c r="P1062" t="str">
        <f t="shared" si="66"/>
        <v>Duplicate ID</v>
      </c>
      <c r="Q1062" t="str">
        <f t="shared" si="67"/>
        <v>10,000-14,999</v>
      </c>
      <c r="R1062" s="6">
        <f>IF(COUNTIF($A$2:A1062,A1062)=1,1,0)</f>
        <v>0</v>
      </c>
    </row>
    <row r="1063" spans="1:18" x14ac:dyDescent="0.25">
      <c r="A1063" s="6">
        <v>1351</v>
      </c>
      <c r="B1063" s="7">
        <v>45174</v>
      </c>
      <c r="C1063" t="s">
        <v>51</v>
      </c>
      <c r="D1063" s="6">
        <v>2017</v>
      </c>
      <c r="E1063" s="8">
        <v>9660</v>
      </c>
      <c r="F1063" s="8">
        <v>15000</v>
      </c>
      <c r="G1063" s="8">
        <f t="shared" si="64"/>
        <v>5340</v>
      </c>
      <c r="H1063" s="6">
        <v>60000</v>
      </c>
      <c r="I1063" t="s">
        <v>34</v>
      </c>
      <c r="J1063" t="s">
        <v>35</v>
      </c>
      <c r="K1063" t="s">
        <v>36</v>
      </c>
      <c r="L1063" t="s">
        <v>100</v>
      </c>
      <c r="M1063" t="s">
        <v>90</v>
      </c>
      <c r="N1063" s="6" t="s">
        <v>1647</v>
      </c>
      <c r="O1063" t="str">
        <f t="shared" si="65"/>
        <v>Normal</v>
      </c>
      <c r="P1063" t="str">
        <f t="shared" si="66"/>
        <v>Duplicate ID</v>
      </c>
      <c r="Q1063" t="str">
        <f t="shared" si="67"/>
        <v>5,000-9,999</v>
      </c>
      <c r="R1063" s="6">
        <f>IF(COUNTIF($A$2:A1063,A1063)=1,1,0)</f>
        <v>0</v>
      </c>
    </row>
    <row r="1064" spans="1:18" x14ac:dyDescent="0.25">
      <c r="A1064" s="6">
        <v>1345</v>
      </c>
      <c r="B1064" s="7">
        <v>44883</v>
      </c>
      <c r="C1064" t="s">
        <v>32</v>
      </c>
      <c r="D1064" s="6">
        <v>2015</v>
      </c>
      <c r="E1064" s="8">
        <v>11748</v>
      </c>
      <c r="F1064" s="8">
        <v>15000</v>
      </c>
      <c r="G1064" s="8">
        <f t="shared" si="64"/>
        <v>3252</v>
      </c>
      <c r="H1064" s="6">
        <v>60000</v>
      </c>
      <c r="I1064" t="s">
        <v>69</v>
      </c>
      <c r="J1064" t="s">
        <v>35</v>
      </c>
      <c r="K1064" t="s">
        <v>1647</v>
      </c>
      <c r="L1064" t="s">
        <v>1647</v>
      </c>
      <c r="M1064" t="s">
        <v>98</v>
      </c>
      <c r="N1064" s="6">
        <v>0</v>
      </c>
      <c r="O1064" t="str">
        <f t="shared" si="65"/>
        <v>Normal</v>
      </c>
      <c r="P1064" t="str">
        <f t="shared" si="66"/>
        <v>Duplicate ID</v>
      </c>
      <c r="Q1064" t="str">
        <f t="shared" si="67"/>
        <v>10,000-14,999</v>
      </c>
      <c r="R1064" s="6">
        <f>IF(COUNTIF($A$2:A1064,A1064)=1,1,0)</f>
        <v>0</v>
      </c>
    </row>
    <row r="1065" spans="1:18" x14ac:dyDescent="0.25">
      <c r="A1065" s="6">
        <v>1404</v>
      </c>
      <c r="B1065" s="7">
        <v>45205</v>
      </c>
      <c r="C1065" t="s">
        <v>79</v>
      </c>
      <c r="D1065" s="6">
        <v>2018</v>
      </c>
      <c r="E1065" s="8">
        <v>4054</v>
      </c>
      <c r="F1065" s="8">
        <v>7000</v>
      </c>
      <c r="G1065" s="8">
        <f t="shared" si="64"/>
        <v>2946</v>
      </c>
      <c r="H1065" s="6">
        <v>40000</v>
      </c>
      <c r="I1065" t="s">
        <v>41</v>
      </c>
      <c r="J1065" t="s">
        <v>35</v>
      </c>
      <c r="K1065" t="s">
        <v>36</v>
      </c>
      <c r="L1065" t="s">
        <v>48</v>
      </c>
      <c r="M1065" t="s">
        <v>126</v>
      </c>
      <c r="N1065" s="6">
        <v>0</v>
      </c>
      <c r="O1065" t="str">
        <f t="shared" si="65"/>
        <v>Normal</v>
      </c>
      <c r="P1065" t="str">
        <f t="shared" si="66"/>
        <v>Duplicate ID</v>
      </c>
      <c r="Q1065" t="str">
        <f t="shared" si="67"/>
        <v>0-4,999</v>
      </c>
      <c r="R1065" s="6">
        <f>IF(COUNTIF($A$2:A1065,A1065)=1,1,0)</f>
        <v>0</v>
      </c>
    </row>
    <row r="1066" spans="1:18" x14ac:dyDescent="0.25">
      <c r="A1066" s="6">
        <v>1090</v>
      </c>
      <c r="B1066" s="7">
        <v>45011</v>
      </c>
      <c r="C1066" t="s">
        <v>57</v>
      </c>
      <c r="D1066" s="6">
        <v>2014</v>
      </c>
      <c r="E1066" s="8">
        <v>10801</v>
      </c>
      <c r="F1066" s="8">
        <v>15000</v>
      </c>
      <c r="G1066" s="8">
        <f t="shared" si="64"/>
        <v>4199</v>
      </c>
      <c r="H1066" s="6">
        <v>40000</v>
      </c>
      <c r="I1066" t="s">
        <v>1647</v>
      </c>
      <c r="J1066" t="s">
        <v>35</v>
      </c>
      <c r="K1066" t="s">
        <v>96</v>
      </c>
      <c r="L1066" t="s">
        <v>100</v>
      </c>
      <c r="M1066" t="s">
        <v>126</v>
      </c>
      <c r="N1066" s="6">
        <v>1</v>
      </c>
      <c r="O1066" t="str">
        <f t="shared" si="65"/>
        <v>Normal</v>
      </c>
      <c r="P1066" t="str">
        <f t="shared" si="66"/>
        <v>Duplicate ID</v>
      </c>
      <c r="Q1066" t="str">
        <f t="shared" si="67"/>
        <v>10,000-14,999</v>
      </c>
      <c r="R1066" s="6">
        <f>IF(COUNTIF($A$2:A1066,A1066)=1,1,0)</f>
        <v>0</v>
      </c>
    </row>
    <row r="1067" spans="1:18" x14ac:dyDescent="0.25">
      <c r="A1067" s="6">
        <v>1521</v>
      </c>
      <c r="B1067" s="7">
        <v>45077</v>
      </c>
      <c r="C1067" t="s">
        <v>57</v>
      </c>
      <c r="D1067" s="6">
        <v>2018</v>
      </c>
      <c r="E1067" s="8">
        <v>20574</v>
      </c>
      <c r="F1067" s="8">
        <v>22000</v>
      </c>
      <c r="G1067" s="8">
        <f t="shared" si="64"/>
        <v>1426</v>
      </c>
      <c r="H1067" s="6">
        <v>40000</v>
      </c>
      <c r="I1067" t="s">
        <v>1647</v>
      </c>
      <c r="J1067" t="s">
        <v>72</v>
      </c>
      <c r="K1067" t="s">
        <v>1647</v>
      </c>
      <c r="L1067" t="s">
        <v>100</v>
      </c>
      <c r="M1067" t="s">
        <v>90</v>
      </c>
      <c r="N1067" s="6" t="s">
        <v>1647</v>
      </c>
      <c r="O1067" t="str">
        <f t="shared" si="65"/>
        <v>Normal</v>
      </c>
      <c r="P1067" t="str">
        <f t="shared" si="66"/>
        <v>Duplicate ID</v>
      </c>
      <c r="Q1067" t="str">
        <f t="shared" si="67"/>
        <v>20,000-24,999</v>
      </c>
      <c r="R1067" s="6">
        <f>IF(COUNTIF($A$2:A1067,A1067)=1,1,0)</f>
        <v>0</v>
      </c>
    </row>
    <row r="1068" spans="1:18" x14ac:dyDescent="0.25">
      <c r="A1068" s="6">
        <v>1567</v>
      </c>
      <c r="B1068" s="7">
        <v>44819</v>
      </c>
      <c r="C1068" t="s">
        <v>119</v>
      </c>
      <c r="D1068" s="6">
        <v>2018</v>
      </c>
      <c r="E1068" s="8">
        <v>4017</v>
      </c>
      <c r="F1068" s="8">
        <v>7000</v>
      </c>
      <c r="G1068" s="8">
        <f t="shared" si="64"/>
        <v>2983</v>
      </c>
      <c r="H1068" s="6">
        <v>15000</v>
      </c>
      <c r="I1068" t="s">
        <v>58</v>
      </c>
      <c r="J1068" t="s">
        <v>72</v>
      </c>
      <c r="K1068" t="s">
        <v>96</v>
      </c>
      <c r="L1068" t="s">
        <v>100</v>
      </c>
      <c r="M1068" t="s">
        <v>98</v>
      </c>
      <c r="N1068" s="6" t="s">
        <v>1647</v>
      </c>
      <c r="O1068" t="str">
        <f t="shared" si="65"/>
        <v>Normal</v>
      </c>
      <c r="P1068" t="str">
        <f t="shared" si="66"/>
        <v>Duplicate ID</v>
      </c>
      <c r="Q1068" t="str">
        <f t="shared" si="67"/>
        <v>0-4,999</v>
      </c>
      <c r="R1068" s="6">
        <f>IF(COUNTIF($A$2:A1068,A1068)=1,1,0)</f>
        <v>1</v>
      </c>
    </row>
    <row r="1069" spans="1:18" x14ac:dyDescent="0.25">
      <c r="A1069" s="6">
        <v>1127</v>
      </c>
      <c r="B1069" s="7">
        <v>44963</v>
      </c>
      <c r="C1069" t="s">
        <v>32</v>
      </c>
      <c r="D1069" s="6">
        <v>2020</v>
      </c>
      <c r="E1069" s="8">
        <v>4086</v>
      </c>
      <c r="F1069" s="8">
        <v>7000</v>
      </c>
      <c r="G1069" s="8">
        <f t="shared" si="64"/>
        <v>2914</v>
      </c>
      <c r="H1069" s="6">
        <v>25000</v>
      </c>
      <c r="I1069" t="s">
        <v>41</v>
      </c>
      <c r="J1069" t="s">
        <v>1647</v>
      </c>
      <c r="K1069" t="s">
        <v>36</v>
      </c>
      <c r="L1069" t="s">
        <v>1647</v>
      </c>
      <c r="M1069" t="s">
        <v>45</v>
      </c>
      <c r="N1069" s="6" t="s">
        <v>1647</v>
      </c>
      <c r="O1069" t="str">
        <f t="shared" si="65"/>
        <v>Normal</v>
      </c>
      <c r="P1069" t="str">
        <f t="shared" si="66"/>
        <v>Duplicate ID</v>
      </c>
      <c r="Q1069" t="str">
        <f t="shared" si="67"/>
        <v>0-4,999</v>
      </c>
      <c r="R1069" s="6">
        <f>IF(COUNTIF($A$2:A1069,A1069)=1,1,0)</f>
        <v>0</v>
      </c>
    </row>
    <row r="1070" spans="1:18" x14ac:dyDescent="0.25">
      <c r="A1070" s="6">
        <v>1463</v>
      </c>
      <c r="B1070" s="7">
        <v>44229</v>
      </c>
      <c r="C1070" t="s">
        <v>40</v>
      </c>
      <c r="D1070" s="6">
        <v>2018</v>
      </c>
      <c r="E1070" s="8">
        <v>15511</v>
      </c>
      <c r="F1070" s="8">
        <v>18000</v>
      </c>
      <c r="G1070" s="8">
        <f t="shared" si="64"/>
        <v>2489</v>
      </c>
      <c r="H1070" s="6">
        <v>80000</v>
      </c>
      <c r="I1070" t="s">
        <v>34</v>
      </c>
      <c r="J1070" t="s">
        <v>1647</v>
      </c>
      <c r="K1070" t="s">
        <v>1647</v>
      </c>
      <c r="L1070" t="s">
        <v>48</v>
      </c>
      <c r="M1070" t="s">
        <v>45</v>
      </c>
      <c r="N1070" s="6" t="s">
        <v>1647</v>
      </c>
      <c r="O1070" t="str">
        <f t="shared" si="65"/>
        <v>Normal</v>
      </c>
      <c r="P1070" t="str">
        <f t="shared" si="66"/>
        <v>Duplicate ID</v>
      </c>
      <c r="Q1070" t="str">
        <f t="shared" si="67"/>
        <v>15,000-19,999</v>
      </c>
      <c r="R1070" s="6">
        <f>IF(COUNTIF($A$2:A1070,A1070)=1,1,0)</f>
        <v>0</v>
      </c>
    </row>
    <row r="1071" spans="1:18" x14ac:dyDescent="0.25">
      <c r="A1071" s="6">
        <v>1593</v>
      </c>
      <c r="B1071" s="7">
        <v>44946</v>
      </c>
      <c r="C1071" t="s">
        <v>1648</v>
      </c>
      <c r="D1071" s="6">
        <v>2015</v>
      </c>
      <c r="E1071" s="8">
        <v>12616</v>
      </c>
      <c r="F1071" s="8">
        <v>18000</v>
      </c>
      <c r="G1071" s="8">
        <f t="shared" si="64"/>
        <v>5384</v>
      </c>
      <c r="H1071" s="6">
        <v>25000</v>
      </c>
      <c r="I1071" t="s">
        <v>69</v>
      </c>
      <c r="J1071" t="s">
        <v>1647</v>
      </c>
      <c r="K1071" t="s">
        <v>36</v>
      </c>
      <c r="L1071" t="s">
        <v>54</v>
      </c>
      <c r="M1071" t="s">
        <v>126</v>
      </c>
      <c r="N1071" s="6" t="s">
        <v>1647</v>
      </c>
      <c r="O1071" t="str">
        <f t="shared" si="65"/>
        <v>Normal</v>
      </c>
      <c r="P1071" t="str">
        <f t="shared" si="66"/>
        <v>Duplicate ID</v>
      </c>
      <c r="Q1071" t="str">
        <f t="shared" si="67"/>
        <v>10,000-14,999</v>
      </c>
      <c r="R1071" s="6">
        <f>IF(COUNTIF($A$2:A1071,A1071)=1,1,0)</f>
        <v>0</v>
      </c>
    </row>
    <row r="1072" spans="1:18" x14ac:dyDescent="0.25">
      <c r="A1072" s="6">
        <v>1189</v>
      </c>
      <c r="B1072" s="7">
        <v>44418</v>
      </c>
      <c r="C1072" t="s">
        <v>51</v>
      </c>
      <c r="D1072" s="6"/>
      <c r="E1072" s="8">
        <v>12441</v>
      </c>
      <c r="F1072" s="8">
        <v>15000</v>
      </c>
      <c r="G1072" s="8">
        <f t="shared" si="64"/>
        <v>2559</v>
      </c>
      <c r="H1072" s="6">
        <v>25000</v>
      </c>
      <c r="I1072" t="s">
        <v>58</v>
      </c>
      <c r="J1072" t="s">
        <v>72</v>
      </c>
      <c r="K1072" t="s">
        <v>96</v>
      </c>
      <c r="L1072" t="s">
        <v>1647</v>
      </c>
      <c r="M1072" t="s">
        <v>126</v>
      </c>
      <c r="N1072" s="6">
        <v>3</v>
      </c>
      <c r="O1072" t="str">
        <f t="shared" si="65"/>
        <v>Normal</v>
      </c>
      <c r="P1072" t="str">
        <f t="shared" si="66"/>
        <v>Duplicate ID</v>
      </c>
      <c r="Q1072" t="str">
        <f t="shared" si="67"/>
        <v>10,000-14,999</v>
      </c>
      <c r="R1072" s="6">
        <f>IF(COUNTIF($A$2:A1072,A1072)=1,1,0)</f>
        <v>0</v>
      </c>
    </row>
    <row r="1073" spans="1:18" x14ac:dyDescent="0.25">
      <c r="A1073" s="6">
        <v>1468</v>
      </c>
      <c r="B1073" s="7">
        <v>44438</v>
      </c>
      <c r="C1073" t="s">
        <v>40</v>
      </c>
      <c r="D1073" s="6">
        <v>2022</v>
      </c>
      <c r="E1073" s="8">
        <v>26740</v>
      </c>
      <c r="F1073" s="8">
        <v>31000</v>
      </c>
      <c r="G1073" s="8">
        <f t="shared" si="64"/>
        <v>4260</v>
      </c>
      <c r="H1073" s="6">
        <v>25000</v>
      </c>
      <c r="I1073" t="s">
        <v>1647</v>
      </c>
      <c r="J1073" t="s">
        <v>35</v>
      </c>
      <c r="K1073" t="s">
        <v>36</v>
      </c>
      <c r="L1073" t="s">
        <v>54</v>
      </c>
      <c r="M1073" t="s">
        <v>1647</v>
      </c>
      <c r="N1073" s="6">
        <v>1</v>
      </c>
      <c r="O1073" t="str">
        <f t="shared" si="65"/>
        <v>Normal</v>
      </c>
      <c r="P1073" t="str">
        <f t="shared" si="66"/>
        <v>Duplicate ID</v>
      </c>
      <c r="Q1073" t="str">
        <f t="shared" si="67"/>
        <v>25,000-30,000</v>
      </c>
      <c r="R1073" s="6">
        <f>IF(COUNTIF($A$2:A1073,A1073)=1,1,0)</f>
        <v>0</v>
      </c>
    </row>
    <row r="1074" spans="1:18" x14ac:dyDescent="0.25">
      <c r="A1074" s="6">
        <v>1141</v>
      </c>
      <c r="B1074" s="7">
        <v>45262</v>
      </c>
      <c r="C1074" t="s">
        <v>119</v>
      </c>
      <c r="D1074" s="6">
        <v>2019</v>
      </c>
      <c r="E1074" s="8">
        <v>19002</v>
      </c>
      <c r="F1074" s="8">
        <v>22000</v>
      </c>
      <c r="G1074" s="8">
        <f t="shared" si="64"/>
        <v>2998</v>
      </c>
      <c r="H1074" s="6">
        <v>120000</v>
      </c>
      <c r="I1074" t="s">
        <v>69</v>
      </c>
      <c r="J1074" t="s">
        <v>35</v>
      </c>
      <c r="K1074" t="s">
        <v>96</v>
      </c>
      <c r="L1074" t="s">
        <v>48</v>
      </c>
      <c r="M1074" t="s">
        <v>126</v>
      </c>
      <c r="N1074" s="6">
        <v>1</v>
      </c>
      <c r="O1074" t="str">
        <f t="shared" si="65"/>
        <v>Normal</v>
      </c>
      <c r="P1074" t="str">
        <f t="shared" si="66"/>
        <v>Duplicate ID</v>
      </c>
      <c r="Q1074" t="str">
        <f t="shared" si="67"/>
        <v>15,000-19,999</v>
      </c>
      <c r="R1074" s="6">
        <f>IF(COUNTIF($A$2:A1074,A1074)=1,1,0)</f>
        <v>0</v>
      </c>
    </row>
    <row r="1075" spans="1:18" x14ac:dyDescent="0.25">
      <c r="A1075" s="6">
        <v>1367</v>
      </c>
      <c r="B1075" s="7">
        <v>45028</v>
      </c>
      <c r="C1075" t="s">
        <v>1648</v>
      </c>
      <c r="D1075" s="6">
        <v>2019</v>
      </c>
      <c r="E1075" s="8">
        <v>4794</v>
      </c>
      <c r="F1075" s="8">
        <v>7000</v>
      </c>
      <c r="G1075" s="8">
        <f t="shared" si="64"/>
        <v>2206</v>
      </c>
      <c r="H1075" s="6">
        <v>80000</v>
      </c>
      <c r="I1075" t="s">
        <v>41</v>
      </c>
      <c r="J1075" t="s">
        <v>1647</v>
      </c>
      <c r="K1075" t="s">
        <v>96</v>
      </c>
      <c r="L1075" t="s">
        <v>48</v>
      </c>
      <c r="M1075" t="s">
        <v>45</v>
      </c>
      <c r="N1075" s="6">
        <v>3</v>
      </c>
      <c r="O1075" t="str">
        <f t="shared" si="65"/>
        <v>Normal</v>
      </c>
      <c r="P1075" t="str">
        <f t="shared" si="66"/>
        <v>Duplicate ID</v>
      </c>
      <c r="Q1075" t="str">
        <f t="shared" si="67"/>
        <v>0-4,999</v>
      </c>
      <c r="R1075" s="6">
        <f>IF(COUNTIF($A$2:A1075,A1075)=1,1,0)</f>
        <v>0</v>
      </c>
    </row>
    <row r="1076" spans="1:18" x14ac:dyDescent="0.25">
      <c r="A1076" s="6">
        <v>1100</v>
      </c>
      <c r="B1076" s="7">
        <v>45069</v>
      </c>
      <c r="C1076" t="s">
        <v>40</v>
      </c>
      <c r="D1076" s="6">
        <v>2017</v>
      </c>
      <c r="E1076" s="8">
        <v>2053</v>
      </c>
      <c r="F1076" s="8">
        <v>7000</v>
      </c>
      <c r="G1076" s="8">
        <f t="shared" si="64"/>
        <v>4947</v>
      </c>
      <c r="H1076" s="6">
        <v>80000</v>
      </c>
      <c r="I1076" t="s">
        <v>58</v>
      </c>
      <c r="J1076" t="s">
        <v>1647</v>
      </c>
      <c r="K1076" t="s">
        <v>96</v>
      </c>
      <c r="L1076" t="s">
        <v>54</v>
      </c>
      <c r="M1076" t="s">
        <v>126</v>
      </c>
      <c r="N1076" s="6">
        <v>2</v>
      </c>
      <c r="O1076" t="str">
        <f t="shared" si="65"/>
        <v>Normal</v>
      </c>
      <c r="P1076" t="str">
        <f t="shared" si="66"/>
        <v>Duplicate ID</v>
      </c>
      <c r="Q1076" t="str">
        <f t="shared" si="67"/>
        <v>0-4,999</v>
      </c>
      <c r="R1076" s="6">
        <f>IF(COUNTIF($A$2:A1076,A1076)=1,1,0)</f>
        <v>1</v>
      </c>
    </row>
    <row r="1077" spans="1:18" x14ac:dyDescent="0.25">
      <c r="A1077" s="6">
        <v>1318</v>
      </c>
      <c r="B1077" s="7">
        <v>44689</v>
      </c>
      <c r="C1077" t="s">
        <v>57</v>
      </c>
      <c r="D1077" s="6">
        <v>2018</v>
      </c>
      <c r="E1077" s="8">
        <v>23780</v>
      </c>
      <c r="F1077" s="8">
        <v>26000</v>
      </c>
      <c r="G1077" s="8">
        <f t="shared" si="64"/>
        <v>2220</v>
      </c>
      <c r="H1077" s="6">
        <v>80000</v>
      </c>
      <c r="I1077" t="s">
        <v>41</v>
      </c>
      <c r="J1077" t="s">
        <v>35</v>
      </c>
      <c r="K1077" t="s">
        <v>96</v>
      </c>
      <c r="L1077" t="s">
        <v>100</v>
      </c>
      <c r="M1077" t="s">
        <v>126</v>
      </c>
      <c r="N1077" s="6">
        <v>0</v>
      </c>
      <c r="O1077" t="str">
        <f t="shared" si="65"/>
        <v>Normal</v>
      </c>
      <c r="P1077" t="str">
        <f t="shared" si="66"/>
        <v>Duplicate ID</v>
      </c>
      <c r="Q1077" t="str">
        <f t="shared" si="67"/>
        <v>20,000-24,999</v>
      </c>
      <c r="R1077" s="6">
        <f>IF(COUNTIF($A$2:A1077,A1077)=1,1,0)</f>
        <v>0</v>
      </c>
    </row>
    <row r="1078" spans="1:18" x14ac:dyDescent="0.25">
      <c r="A1078" s="6">
        <v>1119</v>
      </c>
      <c r="B1078" s="7">
        <v>44309</v>
      </c>
      <c r="C1078" t="s">
        <v>1648</v>
      </c>
      <c r="D1078" s="6"/>
      <c r="E1078" s="8">
        <v>24488</v>
      </c>
      <c r="F1078" s="8">
        <v>26000</v>
      </c>
      <c r="G1078" s="8">
        <f t="shared" si="64"/>
        <v>1512</v>
      </c>
      <c r="H1078" s="6">
        <v>60000</v>
      </c>
      <c r="I1078" t="s">
        <v>41</v>
      </c>
      <c r="J1078" t="s">
        <v>35</v>
      </c>
      <c r="K1078" t="s">
        <v>36</v>
      </c>
      <c r="L1078" t="s">
        <v>54</v>
      </c>
      <c r="M1078" t="s">
        <v>126</v>
      </c>
      <c r="N1078" s="6">
        <v>0</v>
      </c>
      <c r="O1078" t="str">
        <f t="shared" si="65"/>
        <v>Normal</v>
      </c>
      <c r="P1078" t="str">
        <f t="shared" si="66"/>
        <v>Duplicate ID</v>
      </c>
      <c r="Q1078" t="str">
        <f t="shared" si="67"/>
        <v>20,000-24,999</v>
      </c>
      <c r="R1078" s="6">
        <f>IF(COUNTIF($A$2:A1078,A1078)=1,1,0)</f>
        <v>1</v>
      </c>
    </row>
    <row r="1079" spans="1:18" x14ac:dyDescent="0.25">
      <c r="A1079" s="6">
        <v>1082</v>
      </c>
      <c r="B1079" s="7">
        <v>44768</v>
      </c>
      <c r="C1079" t="s">
        <v>40</v>
      </c>
      <c r="D1079" s="6">
        <v>2020</v>
      </c>
      <c r="E1079" s="8">
        <v>690</v>
      </c>
      <c r="F1079" s="8">
        <v>7000</v>
      </c>
      <c r="G1079" s="8">
        <f t="shared" si="64"/>
        <v>6310</v>
      </c>
      <c r="H1079" s="6">
        <v>80000</v>
      </c>
      <c r="I1079" t="s">
        <v>69</v>
      </c>
      <c r="J1079" t="s">
        <v>35</v>
      </c>
      <c r="K1079" t="s">
        <v>96</v>
      </c>
      <c r="L1079" t="s">
        <v>48</v>
      </c>
      <c r="M1079" t="s">
        <v>90</v>
      </c>
      <c r="N1079" s="6" t="s">
        <v>1647</v>
      </c>
      <c r="O1079" t="str">
        <f t="shared" si="65"/>
        <v>Outlier</v>
      </c>
      <c r="P1079" t="str">
        <f t="shared" si="66"/>
        <v>Duplicate ID</v>
      </c>
      <c r="Q1079" t="str">
        <f t="shared" si="67"/>
        <v>0-4,999</v>
      </c>
      <c r="R1079" s="6">
        <f>IF(COUNTIF($A$2:A1079,A1079)=1,1,0)</f>
        <v>0</v>
      </c>
    </row>
    <row r="1080" spans="1:18" x14ac:dyDescent="0.25">
      <c r="A1080" s="6">
        <v>1051</v>
      </c>
      <c r="B1080" s="7">
        <v>44491</v>
      </c>
      <c r="C1080" t="s">
        <v>57</v>
      </c>
      <c r="D1080" s="6"/>
      <c r="E1080" s="8">
        <v>26632</v>
      </c>
      <c r="F1080" s="8">
        <v>31000</v>
      </c>
      <c r="G1080" s="8">
        <f t="shared" si="64"/>
        <v>4368</v>
      </c>
      <c r="H1080" s="6">
        <v>120000</v>
      </c>
      <c r="I1080" t="s">
        <v>41</v>
      </c>
      <c r="J1080" t="s">
        <v>72</v>
      </c>
      <c r="K1080" t="s">
        <v>96</v>
      </c>
      <c r="L1080" t="s">
        <v>48</v>
      </c>
      <c r="M1080" t="s">
        <v>45</v>
      </c>
      <c r="N1080" s="6">
        <v>3</v>
      </c>
      <c r="O1080" t="str">
        <f t="shared" si="65"/>
        <v>Normal</v>
      </c>
      <c r="P1080" t="str">
        <f t="shared" si="66"/>
        <v>Duplicate ID</v>
      </c>
      <c r="Q1080" t="str">
        <f t="shared" si="67"/>
        <v>25,000-30,000</v>
      </c>
      <c r="R1080" s="6">
        <f>IF(COUNTIF($A$2:A1080,A1080)=1,1,0)</f>
        <v>0</v>
      </c>
    </row>
    <row r="1081" spans="1:18" x14ac:dyDescent="0.25">
      <c r="A1081" s="6">
        <v>1421</v>
      </c>
      <c r="B1081" s="7">
        <v>45022</v>
      </c>
      <c r="C1081" t="s">
        <v>57</v>
      </c>
      <c r="D1081" s="6">
        <v>2014</v>
      </c>
      <c r="E1081" s="8">
        <v>24053</v>
      </c>
      <c r="F1081" s="8">
        <v>31000</v>
      </c>
      <c r="G1081" s="8">
        <f t="shared" si="64"/>
        <v>6947</v>
      </c>
      <c r="H1081" s="6">
        <v>25000</v>
      </c>
      <c r="I1081" t="s">
        <v>41</v>
      </c>
      <c r="J1081" t="s">
        <v>72</v>
      </c>
      <c r="K1081" t="s">
        <v>96</v>
      </c>
      <c r="L1081" t="s">
        <v>48</v>
      </c>
      <c r="M1081" t="s">
        <v>126</v>
      </c>
      <c r="N1081" s="6">
        <v>1</v>
      </c>
      <c r="O1081" t="str">
        <f t="shared" si="65"/>
        <v>Normal</v>
      </c>
      <c r="P1081" t="str">
        <f t="shared" si="66"/>
        <v>Duplicate ID</v>
      </c>
      <c r="Q1081" t="str">
        <f t="shared" si="67"/>
        <v>20,000-24,999</v>
      </c>
      <c r="R1081" s="6">
        <f>IF(COUNTIF($A$2:A1081,A1081)=1,1,0)</f>
        <v>0</v>
      </c>
    </row>
    <row r="1082" spans="1:18" x14ac:dyDescent="0.25">
      <c r="A1082" s="6">
        <v>1269</v>
      </c>
      <c r="B1082" s="7">
        <v>45289</v>
      </c>
      <c r="C1082" t="s">
        <v>40</v>
      </c>
      <c r="D1082" s="6">
        <v>2018</v>
      </c>
      <c r="E1082" s="8">
        <v>1708</v>
      </c>
      <c r="F1082" s="8">
        <v>7000</v>
      </c>
      <c r="G1082" s="8">
        <f t="shared" si="64"/>
        <v>5292</v>
      </c>
      <c r="H1082" s="6">
        <v>60000</v>
      </c>
      <c r="I1082" t="s">
        <v>58</v>
      </c>
      <c r="J1082" t="s">
        <v>35</v>
      </c>
      <c r="K1082" t="s">
        <v>36</v>
      </c>
      <c r="L1082" t="s">
        <v>54</v>
      </c>
      <c r="M1082" t="s">
        <v>45</v>
      </c>
      <c r="N1082" s="6">
        <v>1</v>
      </c>
      <c r="O1082" t="str">
        <f t="shared" si="65"/>
        <v>Normal</v>
      </c>
      <c r="P1082" t="str">
        <f t="shared" si="66"/>
        <v>Duplicate ID</v>
      </c>
      <c r="Q1082" t="str">
        <f t="shared" si="67"/>
        <v>0-4,999</v>
      </c>
      <c r="R1082" s="6">
        <f>IF(COUNTIF($A$2:A1082,A1082)=1,1,0)</f>
        <v>0</v>
      </c>
    </row>
    <row r="1083" spans="1:18" x14ac:dyDescent="0.25">
      <c r="A1083" s="6">
        <v>1081</v>
      </c>
      <c r="B1083" s="7">
        <v>45312</v>
      </c>
      <c r="C1083" t="s">
        <v>57</v>
      </c>
      <c r="D1083" s="6">
        <v>2019</v>
      </c>
      <c r="E1083" s="8">
        <v>21173</v>
      </c>
      <c r="F1083" s="8">
        <v>26000</v>
      </c>
      <c r="G1083" s="8">
        <f t="shared" si="64"/>
        <v>4827</v>
      </c>
      <c r="H1083" s="6">
        <v>15000</v>
      </c>
      <c r="I1083" t="s">
        <v>58</v>
      </c>
      <c r="J1083" t="s">
        <v>35</v>
      </c>
      <c r="K1083" t="s">
        <v>36</v>
      </c>
      <c r="L1083" t="s">
        <v>100</v>
      </c>
      <c r="M1083" t="s">
        <v>126</v>
      </c>
      <c r="N1083" s="6">
        <v>3</v>
      </c>
      <c r="O1083" t="str">
        <f t="shared" si="65"/>
        <v>Normal</v>
      </c>
      <c r="P1083" t="str">
        <f t="shared" si="66"/>
        <v>Duplicate ID</v>
      </c>
      <c r="Q1083" t="str">
        <f t="shared" si="67"/>
        <v>20,000-24,999</v>
      </c>
      <c r="R1083" s="6">
        <f>IF(COUNTIF($A$2:A1083,A1083)=1,1,0)</f>
        <v>0</v>
      </c>
    </row>
    <row r="1084" spans="1:18" x14ac:dyDescent="0.25">
      <c r="A1084" s="6">
        <v>1135</v>
      </c>
      <c r="B1084" s="7">
        <v>44847</v>
      </c>
      <c r="C1084" t="s">
        <v>32</v>
      </c>
      <c r="D1084" s="6">
        <v>2017</v>
      </c>
      <c r="E1084" s="8">
        <v>20796</v>
      </c>
      <c r="F1084" s="8">
        <v>26000</v>
      </c>
      <c r="G1084" s="8">
        <f t="shared" si="64"/>
        <v>5204</v>
      </c>
      <c r="H1084" s="6">
        <v>25000</v>
      </c>
      <c r="I1084" t="s">
        <v>34</v>
      </c>
      <c r="J1084" t="s">
        <v>35</v>
      </c>
      <c r="K1084" t="s">
        <v>36</v>
      </c>
      <c r="L1084" t="s">
        <v>100</v>
      </c>
      <c r="M1084" t="s">
        <v>98</v>
      </c>
      <c r="N1084" s="6">
        <v>0</v>
      </c>
      <c r="O1084" t="str">
        <f t="shared" si="65"/>
        <v>Normal</v>
      </c>
      <c r="P1084" t="str">
        <f t="shared" si="66"/>
        <v>Duplicate ID</v>
      </c>
      <c r="Q1084" t="str">
        <f t="shared" si="67"/>
        <v>20,000-24,999</v>
      </c>
      <c r="R1084" s="6">
        <f>IF(COUNTIF($A$2:A1084,A1084)=1,1,0)</f>
        <v>0</v>
      </c>
    </row>
    <row r="1085" spans="1:18" x14ac:dyDescent="0.25">
      <c r="A1085" s="6">
        <v>1592</v>
      </c>
      <c r="B1085" s="7">
        <v>44542</v>
      </c>
      <c r="C1085" t="s">
        <v>51</v>
      </c>
      <c r="D1085" s="6">
        <v>2018</v>
      </c>
      <c r="E1085" s="8">
        <v>16598</v>
      </c>
      <c r="F1085" s="8">
        <v>18000</v>
      </c>
      <c r="G1085" s="8">
        <f t="shared" si="64"/>
        <v>1402</v>
      </c>
      <c r="H1085" s="6">
        <v>80000</v>
      </c>
      <c r="I1085" t="s">
        <v>41</v>
      </c>
      <c r="J1085" t="s">
        <v>35</v>
      </c>
      <c r="K1085" t="s">
        <v>96</v>
      </c>
      <c r="L1085" t="s">
        <v>54</v>
      </c>
      <c r="M1085" t="s">
        <v>45</v>
      </c>
      <c r="N1085" s="6">
        <v>0</v>
      </c>
      <c r="O1085" t="str">
        <f t="shared" si="65"/>
        <v>Normal</v>
      </c>
      <c r="P1085" t="str">
        <f t="shared" si="66"/>
        <v>Duplicate ID</v>
      </c>
      <c r="Q1085" t="str">
        <f t="shared" si="67"/>
        <v>15,000-19,999</v>
      </c>
      <c r="R1085" s="6">
        <f>IF(COUNTIF($A$2:A1085,A1085)=1,1,0)</f>
        <v>1</v>
      </c>
    </row>
    <row r="1086" spans="1:18" x14ac:dyDescent="0.25">
      <c r="A1086" s="6">
        <v>1407</v>
      </c>
      <c r="B1086" s="7">
        <v>44405</v>
      </c>
      <c r="C1086" t="s">
        <v>119</v>
      </c>
      <c r="D1086" s="6">
        <v>2021</v>
      </c>
      <c r="E1086" s="8">
        <v>11951</v>
      </c>
      <c r="F1086" s="8">
        <v>15000</v>
      </c>
      <c r="G1086" s="8">
        <f t="shared" si="64"/>
        <v>3049</v>
      </c>
      <c r="H1086" s="6">
        <v>120000</v>
      </c>
      <c r="I1086" t="s">
        <v>1647</v>
      </c>
      <c r="J1086" t="s">
        <v>72</v>
      </c>
      <c r="K1086" t="s">
        <v>1647</v>
      </c>
      <c r="L1086" t="s">
        <v>100</v>
      </c>
      <c r="M1086" t="s">
        <v>90</v>
      </c>
      <c r="N1086" s="6">
        <v>0</v>
      </c>
      <c r="O1086" t="str">
        <f t="shared" si="65"/>
        <v>Normal</v>
      </c>
      <c r="P1086" t="str">
        <f t="shared" si="66"/>
        <v>Duplicate ID</v>
      </c>
      <c r="Q1086" t="str">
        <f t="shared" si="67"/>
        <v>10,000-14,999</v>
      </c>
      <c r="R1086" s="6">
        <f>IF(COUNTIF($A$2:A1086,A1086)=1,1,0)</f>
        <v>0</v>
      </c>
    </row>
    <row r="1087" spans="1:18" x14ac:dyDescent="0.25">
      <c r="A1087" s="6">
        <v>1186</v>
      </c>
      <c r="B1087" s="7">
        <v>45295</v>
      </c>
      <c r="C1087" t="s">
        <v>40</v>
      </c>
      <c r="D1087" s="6">
        <v>2016</v>
      </c>
      <c r="E1087" s="8">
        <v>3175</v>
      </c>
      <c r="F1087" s="8">
        <v>9000</v>
      </c>
      <c r="G1087" s="8">
        <f t="shared" si="64"/>
        <v>5825</v>
      </c>
      <c r="H1087" s="6">
        <v>60000</v>
      </c>
      <c r="I1087" t="s">
        <v>34</v>
      </c>
      <c r="J1087" t="s">
        <v>35</v>
      </c>
      <c r="K1087" t="s">
        <v>1647</v>
      </c>
      <c r="L1087" t="s">
        <v>1647</v>
      </c>
      <c r="M1087" t="s">
        <v>45</v>
      </c>
      <c r="N1087" s="6">
        <v>3</v>
      </c>
      <c r="O1087" t="str">
        <f t="shared" si="65"/>
        <v>Normal</v>
      </c>
      <c r="P1087" t="str">
        <f t="shared" si="66"/>
        <v>Duplicate ID</v>
      </c>
      <c r="Q1087" t="str">
        <f t="shared" si="67"/>
        <v>0-4,999</v>
      </c>
      <c r="R1087" s="6">
        <f>IF(COUNTIF($A$2:A1087,A1087)=1,1,0)</f>
        <v>0</v>
      </c>
    </row>
    <row r="1088" spans="1:18" x14ac:dyDescent="0.25">
      <c r="A1088" s="6">
        <v>1117</v>
      </c>
      <c r="B1088" s="7">
        <v>44694</v>
      </c>
      <c r="C1088" t="s">
        <v>1648</v>
      </c>
      <c r="D1088" s="6">
        <v>2017</v>
      </c>
      <c r="E1088" s="8">
        <v>20582</v>
      </c>
      <c r="F1088" s="8">
        <v>26000</v>
      </c>
      <c r="G1088" s="8">
        <f t="shared" si="64"/>
        <v>5418</v>
      </c>
      <c r="H1088" s="6">
        <v>25000</v>
      </c>
      <c r="I1088" t="s">
        <v>69</v>
      </c>
      <c r="J1088" t="s">
        <v>72</v>
      </c>
      <c r="K1088" t="s">
        <v>36</v>
      </c>
      <c r="L1088" t="s">
        <v>54</v>
      </c>
      <c r="M1088" t="s">
        <v>90</v>
      </c>
      <c r="N1088" s="6" t="s">
        <v>1647</v>
      </c>
      <c r="O1088" t="str">
        <f t="shared" si="65"/>
        <v>Normal</v>
      </c>
      <c r="P1088" t="str">
        <f t="shared" si="66"/>
        <v>Duplicate ID</v>
      </c>
      <c r="Q1088" t="str">
        <f t="shared" si="67"/>
        <v>20,000-24,999</v>
      </c>
      <c r="R1088" s="6">
        <f>IF(COUNTIF($A$2:A1088,A1088)=1,1,0)</f>
        <v>0</v>
      </c>
    </row>
    <row r="1089" spans="1:18" x14ac:dyDescent="0.25">
      <c r="A1089" s="6">
        <v>1438</v>
      </c>
      <c r="B1089" s="7">
        <v>45312</v>
      </c>
      <c r="C1089" t="s">
        <v>1648</v>
      </c>
      <c r="D1089" s="6">
        <v>2014</v>
      </c>
      <c r="E1089" s="8">
        <v>25179</v>
      </c>
      <c r="F1089" s="8">
        <v>31000</v>
      </c>
      <c r="G1089" s="8">
        <f t="shared" si="64"/>
        <v>5821</v>
      </c>
      <c r="H1089" s="6">
        <v>120000</v>
      </c>
      <c r="I1089" t="s">
        <v>1647</v>
      </c>
      <c r="J1089" t="s">
        <v>35</v>
      </c>
      <c r="K1089" t="s">
        <v>96</v>
      </c>
      <c r="L1089" t="s">
        <v>48</v>
      </c>
      <c r="M1089" t="s">
        <v>90</v>
      </c>
      <c r="N1089" s="6">
        <v>3</v>
      </c>
      <c r="O1089" t="str">
        <f t="shared" si="65"/>
        <v>Normal</v>
      </c>
      <c r="P1089" t="str">
        <f t="shared" si="66"/>
        <v>Duplicate ID</v>
      </c>
      <c r="Q1089" t="str">
        <f t="shared" si="67"/>
        <v>25,000-30,000</v>
      </c>
      <c r="R1089" s="6">
        <f>IF(COUNTIF($A$2:A1089,A1089)=1,1,0)</f>
        <v>0</v>
      </c>
    </row>
    <row r="1090" spans="1:18" x14ac:dyDescent="0.25">
      <c r="A1090" s="6">
        <v>1147</v>
      </c>
      <c r="B1090" s="7">
        <v>45304</v>
      </c>
      <c r="C1090" t="s">
        <v>32</v>
      </c>
      <c r="D1090" s="6">
        <v>2014</v>
      </c>
      <c r="E1090" s="8">
        <v>17919</v>
      </c>
      <c r="F1090" s="8">
        <v>22000</v>
      </c>
      <c r="G1090" s="8">
        <f t="shared" ref="G1090:G1153" si="68">IF(OR(F1090="",E1090=""),"",F1090-E1090)</f>
        <v>4081</v>
      </c>
      <c r="H1090" s="6">
        <v>15000</v>
      </c>
      <c r="I1090" t="s">
        <v>69</v>
      </c>
      <c r="J1090" t="s">
        <v>72</v>
      </c>
      <c r="K1090" t="s">
        <v>36</v>
      </c>
      <c r="L1090" t="s">
        <v>73</v>
      </c>
      <c r="M1090" t="s">
        <v>98</v>
      </c>
      <c r="N1090" s="6">
        <v>2</v>
      </c>
      <c r="O1090" t="str">
        <f t="shared" ref="O1090:O1153" si="69">IF(E1090&lt;1000,"Outlier","Normal")</f>
        <v>Normal</v>
      </c>
      <c r="P1090" t="str">
        <f t="shared" ref="P1090:P1153" si="70">IF(COUNTIF($A$2:$A$2501,A1090)&gt;1,"Duplicate ID","Unique ID")</f>
        <v>Duplicate ID</v>
      </c>
      <c r="Q1090" t="str">
        <f t="shared" ref="Q1090:Q1153" si="71">IF(E1090&lt;5000,"0-4,999",IF(E1090&lt;10000,"5,000-9,999",IF(E1090&lt;15000,"10,000-14,999",IF(E1090&lt;20000,"15,000-19,999",IF(E1090&lt;25000,"20,000-24,999","25,000-30,000")))))</f>
        <v>15,000-19,999</v>
      </c>
      <c r="R1090" s="6">
        <f>IF(COUNTIF($A$2:A1090,A1090)=1,1,0)</f>
        <v>0</v>
      </c>
    </row>
    <row r="1091" spans="1:18" x14ac:dyDescent="0.25">
      <c r="A1091" s="6">
        <v>1414</v>
      </c>
      <c r="B1091" s="7">
        <v>44739</v>
      </c>
      <c r="C1091" t="s">
        <v>40</v>
      </c>
      <c r="D1091" s="6">
        <v>2019</v>
      </c>
      <c r="E1091" s="8">
        <v>24375</v>
      </c>
      <c r="F1091" s="8">
        <v>31000</v>
      </c>
      <c r="G1091" s="8">
        <f t="shared" si="68"/>
        <v>6625</v>
      </c>
      <c r="H1091" s="6">
        <v>15000</v>
      </c>
      <c r="I1091" t="s">
        <v>58</v>
      </c>
      <c r="J1091" t="s">
        <v>35</v>
      </c>
      <c r="K1091" t="s">
        <v>1647</v>
      </c>
      <c r="L1091" t="s">
        <v>100</v>
      </c>
      <c r="M1091" t="s">
        <v>45</v>
      </c>
      <c r="N1091" s="6" t="s">
        <v>1647</v>
      </c>
      <c r="O1091" t="str">
        <f t="shared" si="69"/>
        <v>Normal</v>
      </c>
      <c r="P1091" t="str">
        <f t="shared" si="70"/>
        <v>Duplicate ID</v>
      </c>
      <c r="Q1091" t="str">
        <f t="shared" si="71"/>
        <v>20,000-24,999</v>
      </c>
      <c r="R1091" s="6">
        <f>IF(COUNTIF($A$2:A1091,A1091)=1,1,0)</f>
        <v>0</v>
      </c>
    </row>
    <row r="1092" spans="1:18" x14ac:dyDescent="0.25">
      <c r="A1092" s="6">
        <v>1274</v>
      </c>
      <c r="B1092" s="7">
        <v>45291</v>
      </c>
      <c r="C1092" t="s">
        <v>79</v>
      </c>
      <c r="D1092" s="6">
        <v>2021</v>
      </c>
      <c r="E1092" s="8">
        <v>1162</v>
      </c>
      <c r="F1092" s="8">
        <v>7000</v>
      </c>
      <c r="G1092" s="8">
        <f t="shared" si="68"/>
        <v>5838</v>
      </c>
      <c r="H1092" s="6">
        <v>80000</v>
      </c>
      <c r="I1092" t="s">
        <v>41</v>
      </c>
      <c r="J1092" t="s">
        <v>35</v>
      </c>
      <c r="K1092" t="s">
        <v>36</v>
      </c>
      <c r="L1092" t="s">
        <v>73</v>
      </c>
      <c r="M1092" t="s">
        <v>45</v>
      </c>
      <c r="N1092" s="6">
        <v>0</v>
      </c>
      <c r="O1092" t="str">
        <f t="shared" si="69"/>
        <v>Normal</v>
      </c>
      <c r="P1092" t="str">
        <f t="shared" si="70"/>
        <v>Duplicate ID</v>
      </c>
      <c r="Q1092" t="str">
        <f t="shared" si="71"/>
        <v>0-4,999</v>
      </c>
      <c r="R1092" s="6">
        <f>IF(COUNTIF($A$2:A1092,A1092)=1,1,0)</f>
        <v>0</v>
      </c>
    </row>
    <row r="1093" spans="1:18" x14ac:dyDescent="0.25">
      <c r="A1093" s="6">
        <v>1519</v>
      </c>
      <c r="B1093" s="7">
        <v>44710</v>
      </c>
      <c r="C1093" t="s">
        <v>119</v>
      </c>
      <c r="D1093" s="6">
        <v>2018</v>
      </c>
      <c r="E1093" s="8">
        <v>20100</v>
      </c>
      <c r="F1093" s="8">
        <v>26000</v>
      </c>
      <c r="G1093" s="8">
        <f t="shared" si="68"/>
        <v>5900</v>
      </c>
      <c r="H1093" s="6">
        <v>120000</v>
      </c>
      <c r="I1093" t="s">
        <v>69</v>
      </c>
      <c r="J1093" t="s">
        <v>1647</v>
      </c>
      <c r="K1093" t="s">
        <v>1647</v>
      </c>
      <c r="L1093" t="s">
        <v>1647</v>
      </c>
      <c r="M1093" t="s">
        <v>126</v>
      </c>
      <c r="N1093" s="6">
        <v>0</v>
      </c>
      <c r="O1093" t="str">
        <f t="shared" si="69"/>
        <v>Normal</v>
      </c>
      <c r="P1093" t="str">
        <f t="shared" si="70"/>
        <v>Duplicate ID</v>
      </c>
      <c r="Q1093" t="str">
        <f t="shared" si="71"/>
        <v>20,000-24,999</v>
      </c>
      <c r="R1093" s="6">
        <f>IF(COUNTIF($A$2:A1093,A1093)=1,1,0)</f>
        <v>0</v>
      </c>
    </row>
    <row r="1094" spans="1:18" x14ac:dyDescent="0.25">
      <c r="A1094" s="6">
        <v>1468</v>
      </c>
      <c r="B1094" s="7">
        <v>45236</v>
      </c>
      <c r="C1094" t="s">
        <v>51</v>
      </c>
      <c r="D1094" s="6">
        <v>2019</v>
      </c>
      <c r="E1094" s="8">
        <v>25530</v>
      </c>
      <c r="F1094" s="8">
        <v>31000</v>
      </c>
      <c r="G1094" s="8">
        <f t="shared" si="68"/>
        <v>5470</v>
      </c>
      <c r="H1094" s="6">
        <v>120000</v>
      </c>
      <c r="I1094" t="s">
        <v>1647</v>
      </c>
      <c r="J1094" t="s">
        <v>35</v>
      </c>
      <c r="K1094" t="s">
        <v>96</v>
      </c>
      <c r="L1094" t="s">
        <v>100</v>
      </c>
      <c r="M1094" t="s">
        <v>90</v>
      </c>
      <c r="N1094" s="6" t="s">
        <v>1647</v>
      </c>
      <c r="O1094" t="str">
        <f t="shared" si="69"/>
        <v>Normal</v>
      </c>
      <c r="P1094" t="str">
        <f t="shared" si="70"/>
        <v>Duplicate ID</v>
      </c>
      <c r="Q1094" t="str">
        <f t="shared" si="71"/>
        <v>25,000-30,000</v>
      </c>
      <c r="R1094" s="6">
        <f>IF(COUNTIF($A$2:A1094,A1094)=1,1,0)</f>
        <v>0</v>
      </c>
    </row>
    <row r="1095" spans="1:18" x14ac:dyDescent="0.25">
      <c r="A1095" s="6">
        <v>1191</v>
      </c>
      <c r="B1095" s="7">
        <v>45301</v>
      </c>
      <c r="C1095" t="s">
        <v>79</v>
      </c>
      <c r="D1095" s="6">
        <v>2021</v>
      </c>
      <c r="E1095" s="8">
        <v>23395</v>
      </c>
      <c r="F1095" s="8">
        <v>26000</v>
      </c>
      <c r="G1095" s="8">
        <f t="shared" si="68"/>
        <v>2605</v>
      </c>
      <c r="H1095" s="6">
        <v>60000</v>
      </c>
      <c r="I1095" t="s">
        <v>41</v>
      </c>
      <c r="J1095" t="s">
        <v>1647</v>
      </c>
      <c r="K1095" t="s">
        <v>36</v>
      </c>
      <c r="L1095" t="s">
        <v>48</v>
      </c>
      <c r="M1095" t="s">
        <v>98</v>
      </c>
      <c r="N1095" s="6" t="s">
        <v>1647</v>
      </c>
      <c r="O1095" t="str">
        <f t="shared" si="69"/>
        <v>Normal</v>
      </c>
      <c r="P1095" t="str">
        <f t="shared" si="70"/>
        <v>Duplicate ID</v>
      </c>
      <c r="Q1095" t="str">
        <f t="shared" si="71"/>
        <v>20,000-24,999</v>
      </c>
      <c r="R1095" s="6">
        <f>IF(COUNTIF($A$2:A1095,A1095)=1,1,0)</f>
        <v>1</v>
      </c>
    </row>
    <row r="1096" spans="1:18" x14ac:dyDescent="0.25">
      <c r="A1096" s="6">
        <v>1517</v>
      </c>
      <c r="B1096" s="7">
        <v>45090</v>
      </c>
      <c r="C1096" t="s">
        <v>1648</v>
      </c>
      <c r="D1096" s="6">
        <v>2020</v>
      </c>
      <c r="E1096" s="8">
        <v>6293</v>
      </c>
      <c r="F1096" s="8">
        <v>12000</v>
      </c>
      <c r="G1096" s="8">
        <f t="shared" si="68"/>
        <v>5707</v>
      </c>
      <c r="H1096" s="6">
        <v>80000</v>
      </c>
      <c r="I1096" t="s">
        <v>58</v>
      </c>
      <c r="J1096" t="s">
        <v>72</v>
      </c>
      <c r="K1096" t="s">
        <v>1647</v>
      </c>
      <c r="L1096" t="s">
        <v>100</v>
      </c>
      <c r="M1096" t="s">
        <v>98</v>
      </c>
      <c r="N1096" s="6">
        <v>0</v>
      </c>
      <c r="O1096" t="str">
        <f t="shared" si="69"/>
        <v>Normal</v>
      </c>
      <c r="P1096" t="str">
        <f t="shared" si="70"/>
        <v>Duplicate ID</v>
      </c>
      <c r="Q1096" t="str">
        <f t="shared" si="71"/>
        <v>5,000-9,999</v>
      </c>
      <c r="R1096" s="6">
        <f>IF(COUNTIF($A$2:A1096,A1096)=1,1,0)</f>
        <v>0</v>
      </c>
    </row>
    <row r="1097" spans="1:18" x14ac:dyDescent="0.25">
      <c r="A1097" s="6">
        <v>1243</v>
      </c>
      <c r="B1097" s="7">
        <v>44578</v>
      </c>
      <c r="C1097" t="s">
        <v>51</v>
      </c>
      <c r="D1097" s="6">
        <v>2018</v>
      </c>
      <c r="E1097" s="8">
        <v>729</v>
      </c>
      <c r="F1097" s="8">
        <v>7000</v>
      </c>
      <c r="G1097" s="8">
        <f t="shared" si="68"/>
        <v>6271</v>
      </c>
      <c r="H1097" s="6">
        <v>60000</v>
      </c>
      <c r="I1097" t="s">
        <v>69</v>
      </c>
      <c r="J1097" t="s">
        <v>72</v>
      </c>
      <c r="K1097" t="s">
        <v>96</v>
      </c>
      <c r="L1097" t="s">
        <v>54</v>
      </c>
      <c r="M1097" t="s">
        <v>98</v>
      </c>
      <c r="N1097" s="6" t="s">
        <v>1647</v>
      </c>
      <c r="O1097" t="str">
        <f t="shared" si="69"/>
        <v>Outlier</v>
      </c>
      <c r="P1097" t="str">
        <f t="shared" si="70"/>
        <v>Duplicate ID</v>
      </c>
      <c r="Q1097" t="str">
        <f t="shared" si="71"/>
        <v>0-4,999</v>
      </c>
      <c r="R1097" s="6">
        <f>IF(COUNTIF($A$2:A1097,A1097)=1,1,0)</f>
        <v>0</v>
      </c>
    </row>
    <row r="1098" spans="1:18" x14ac:dyDescent="0.25">
      <c r="A1098" s="6">
        <v>1180</v>
      </c>
      <c r="B1098" s="7">
        <v>45306</v>
      </c>
      <c r="C1098" t="s">
        <v>40</v>
      </c>
      <c r="D1098" s="6">
        <v>2014</v>
      </c>
      <c r="E1098" s="8">
        <v>5710</v>
      </c>
      <c r="F1098" s="8">
        <v>9000</v>
      </c>
      <c r="G1098" s="8">
        <f t="shared" si="68"/>
        <v>3290</v>
      </c>
      <c r="H1098" s="6">
        <v>25000</v>
      </c>
      <c r="I1098" t="s">
        <v>69</v>
      </c>
      <c r="J1098" t="s">
        <v>35</v>
      </c>
      <c r="K1098" t="s">
        <v>1647</v>
      </c>
      <c r="L1098" t="s">
        <v>48</v>
      </c>
      <c r="M1098" t="s">
        <v>98</v>
      </c>
      <c r="N1098" s="6" t="s">
        <v>1647</v>
      </c>
      <c r="O1098" t="str">
        <f t="shared" si="69"/>
        <v>Normal</v>
      </c>
      <c r="P1098" t="str">
        <f t="shared" si="70"/>
        <v>Duplicate ID</v>
      </c>
      <c r="Q1098" t="str">
        <f t="shared" si="71"/>
        <v>5,000-9,999</v>
      </c>
      <c r="R1098" s="6">
        <f>IF(COUNTIF($A$2:A1098,A1098)=1,1,0)</f>
        <v>0</v>
      </c>
    </row>
    <row r="1099" spans="1:18" x14ac:dyDescent="0.25">
      <c r="A1099" s="6">
        <v>1190</v>
      </c>
      <c r="B1099" s="7">
        <v>44799</v>
      </c>
      <c r="C1099" t="s">
        <v>79</v>
      </c>
      <c r="D1099" s="6">
        <v>2017</v>
      </c>
      <c r="E1099" s="8">
        <v>5992</v>
      </c>
      <c r="F1099" s="8">
        <v>12000</v>
      </c>
      <c r="G1099" s="8">
        <f t="shared" si="68"/>
        <v>6008</v>
      </c>
      <c r="H1099" s="6">
        <v>40000</v>
      </c>
      <c r="I1099" t="s">
        <v>69</v>
      </c>
      <c r="J1099" t="s">
        <v>72</v>
      </c>
      <c r="K1099" t="s">
        <v>36</v>
      </c>
      <c r="L1099" t="s">
        <v>100</v>
      </c>
      <c r="M1099" t="s">
        <v>1647</v>
      </c>
      <c r="N1099" s="6" t="s">
        <v>1647</v>
      </c>
      <c r="O1099" t="str">
        <f t="shared" si="69"/>
        <v>Normal</v>
      </c>
      <c r="P1099" t="str">
        <f t="shared" si="70"/>
        <v>Duplicate ID</v>
      </c>
      <c r="Q1099" t="str">
        <f t="shared" si="71"/>
        <v>5,000-9,999</v>
      </c>
      <c r="R1099" s="6">
        <f>IF(COUNTIF($A$2:A1099,A1099)=1,1,0)</f>
        <v>0</v>
      </c>
    </row>
    <row r="1100" spans="1:18" x14ac:dyDescent="0.25">
      <c r="A1100" s="6">
        <v>1335</v>
      </c>
      <c r="B1100" s="7">
        <v>44360</v>
      </c>
      <c r="C1100" t="s">
        <v>32</v>
      </c>
      <c r="D1100" s="6">
        <v>2019</v>
      </c>
      <c r="E1100" s="8">
        <v>22865</v>
      </c>
      <c r="F1100" s="8">
        <v>26000</v>
      </c>
      <c r="G1100" s="8">
        <f t="shared" si="68"/>
        <v>3135</v>
      </c>
      <c r="H1100" s="6">
        <v>25000</v>
      </c>
      <c r="I1100" t="s">
        <v>1647</v>
      </c>
      <c r="J1100" t="s">
        <v>35</v>
      </c>
      <c r="K1100" t="s">
        <v>96</v>
      </c>
      <c r="L1100" t="s">
        <v>48</v>
      </c>
      <c r="M1100" t="s">
        <v>90</v>
      </c>
      <c r="N1100" s="6" t="s">
        <v>1647</v>
      </c>
      <c r="O1100" t="str">
        <f t="shared" si="69"/>
        <v>Normal</v>
      </c>
      <c r="P1100" t="str">
        <f t="shared" si="70"/>
        <v>Duplicate ID</v>
      </c>
      <c r="Q1100" t="str">
        <f t="shared" si="71"/>
        <v>20,000-24,999</v>
      </c>
      <c r="R1100" s="6">
        <f>IF(COUNTIF($A$2:A1100,A1100)=1,1,0)</f>
        <v>0</v>
      </c>
    </row>
    <row r="1101" spans="1:18" x14ac:dyDescent="0.25">
      <c r="A1101" s="6">
        <v>1542</v>
      </c>
      <c r="B1101" s="7">
        <v>44900</v>
      </c>
      <c r="C1101" t="s">
        <v>57</v>
      </c>
      <c r="D1101" s="6">
        <v>2020</v>
      </c>
      <c r="E1101" s="8">
        <v>12180</v>
      </c>
      <c r="F1101" s="8">
        <v>15000</v>
      </c>
      <c r="G1101" s="8">
        <f t="shared" si="68"/>
        <v>2820</v>
      </c>
      <c r="H1101" s="6">
        <v>120000</v>
      </c>
      <c r="I1101" t="s">
        <v>41</v>
      </c>
      <c r="J1101" t="s">
        <v>1647</v>
      </c>
      <c r="K1101" t="s">
        <v>96</v>
      </c>
      <c r="L1101" t="s">
        <v>54</v>
      </c>
      <c r="M1101" t="s">
        <v>45</v>
      </c>
      <c r="N1101" s="6">
        <v>0</v>
      </c>
      <c r="O1101" t="str">
        <f t="shared" si="69"/>
        <v>Normal</v>
      </c>
      <c r="P1101" t="str">
        <f t="shared" si="70"/>
        <v>Duplicate ID</v>
      </c>
      <c r="Q1101" t="str">
        <f t="shared" si="71"/>
        <v>10,000-14,999</v>
      </c>
      <c r="R1101" s="6">
        <f>IF(COUNTIF($A$2:A1101,A1101)=1,1,0)</f>
        <v>0</v>
      </c>
    </row>
    <row r="1102" spans="1:18" x14ac:dyDescent="0.25">
      <c r="A1102" s="6">
        <v>1016</v>
      </c>
      <c r="B1102" s="7">
        <v>44861</v>
      </c>
      <c r="C1102" t="s">
        <v>1648</v>
      </c>
      <c r="D1102" s="6">
        <v>2022</v>
      </c>
      <c r="E1102" s="8">
        <v>12424</v>
      </c>
      <c r="F1102" s="8">
        <v>18000</v>
      </c>
      <c r="G1102" s="8">
        <f t="shared" si="68"/>
        <v>5576</v>
      </c>
      <c r="H1102" s="6">
        <v>60000</v>
      </c>
      <c r="I1102" t="s">
        <v>69</v>
      </c>
      <c r="J1102" t="s">
        <v>72</v>
      </c>
      <c r="K1102" t="s">
        <v>36</v>
      </c>
      <c r="L1102" t="s">
        <v>73</v>
      </c>
      <c r="M1102" t="s">
        <v>90</v>
      </c>
      <c r="N1102" s="6">
        <v>2</v>
      </c>
      <c r="O1102" t="str">
        <f t="shared" si="69"/>
        <v>Normal</v>
      </c>
      <c r="P1102" t="str">
        <f t="shared" si="70"/>
        <v>Duplicate ID</v>
      </c>
      <c r="Q1102" t="str">
        <f t="shared" si="71"/>
        <v>10,000-14,999</v>
      </c>
      <c r="R1102" s="6">
        <f>IF(COUNTIF($A$2:A1102,A1102)=1,1,0)</f>
        <v>0</v>
      </c>
    </row>
    <row r="1103" spans="1:18" x14ac:dyDescent="0.25">
      <c r="A1103" s="6">
        <v>1168</v>
      </c>
      <c r="B1103" s="7">
        <v>45188</v>
      </c>
      <c r="C1103" t="s">
        <v>32</v>
      </c>
      <c r="D1103" s="6">
        <v>2018</v>
      </c>
      <c r="E1103" s="8">
        <v>4058</v>
      </c>
      <c r="F1103" s="8">
        <v>9000</v>
      </c>
      <c r="G1103" s="8">
        <f t="shared" si="68"/>
        <v>4942</v>
      </c>
      <c r="H1103" s="6">
        <v>15000</v>
      </c>
      <c r="I1103" t="s">
        <v>58</v>
      </c>
      <c r="J1103" t="s">
        <v>72</v>
      </c>
      <c r="K1103" t="s">
        <v>36</v>
      </c>
      <c r="L1103" t="s">
        <v>73</v>
      </c>
      <c r="M1103" t="s">
        <v>45</v>
      </c>
      <c r="N1103" s="6">
        <v>1</v>
      </c>
      <c r="O1103" t="str">
        <f t="shared" si="69"/>
        <v>Normal</v>
      </c>
      <c r="P1103" t="str">
        <f t="shared" si="70"/>
        <v>Duplicate ID</v>
      </c>
      <c r="Q1103" t="str">
        <f t="shared" si="71"/>
        <v>0-4,999</v>
      </c>
      <c r="R1103" s="6">
        <f>IF(COUNTIF($A$2:A1103,A1103)=1,1,0)</f>
        <v>0</v>
      </c>
    </row>
    <row r="1104" spans="1:18" x14ac:dyDescent="0.25">
      <c r="A1104" s="6">
        <v>1110</v>
      </c>
      <c r="B1104" s="7">
        <v>45126</v>
      </c>
      <c r="C1104" t="s">
        <v>79</v>
      </c>
      <c r="D1104" s="6">
        <v>2018</v>
      </c>
      <c r="E1104" s="8">
        <v>5595</v>
      </c>
      <c r="F1104" s="8">
        <v>9000</v>
      </c>
      <c r="G1104" s="8">
        <f t="shared" si="68"/>
        <v>3405</v>
      </c>
      <c r="H1104" s="6">
        <v>40000</v>
      </c>
      <c r="I1104" t="s">
        <v>58</v>
      </c>
      <c r="J1104" t="s">
        <v>72</v>
      </c>
      <c r="K1104" t="s">
        <v>1647</v>
      </c>
      <c r="L1104" t="s">
        <v>100</v>
      </c>
      <c r="M1104" t="s">
        <v>98</v>
      </c>
      <c r="N1104" s="6">
        <v>3</v>
      </c>
      <c r="O1104" t="str">
        <f t="shared" si="69"/>
        <v>Normal</v>
      </c>
      <c r="P1104" t="str">
        <f t="shared" si="70"/>
        <v>Duplicate ID</v>
      </c>
      <c r="Q1104" t="str">
        <f t="shared" si="71"/>
        <v>5,000-9,999</v>
      </c>
      <c r="R1104" s="6">
        <f>IF(COUNTIF($A$2:A1104,A1104)=1,1,0)</f>
        <v>0</v>
      </c>
    </row>
    <row r="1105" spans="1:18" x14ac:dyDescent="0.25">
      <c r="A1105" s="6">
        <v>1016</v>
      </c>
      <c r="B1105" s="7">
        <v>44290</v>
      </c>
      <c r="C1105" t="s">
        <v>32</v>
      </c>
      <c r="D1105" s="6">
        <v>2017</v>
      </c>
      <c r="E1105" s="8">
        <v>22401</v>
      </c>
      <c r="F1105" s="8">
        <v>26000</v>
      </c>
      <c r="G1105" s="8">
        <f t="shared" si="68"/>
        <v>3599</v>
      </c>
      <c r="H1105" s="6">
        <v>60000</v>
      </c>
      <c r="I1105" t="s">
        <v>41</v>
      </c>
      <c r="J1105" t="s">
        <v>72</v>
      </c>
      <c r="K1105" t="s">
        <v>36</v>
      </c>
      <c r="L1105" t="s">
        <v>73</v>
      </c>
      <c r="M1105" t="s">
        <v>45</v>
      </c>
      <c r="N1105" s="6">
        <v>1</v>
      </c>
      <c r="O1105" t="str">
        <f t="shared" si="69"/>
        <v>Normal</v>
      </c>
      <c r="P1105" t="str">
        <f t="shared" si="70"/>
        <v>Duplicate ID</v>
      </c>
      <c r="Q1105" t="str">
        <f t="shared" si="71"/>
        <v>20,000-24,999</v>
      </c>
      <c r="R1105" s="6">
        <f>IF(COUNTIF($A$2:A1105,A1105)=1,1,0)</f>
        <v>0</v>
      </c>
    </row>
    <row r="1106" spans="1:18" x14ac:dyDescent="0.25">
      <c r="A1106" s="6">
        <v>1484</v>
      </c>
      <c r="B1106" s="7">
        <v>45269</v>
      </c>
      <c r="C1106" t="s">
        <v>1648</v>
      </c>
      <c r="D1106" s="6">
        <v>2020</v>
      </c>
      <c r="E1106" s="8">
        <v>3153</v>
      </c>
      <c r="F1106" s="8">
        <v>9000</v>
      </c>
      <c r="G1106" s="8">
        <f t="shared" si="68"/>
        <v>5847</v>
      </c>
      <c r="H1106" s="6">
        <v>120000</v>
      </c>
      <c r="I1106" t="s">
        <v>1647</v>
      </c>
      <c r="J1106" t="s">
        <v>35</v>
      </c>
      <c r="K1106" t="s">
        <v>96</v>
      </c>
      <c r="L1106" t="s">
        <v>54</v>
      </c>
      <c r="M1106" t="s">
        <v>90</v>
      </c>
      <c r="N1106" s="6">
        <v>1</v>
      </c>
      <c r="O1106" t="str">
        <f t="shared" si="69"/>
        <v>Normal</v>
      </c>
      <c r="P1106" t="str">
        <f t="shared" si="70"/>
        <v>Duplicate ID</v>
      </c>
      <c r="Q1106" t="str">
        <f t="shared" si="71"/>
        <v>0-4,999</v>
      </c>
      <c r="R1106" s="6">
        <f>IF(COUNTIF($A$2:A1106,A1106)=1,1,0)</f>
        <v>0</v>
      </c>
    </row>
    <row r="1107" spans="1:18" x14ac:dyDescent="0.25">
      <c r="A1107" s="6">
        <v>1438</v>
      </c>
      <c r="B1107" s="7">
        <v>45338</v>
      </c>
      <c r="C1107" t="s">
        <v>79</v>
      </c>
      <c r="D1107" s="6">
        <v>2020</v>
      </c>
      <c r="E1107" s="8">
        <v>8290</v>
      </c>
      <c r="F1107" s="8">
        <v>12000</v>
      </c>
      <c r="G1107" s="8">
        <f t="shared" si="68"/>
        <v>3710</v>
      </c>
      <c r="H1107" s="6">
        <v>25000</v>
      </c>
      <c r="I1107" t="s">
        <v>34</v>
      </c>
      <c r="J1107" t="s">
        <v>72</v>
      </c>
      <c r="K1107" t="s">
        <v>1647</v>
      </c>
      <c r="L1107" t="s">
        <v>48</v>
      </c>
      <c r="M1107" t="s">
        <v>45</v>
      </c>
      <c r="N1107" s="6">
        <v>2</v>
      </c>
      <c r="O1107" t="str">
        <f t="shared" si="69"/>
        <v>Normal</v>
      </c>
      <c r="P1107" t="str">
        <f t="shared" si="70"/>
        <v>Duplicate ID</v>
      </c>
      <c r="Q1107" t="str">
        <f t="shared" si="71"/>
        <v>5,000-9,999</v>
      </c>
      <c r="R1107" s="6">
        <f>IF(COUNTIF($A$2:A1107,A1107)=1,1,0)</f>
        <v>0</v>
      </c>
    </row>
    <row r="1108" spans="1:18" x14ac:dyDescent="0.25">
      <c r="A1108" s="6">
        <v>1345</v>
      </c>
      <c r="B1108" s="7">
        <v>45241</v>
      </c>
      <c r="C1108" t="s">
        <v>57</v>
      </c>
      <c r="D1108" s="6">
        <v>2016</v>
      </c>
      <c r="E1108" s="8">
        <v>27233</v>
      </c>
      <c r="F1108" s="8">
        <v>31000</v>
      </c>
      <c r="G1108" s="8">
        <f t="shared" si="68"/>
        <v>3767</v>
      </c>
      <c r="H1108" s="6">
        <v>120000</v>
      </c>
      <c r="I1108" t="s">
        <v>69</v>
      </c>
      <c r="J1108" t="s">
        <v>1647</v>
      </c>
      <c r="K1108" t="s">
        <v>96</v>
      </c>
      <c r="L1108" t="s">
        <v>54</v>
      </c>
      <c r="M1108" t="s">
        <v>45</v>
      </c>
      <c r="N1108" s="6" t="s">
        <v>1647</v>
      </c>
      <c r="O1108" t="str">
        <f t="shared" si="69"/>
        <v>Normal</v>
      </c>
      <c r="P1108" t="str">
        <f t="shared" si="70"/>
        <v>Duplicate ID</v>
      </c>
      <c r="Q1108" t="str">
        <f t="shared" si="71"/>
        <v>25,000-30,000</v>
      </c>
      <c r="R1108" s="6">
        <f>IF(COUNTIF($A$2:A1108,A1108)=1,1,0)</f>
        <v>0</v>
      </c>
    </row>
    <row r="1109" spans="1:18" x14ac:dyDescent="0.25">
      <c r="A1109" s="6">
        <v>1084</v>
      </c>
      <c r="B1109" s="7">
        <v>44440</v>
      </c>
      <c r="C1109" t="s">
        <v>51</v>
      </c>
      <c r="D1109" s="6">
        <v>2016</v>
      </c>
      <c r="E1109" s="8">
        <v>5967</v>
      </c>
      <c r="F1109" s="8">
        <v>12000</v>
      </c>
      <c r="G1109" s="8">
        <f t="shared" si="68"/>
        <v>6033</v>
      </c>
      <c r="H1109" s="6">
        <v>40000</v>
      </c>
      <c r="I1109" t="s">
        <v>58</v>
      </c>
      <c r="J1109" t="s">
        <v>35</v>
      </c>
      <c r="K1109" t="s">
        <v>36</v>
      </c>
      <c r="L1109" t="s">
        <v>73</v>
      </c>
      <c r="M1109" t="s">
        <v>90</v>
      </c>
      <c r="N1109" s="6">
        <v>2</v>
      </c>
      <c r="O1109" t="str">
        <f t="shared" si="69"/>
        <v>Normal</v>
      </c>
      <c r="P1109" t="str">
        <f t="shared" si="70"/>
        <v>Duplicate ID</v>
      </c>
      <c r="Q1109" t="str">
        <f t="shared" si="71"/>
        <v>5,000-9,999</v>
      </c>
      <c r="R1109" s="6">
        <f>IF(COUNTIF($A$2:A1109,A1109)=1,1,0)</f>
        <v>0</v>
      </c>
    </row>
    <row r="1110" spans="1:18" x14ac:dyDescent="0.25">
      <c r="A1110" s="6">
        <v>1074</v>
      </c>
      <c r="B1110" s="7">
        <v>44672</v>
      </c>
      <c r="C1110" t="s">
        <v>79</v>
      </c>
      <c r="D1110" s="6">
        <v>2018</v>
      </c>
      <c r="E1110" s="8">
        <v>8697</v>
      </c>
      <c r="F1110" s="8">
        <v>15000</v>
      </c>
      <c r="G1110" s="8">
        <f t="shared" si="68"/>
        <v>6303</v>
      </c>
      <c r="H1110" s="6">
        <v>80000</v>
      </c>
      <c r="I1110" t="s">
        <v>41</v>
      </c>
      <c r="J1110" t="s">
        <v>72</v>
      </c>
      <c r="K1110" t="s">
        <v>96</v>
      </c>
      <c r="L1110" t="s">
        <v>73</v>
      </c>
      <c r="M1110" t="s">
        <v>90</v>
      </c>
      <c r="N1110" s="6">
        <v>0</v>
      </c>
      <c r="O1110" t="str">
        <f t="shared" si="69"/>
        <v>Normal</v>
      </c>
      <c r="P1110" t="str">
        <f t="shared" si="70"/>
        <v>Duplicate ID</v>
      </c>
      <c r="Q1110" t="str">
        <f t="shared" si="71"/>
        <v>5,000-9,999</v>
      </c>
      <c r="R1110" s="6">
        <f>IF(COUNTIF($A$2:A1110,A1110)=1,1,0)</f>
        <v>0</v>
      </c>
    </row>
    <row r="1111" spans="1:18" x14ac:dyDescent="0.25">
      <c r="A1111" s="6">
        <v>1435</v>
      </c>
      <c r="B1111" s="7">
        <v>44614</v>
      </c>
      <c r="C1111" t="s">
        <v>51</v>
      </c>
      <c r="D1111" s="6">
        <v>2019</v>
      </c>
      <c r="E1111" s="8">
        <v>25726</v>
      </c>
      <c r="F1111" s="8">
        <v>31000</v>
      </c>
      <c r="G1111" s="8">
        <f t="shared" si="68"/>
        <v>5274</v>
      </c>
      <c r="H1111" s="6">
        <v>15000</v>
      </c>
      <c r="I1111" t="s">
        <v>69</v>
      </c>
      <c r="J1111" t="s">
        <v>72</v>
      </c>
      <c r="K1111" t="s">
        <v>1647</v>
      </c>
      <c r="L1111" t="s">
        <v>1647</v>
      </c>
      <c r="M1111" t="s">
        <v>98</v>
      </c>
      <c r="N1111" s="6">
        <v>3</v>
      </c>
      <c r="O1111" t="str">
        <f t="shared" si="69"/>
        <v>Normal</v>
      </c>
      <c r="P1111" t="str">
        <f t="shared" si="70"/>
        <v>Duplicate ID</v>
      </c>
      <c r="Q1111" t="str">
        <f t="shared" si="71"/>
        <v>25,000-30,000</v>
      </c>
      <c r="R1111" s="6">
        <f>IF(COUNTIF($A$2:A1111,A1111)=1,1,0)</f>
        <v>1</v>
      </c>
    </row>
    <row r="1112" spans="1:18" x14ac:dyDescent="0.25">
      <c r="A1112" s="6">
        <v>1459</v>
      </c>
      <c r="B1112" s="7">
        <v>45063</v>
      </c>
      <c r="C1112" t="s">
        <v>1648</v>
      </c>
      <c r="D1112" s="6">
        <v>2016</v>
      </c>
      <c r="E1112" s="8">
        <v>28181</v>
      </c>
      <c r="F1112" s="8">
        <v>31000</v>
      </c>
      <c r="G1112" s="8">
        <f t="shared" si="68"/>
        <v>2819</v>
      </c>
      <c r="H1112" s="6">
        <v>120000</v>
      </c>
      <c r="I1112" t="s">
        <v>69</v>
      </c>
      <c r="J1112" t="s">
        <v>72</v>
      </c>
      <c r="K1112" t="s">
        <v>36</v>
      </c>
      <c r="L1112" t="s">
        <v>73</v>
      </c>
      <c r="M1112" t="s">
        <v>90</v>
      </c>
      <c r="N1112" s="6">
        <v>2</v>
      </c>
      <c r="O1112" t="str">
        <f t="shared" si="69"/>
        <v>Normal</v>
      </c>
      <c r="P1112" t="str">
        <f t="shared" si="70"/>
        <v>Duplicate ID</v>
      </c>
      <c r="Q1112" t="str">
        <f t="shared" si="71"/>
        <v>25,000-30,000</v>
      </c>
      <c r="R1112" s="6">
        <f>IF(COUNTIF($A$2:A1112,A1112)=1,1,0)</f>
        <v>1</v>
      </c>
    </row>
    <row r="1113" spans="1:18" x14ac:dyDescent="0.25">
      <c r="A1113" s="6">
        <v>1223</v>
      </c>
      <c r="B1113" s="7">
        <v>45273</v>
      </c>
      <c r="C1113" t="s">
        <v>57</v>
      </c>
      <c r="D1113" s="6">
        <v>2019</v>
      </c>
      <c r="E1113" s="8">
        <v>16430</v>
      </c>
      <c r="F1113" s="8">
        <v>18000</v>
      </c>
      <c r="G1113" s="8">
        <f t="shared" si="68"/>
        <v>1570</v>
      </c>
      <c r="H1113" s="6">
        <v>25000</v>
      </c>
      <c r="I1113" t="s">
        <v>41</v>
      </c>
      <c r="J1113" t="s">
        <v>35</v>
      </c>
      <c r="K1113" t="s">
        <v>36</v>
      </c>
      <c r="L1113" t="s">
        <v>73</v>
      </c>
      <c r="M1113" t="s">
        <v>90</v>
      </c>
      <c r="N1113" s="6">
        <v>1</v>
      </c>
      <c r="O1113" t="str">
        <f t="shared" si="69"/>
        <v>Normal</v>
      </c>
      <c r="P1113" t="str">
        <f t="shared" si="70"/>
        <v>Duplicate ID</v>
      </c>
      <c r="Q1113" t="str">
        <f t="shared" si="71"/>
        <v>15,000-19,999</v>
      </c>
      <c r="R1113" s="6">
        <f>IF(COUNTIF($A$2:A1113,A1113)=1,1,0)</f>
        <v>0</v>
      </c>
    </row>
    <row r="1114" spans="1:18" x14ac:dyDescent="0.25">
      <c r="A1114" s="6">
        <v>1060</v>
      </c>
      <c r="B1114" s="7">
        <v>44386</v>
      </c>
      <c r="C1114" t="s">
        <v>32</v>
      </c>
      <c r="D1114" s="6">
        <v>2018</v>
      </c>
      <c r="E1114" s="8">
        <v>3503</v>
      </c>
      <c r="F1114" s="8">
        <v>7000</v>
      </c>
      <c r="G1114" s="8">
        <f t="shared" si="68"/>
        <v>3497</v>
      </c>
      <c r="H1114" s="6">
        <v>120000</v>
      </c>
      <c r="I1114" t="s">
        <v>58</v>
      </c>
      <c r="J1114" t="s">
        <v>72</v>
      </c>
      <c r="K1114" t="s">
        <v>96</v>
      </c>
      <c r="L1114" t="s">
        <v>48</v>
      </c>
      <c r="M1114" t="s">
        <v>90</v>
      </c>
      <c r="N1114" s="6">
        <v>1</v>
      </c>
      <c r="O1114" t="str">
        <f t="shared" si="69"/>
        <v>Normal</v>
      </c>
      <c r="P1114" t="str">
        <f t="shared" si="70"/>
        <v>Duplicate ID</v>
      </c>
      <c r="Q1114" t="str">
        <f t="shared" si="71"/>
        <v>0-4,999</v>
      </c>
      <c r="R1114" s="6">
        <f>IF(COUNTIF($A$2:A1114,A1114)=1,1,0)</f>
        <v>0</v>
      </c>
    </row>
    <row r="1115" spans="1:18" x14ac:dyDescent="0.25">
      <c r="A1115" s="6">
        <v>1413</v>
      </c>
      <c r="B1115" s="7">
        <v>45162</v>
      </c>
      <c r="C1115" t="s">
        <v>1648</v>
      </c>
      <c r="D1115" s="6">
        <v>2019</v>
      </c>
      <c r="E1115" s="8">
        <v>4648</v>
      </c>
      <c r="F1115" s="8">
        <v>7000</v>
      </c>
      <c r="G1115" s="8">
        <f t="shared" si="68"/>
        <v>2352</v>
      </c>
      <c r="H1115" s="6">
        <v>80000</v>
      </c>
      <c r="I1115" t="s">
        <v>58</v>
      </c>
      <c r="J1115" t="s">
        <v>72</v>
      </c>
      <c r="K1115" t="s">
        <v>96</v>
      </c>
      <c r="L1115" t="s">
        <v>48</v>
      </c>
      <c r="M1115" t="s">
        <v>45</v>
      </c>
      <c r="N1115" s="6">
        <v>2</v>
      </c>
      <c r="O1115" t="str">
        <f t="shared" si="69"/>
        <v>Normal</v>
      </c>
      <c r="P1115" t="str">
        <f t="shared" si="70"/>
        <v>Duplicate ID</v>
      </c>
      <c r="Q1115" t="str">
        <f t="shared" si="71"/>
        <v>0-4,999</v>
      </c>
      <c r="R1115" s="6">
        <f>IF(COUNTIF($A$2:A1115,A1115)=1,1,0)</f>
        <v>0</v>
      </c>
    </row>
    <row r="1116" spans="1:18" x14ac:dyDescent="0.25">
      <c r="A1116" s="6">
        <v>1158</v>
      </c>
      <c r="B1116" s="7">
        <v>44973</v>
      </c>
      <c r="C1116" t="s">
        <v>79</v>
      </c>
      <c r="D1116" s="6">
        <v>2022</v>
      </c>
      <c r="E1116" s="8">
        <v>15889</v>
      </c>
      <c r="F1116" s="8">
        <v>18000</v>
      </c>
      <c r="G1116" s="8">
        <f t="shared" si="68"/>
        <v>2111</v>
      </c>
      <c r="H1116" s="6">
        <v>60000</v>
      </c>
      <c r="I1116" t="s">
        <v>41</v>
      </c>
      <c r="J1116" t="s">
        <v>1647</v>
      </c>
      <c r="K1116" t="s">
        <v>96</v>
      </c>
      <c r="L1116" t="s">
        <v>48</v>
      </c>
      <c r="M1116" t="s">
        <v>1647</v>
      </c>
      <c r="N1116" s="6">
        <v>1</v>
      </c>
      <c r="O1116" t="str">
        <f t="shared" si="69"/>
        <v>Normal</v>
      </c>
      <c r="P1116" t="str">
        <f t="shared" si="70"/>
        <v>Duplicate ID</v>
      </c>
      <c r="Q1116" t="str">
        <f t="shared" si="71"/>
        <v>15,000-19,999</v>
      </c>
      <c r="R1116" s="6">
        <f>IF(COUNTIF($A$2:A1116,A1116)=1,1,0)</f>
        <v>0</v>
      </c>
    </row>
    <row r="1117" spans="1:18" x14ac:dyDescent="0.25">
      <c r="A1117" s="6">
        <v>1123</v>
      </c>
      <c r="B1117" s="7">
        <v>45097</v>
      </c>
      <c r="C1117" t="s">
        <v>32</v>
      </c>
      <c r="D1117" s="6">
        <v>2020</v>
      </c>
      <c r="E1117" s="8">
        <v>4512</v>
      </c>
      <c r="F1117" s="8">
        <v>7000</v>
      </c>
      <c r="G1117" s="8">
        <f t="shared" si="68"/>
        <v>2488</v>
      </c>
      <c r="H1117" s="6">
        <v>80000</v>
      </c>
      <c r="I1117" t="s">
        <v>58</v>
      </c>
      <c r="J1117" t="s">
        <v>35</v>
      </c>
      <c r="K1117" t="s">
        <v>96</v>
      </c>
      <c r="L1117" t="s">
        <v>100</v>
      </c>
      <c r="M1117" t="s">
        <v>90</v>
      </c>
      <c r="N1117" s="6">
        <v>0</v>
      </c>
      <c r="O1117" t="str">
        <f t="shared" si="69"/>
        <v>Normal</v>
      </c>
      <c r="P1117" t="str">
        <f t="shared" si="70"/>
        <v>Duplicate ID</v>
      </c>
      <c r="Q1117" t="str">
        <f t="shared" si="71"/>
        <v>0-4,999</v>
      </c>
      <c r="R1117" s="6">
        <f>IF(COUNTIF($A$2:A1117,A1117)=1,1,0)</f>
        <v>0</v>
      </c>
    </row>
    <row r="1118" spans="1:18" x14ac:dyDescent="0.25">
      <c r="A1118" s="6">
        <v>1219</v>
      </c>
      <c r="B1118" s="7">
        <v>45357</v>
      </c>
      <c r="C1118" t="s">
        <v>51</v>
      </c>
      <c r="D1118" s="6">
        <v>2016</v>
      </c>
      <c r="E1118" s="8">
        <v>6277</v>
      </c>
      <c r="F1118" s="8">
        <v>12000</v>
      </c>
      <c r="G1118" s="8">
        <f t="shared" si="68"/>
        <v>5723</v>
      </c>
      <c r="H1118" s="6">
        <v>25000</v>
      </c>
      <c r="I1118" t="s">
        <v>34</v>
      </c>
      <c r="J1118" t="s">
        <v>72</v>
      </c>
      <c r="K1118" t="s">
        <v>1647</v>
      </c>
      <c r="L1118" t="s">
        <v>73</v>
      </c>
      <c r="M1118" t="s">
        <v>45</v>
      </c>
      <c r="N1118" s="6">
        <v>1</v>
      </c>
      <c r="O1118" t="str">
        <f t="shared" si="69"/>
        <v>Normal</v>
      </c>
      <c r="P1118" t="str">
        <f t="shared" si="70"/>
        <v>Duplicate ID</v>
      </c>
      <c r="Q1118" t="str">
        <f t="shared" si="71"/>
        <v>5,000-9,999</v>
      </c>
      <c r="R1118" s="6">
        <f>IF(COUNTIF($A$2:A1118,A1118)=1,1,0)</f>
        <v>1</v>
      </c>
    </row>
    <row r="1119" spans="1:18" x14ac:dyDescent="0.25">
      <c r="A1119" s="6">
        <v>1250</v>
      </c>
      <c r="B1119" s="7">
        <v>44941</v>
      </c>
      <c r="C1119" t="s">
        <v>32</v>
      </c>
      <c r="D1119" s="6">
        <v>2017</v>
      </c>
      <c r="E1119" s="8">
        <v>5649</v>
      </c>
      <c r="F1119" s="8">
        <v>12000</v>
      </c>
      <c r="G1119" s="8">
        <f t="shared" si="68"/>
        <v>6351</v>
      </c>
      <c r="H1119" s="6">
        <v>40000</v>
      </c>
      <c r="I1119" t="s">
        <v>69</v>
      </c>
      <c r="J1119" t="s">
        <v>1647</v>
      </c>
      <c r="K1119" t="s">
        <v>96</v>
      </c>
      <c r="L1119" t="s">
        <v>54</v>
      </c>
      <c r="M1119" t="s">
        <v>98</v>
      </c>
      <c r="N1119" s="6">
        <v>0</v>
      </c>
      <c r="O1119" t="str">
        <f t="shared" si="69"/>
        <v>Normal</v>
      </c>
      <c r="P1119" t="str">
        <f t="shared" si="70"/>
        <v>Duplicate ID</v>
      </c>
      <c r="Q1119" t="str">
        <f t="shared" si="71"/>
        <v>5,000-9,999</v>
      </c>
      <c r="R1119" s="6">
        <f>IF(COUNTIF($A$2:A1119,A1119)=1,1,0)</f>
        <v>0</v>
      </c>
    </row>
    <row r="1120" spans="1:18" x14ac:dyDescent="0.25">
      <c r="A1120" s="6">
        <v>1165</v>
      </c>
      <c r="B1120" s="7">
        <v>44645</v>
      </c>
      <c r="C1120" t="s">
        <v>1648</v>
      </c>
      <c r="D1120" s="6">
        <v>2018</v>
      </c>
      <c r="E1120" s="8">
        <v>25961</v>
      </c>
      <c r="F1120" s="8">
        <v>31000</v>
      </c>
      <c r="G1120" s="8">
        <f t="shared" si="68"/>
        <v>5039</v>
      </c>
      <c r="H1120" s="6">
        <v>120000</v>
      </c>
      <c r="I1120" t="s">
        <v>69</v>
      </c>
      <c r="J1120" t="s">
        <v>72</v>
      </c>
      <c r="K1120" t="s">
        <v>96</v>
      </c>
      <c r="L1120" t="s">
        <v>48</v>
      </c>
      <c r="M1120" t="s">
        <v>126</v>
      </c>
      <c r="N1120" s="6">
        <v>1</v>
      </c>
      <c r="O1120" t="str">
        <f t="shared" si="69"/>
        <v>Normal</v>
      </c>
      <c r="P1120" t="str">
        <f t="shared" si="70"/>
        <v>Duplicate ID</v>
      </c>
      <c r="Q1120" t="str">
        <f t="shared" si="71"/>
        <v>25,000-30,000</v>
      </c>
      <c r="R1120" s="6">
        <f>IF(COUNTIF($A$2:A1120,A1120)=1,1,0)</f>
        <v>0</v>
      </c>
    </row>
    <row r="1121" spans="1:18" x14ac:dyDescent="0.25">
      <c r="A1121" s="6">
        <v>1178</v>
      </c>
      <c r="B1121" s="7">
        <v>45366</v>
      </c>
      <c r="C1121" t="s">
        <v>1648</v>
      </c>
      <c r="D1121" s="6"/>
      <c r="E1121" s="8">
        <v>28470</v>
      </c>
      <c r="F1121" s="8">
        <v>31000</v>
      </c>
      <c r="G1121" s="8">
        <f t="shared" si="68"/>
        <v>2530</v>
      </c>
      <c r="H1121" s="6">
        <v>15000</v>
      </c>
      <c r="I1121" t="s">
        <v>1647</v>
      </c>
      <c r="J1121" t="s">
        <v>1647</v>
      </c>
      <c r="K1121" t="s">
        <v>96</v>
      </c>
      <c r="L1121" t="s">
        <v>73</v>
      </c>
      <c r="M1121" t="s">
        <v>90</v>
      </c>
      <c r="N1121" s="6">
        <v>3</v>
      </c>
      <c r="O1121" t="str">
        <f t="shared" si="69"/>
        <v>Normal</v>
      </c>
      <c r="P1121" t="str">
        <f t="shared" si="70"/>
        <v>Duplicate ID</v>
      </c>
      <c r="Q1121" t="str">
        <f t="shared" si="71"/>
        <v>25,000-30,000</v>
      </c>
      <c r="R1121" s="6">
        <f>IF(COUNTIF($A$2:A1121,A1121)=1,1,0)</f>
        <v>0</v>
      </c>
    </row>
    <row r="1122" spans="1:18" x14ac:dyDescent="0.25">
      <c r="A1122" s="6">
        <v>1100</v>
      </c>
      <c r="B1122" s="7">
        <v>44254</v>
      </c>
      <c r="C1122" t="s">
        <v>51</v>
      </c>
      <c r="D1122" s="6">
        <v>2016</v>
      </c>
      <c r="E1122" s="8">
        <v>12778</v>
      </c>
      <c r="F1122" s="8">
        <v>15000</v>
      </c>
      <c r="G1122" s="8">
        <f t="shared" si="68"/>
        <v>2222</v>
      </c>
      <c r="H1122" s="6">
        <v>25000</v>
      </c>
      <c r="I1122" t="s">
        <v>41</v>
      </c>
      <c r="J1122" t="s">
        <v>1647</v>
      </c>
      <c r="K1122" t="s">
        <v>36</v>
      </c>
      <c r="L1122" t="s">
        <v>100</v>
      </c>
      <c r="M1122" t="s">
        <v>126</v>
      </c>
      <c r="N1122" s="6">
        <v>0</v>
      </c>
      <c r="O1122" t="str">
        <f t="shared" si="69"/>
        <v>Normal</v>
      </c>
      <c r="P1122" t="str">
        <f t="shared" si="70"/>
        <v>Duplicate ID</v>
      </c>
      <c r="Q1122" t="str">
        <f t="shared" si="71"/>
        <v>10,000-14,999</v>
      </c>
      <c r="R1122" s="6">
        <f>IF(COUNTIF($A$2:A1122,A1122)=1,1,0)</f>
        <v>0</v>
      </c>
    </row>
    <row r="1123" spans="1:18" x14ac:dyDescent="0.25">
      <c r="A1123" s="6">
        <v>1531</v>
      </c>
      <c r="B1123" s="7">
        <v>45150</v>
      </c>
      <c r="C1123" t="s">
        <v>119</v>
      </c>
      <c r="D1123" s="6">
        <v>2022</v>
      </c>
      <c r="E1123" s="8">
        <v>24381</v>
      </c>
      <c r="F1123" s="8">
        <v>31000</v>
      </c>
      <c r="G1123" s="8">
        <f t="shared" si="68"/>
        <v>6619</v>
      </c>
      <c r="H1123" s="6">
        <v>80000</v>
      </c>
      <c r="I1123" t="s">
        <v>58</v>
      </c>
      <c r="J1123" t="s">
        <v>72</v>
      </c>
      <c r="K1123" t="s">
        <v>1647</v>
      </c>
      <c r="L1123" t="s">
        <v>54</v>
      </c>
      <c r="M1123" t="s">
        <v>90</v>
      </c>
      <c r="N1123" s="6">
        <v>1</v>
      </c>
      <c r="O1123" t="str">
        <f t="shared" si="69"/>
        <v>Normal</v>
      </c>
      <c r="P1123" t="str">
        <f t="shared" si="70"/>
        <v>Duplicate ID</v>
      </c>
      <c r="Q1123" t="str">
        <f t="shared" si="71"/>
        <v>20,000-24,999</v>
      </c>
      <c r="R1123" s="6">
        <f>IF(COUNTIF($A$2:A1123,A1123)=1,1,0)</f>
        <v>1</v>
      </c>
    </row>
    <row r="1124" spans="1:18" x14ac:dyDescent="0.25">
      <c r="A1124" s="6">
        <v>1309</v>
      </c>
      <c r="B1124" s="7">
        <v>44766</v>
      </c>
      <c r="C1124" t="s">
        <v>79</v>
      </c>
      <c r="D1124" s="6">
        <v>2014</v>
      </c>
      <c r="E1124" s="8">
        <v>5858</v>
      </c>
      <c r="F1124" s="8">
        <v>7000</v>
      </c>
      <c r="G1124" s="8">
        <f t="shared" si="68"/>
        <v>1142</v>
      </c>
      <c r="H1124" s="6">
        <v>25000</v>
      </c>
      <c r="I1124" t="s">
        <v>69</v>
      </c>
      <c r="J1124" t="s">
        <v>35</v>
      </c>
      <c r="K1124" t="s">
        <v>96</v>
      </c>
      <c r="L1124" t="s">
        <v>73</v>
      </c>
      <c r="M1124" t="s">
        <v>45</v>
      </c>
      <c r="N1124" s="6">
        <v>1</v>
      </c>
      <c r="O1124" t="str">
        <f t="shared" si="69"/>
        <v>Normal</v>
      </c>
      <c r="P1124" t="str">
        <f t="shared" si="70"/>
        <v>Duplicate ID</v>
      </c>
      <c r="Q1124" t="str">
        <f t="shared" si="71"/>
        <v>5,000-9,999</v>
      </c>
      <c r="R1124" s="6">
        <f>IF(COUNTIF($A$2:A1124,A1124)=1,1,0)</f>
        <v>0</v>
      </c>
    </row>
    <row r="1125" spans="1:18" x14ac:dyDescent="0.25">
      <c r="A1125" s="6">
        <v>1171</v>
      </c>
      <c r="B1125" s="7">
        <v>45379</v>
      </c>
      <c r="C1125" t="s">
        <v>57</v>
      </c>
      <c r="D1125" s="6"/>
      <c r="E1125" s="8">
        <v>6778</v>
      </c>
      <c r="F1125" s="8">
        <v>9000</v>
      </c>
      <c r="G1125" s="8">
        <f t="shared" si="68"/>
        <v>2222</v>
      </c>
      <c r="H1125" s="6">
        <v>15000</v>
      </c>
      <c r="I1125" t="s">
        <v>69</v>
      </c>
      <c r="J1125" t="s">
        <v>35</v>
      </c>
      <c r="K1125" t="s">
        <v>36</v>
      </c>
      <c r="L1125" t="s">
        <v>54</v>
      </c>
      <c r="M1125" t="s">
        <v>90</v>
      </c>
      <c r="N1125" s="6">
        <v>3</v>
      </c>
      <c r="O1125" t="str">
        <f t="shared" si="69"/>
        <v>Normal</v>
      </c>
      <c r="P1125" t="str">
        <f t="shared" si="70"/>
        <v>Duplicate ID</v>
      </c>
      <c r="Q1125" t="str">
        <f t="shared" si="71"/>
        <v>5,000-9,999</v>
      </c>
      <c r="R1125" s="6">
        <f>IF(COUNTIF($A$2:A1125,A1125)=1,1,0)</f>
        <v>0</v>
      </c>
    </row>
    <row r="1126" spans="1:18" x14ac:dyDescent="0.25">
      <c r="A1126" s="6">
        <v>1005</v>
      </c>
      <c r="B1126" s="7">
        <v>44599</v>
      </c>
      <c r="C1126" t="s">
        <v>119</v>
      </c>
      <c r="D1126" s="6">
        <v>2018</v>
      </c>
      <c r="E1126" s="8">
        <v>8986</v>
      </c>
      <c r="F1126" s="8">
        <v>15000</v>
      </c>
      <c r="G1126" s="8">
        <f t="shared" si="68"/>
        <v>6014</v>
      </c>
      <c r="H1126" s="6">
        <v>15000</v>
      </c>
      <c r="I1126" t="s">
        <v>1647</v>
      </c>
      <c r="J1126" t="s">
        <v>35</v>
      </c>
      <c r="K1126" t="s">
        <v>1647</v>
      </c>
      <c r="L1126" t="s">
        <v>73</v>
      </c>
      <c r="M1126" t="s">
        <v>90</v>
      </c>
      <c r="N1126" s="6">
        <v>3</v>
      </c>
      <c r="O1126" t="str">
        <f t="shared" si="69"/>
        <v>Normal</v>
      </c>
      <c r="P1126" t="str">
        <f t="shared" si="70"/>
        <v>Duplicate ID</v>
      </c>
      <c r="Q1126" t="str">
        <f t="shared" si="71"/>
        <v>5,000-9,999</v>
      </c>
      <c r="R1126" s="6">
        <f>IF(COUNTIF($A$2:A1126,A1126)=1,1,0)</f>
        <v>0</v>
      </c>
    </row>
    <row r="1127" spans="1:18" x14ac:dyDescent="0.25">
      <c r="A1127" s="6">
        <v>1212</v>
      </c>
      <c r="B1127" s="7">
        <v>44433</v>
      </c>
      <c r="C1127" t="s">
        <v>40</v>
      </c>
      <c r="D1127" s="6">
        <v>2018</v>
      </c>
      <c r="E1127" s="8">
        <v>9757</v>
      </c>
      <c r="F1127" s="8">
        <v>12000</v>
      </c>
      <c r="G1127" s="8">
        <f t="shared" si="68"/>
        <v>2243</v>
      </c>
      <c r="H1127" s="6">
        <v>120000</v>
      </c>
      <c r="I1127" t="s">
        <v>1647</v>
      </c>
      <c r="J1127" t="s">
        <v>72</v>
      </c>
      <c r="K1127" t="s">
        <v>96</v>
      </c>
      <c r="L1127" t="s">
        <v>100</v>
      </c>
      <c r="M1127" t="s">
        <v>126</v>
      </c>
      <c r="N1127" s="6">
        <v>0</v>
      </c>
      <c r="O1127" t="str">
        <f t="shared" si="69"/>
        <v>Normal</v>
      </c>
      <c r="P1127" t="str">
        <f t="shared" si="70"/>
        <v>Duplicate ID</v>
      </c>
      <c r="Q1127" t="str">
        <f t="shared" si="71"/>
        <v>5,000-9,999</v>
      </c>
      <c r="R1127" s="6">
        <f>IF(COUNTIF($A$2:A1127,A1127)=1,1,0)</f>
        <v>1</v>
      </c>
    </row>
    <row r="1128" spans="1:18" x14ac:dyDescent="0.25">
      <c r="A1128" s="6">
        <v>1132</v>
      </c>
      <c r="B1128" s="7">
        <v>44411</v>
      </c>
      <c r="C1128" t="s">
        <v>40</v>
      </c>
      <c r="D1128" s="6">
        <v>2015</v>
      </c>
      <c r="E1128" s="8">
        <v>4702</v>
      </c>
      <c r="F1128" s="8">
        <v>9000</v>
      </c>
      <c r="G1128" s="8">
        <f t="shared" si="68"/>
        <v>4298</v>
      </c>
      <c r="H1128" s="6">
        <v>60000</v>
      </c>
      <c r="I1128" t="s">
        <v>41</v>
      </c>
      <c r="J1128" t="s">
        <v>72</v>
      </c>
      <c r="K1128" t="s">
        <v>36</v>
      </c>
      <c r="L1128" t="s">
        <v>54</v>
      </c>
      <c r="M1128" t="s">
        <v>1647</v>
      </c>
      <c r="N1128" s="6">
        <v>3</v>
      </c>
      <c r="O1128" t="str">
        <f t="shared" si="69"/>
        <v>Normal</v>
      </c>
      <c r="P1128" t="str">
        <f t="shared" si="70"/>
        <v>Duplicate ID</v>
      </c>
      <c r="Q1128" t="str">
        <f t="shared" si="71"/>
        <v>0-4,999</v>
      </c>
      <c r="R1128" s="6">
        <f>IF(COUNTIF($A$2:A1128,A1128)=1,1,0)</f>
        <v>1</v>
      </c>
    </row>
    <row r="1129" spans="1:18" x14ac:dyDescent="0.25">
      <c r="A1129" s="6">
        <v>1197</v>
      </c>
      <c r="B1129" s="7">
        <v>45368</v>
      </c>
      <c r="C1129" t="s">
        <v>119</v>
      </c>
      <c r="D1129" s="6">
        <v>2017</v>
      </c>
      <c r="E1129" s="8">
        <v>11595</v>
      </c>
      <c r="F1129" s="8">
        <v>15000</v>
      </c>
      <c r="G1129" s="8">
        <f t="shared" si="68"/>
        <v>3405</v>
      </c>
      <c r="H1129" s="6">
        <v>15000</v>
      </c>
      <c r="I1129" t="s">
        <v>58</v>
      </c>
      <c r="J1129" t="s">
        <v>72</v>
      </c>
      <c r="K1129" t="s">
        <v>96</v>
      </c>
      <c r="L1129" t="s">
        <v>1647</v>
      </c>
      <c r="M1129" t="s">
        <v>126</v>
      </c>
      <c r="N1129" s="6">
        <v>1</v>
      </c>
      <c r="O1129" t="str">
        <f t="shared" si="69"/>
        <v>Normal</v>
      </c>
      <c r="P1129" t="str">
        <f t="shared" si="70"/>
        <v>Duplicate ID</v>
      </c>
      <c r="Q1129" t="str">
        <f t="shared" si="71"/>
        <v>10,000-14,999</v>
      </c>
      <c r="R1129" s="6">
        <f>IF(COUNTIF($A$2:A1129,A1129)=1,1,0)</f>
        <v>0</v>
      </c>
    </row>
    <row r="1130" spans="1:18" x14ac:dyDescent="0.25">
      <c r="A1130" s="6">
        <v>1571</v>
      </c>
      <c r="B1130" s="7">
        <v>44243</v>
      </c>
      <c r="C1130" t="s">
        <v>51</v>
      </c>
      <c r="D1130" s="6">
        <v>2016</v>
      </c>
      <c r="E1130" s="8">
        <v>5670</v>
      </c>
      <c r="F1130" s="8">
        <v>9000</v>
      </c>
      <c r="G1130" s="8">
        <f t="shared" si="68"/>
        <v>3330</v>
      </c>
      <c r="H1130" s="6">
        <v>15000</v>
      </c>
      <c r="I1130" t="s">
        <v>69</v>
      </c>
      <c r="J1130" t="s">
        <v>35</v>
      </c>
      <c r="K1130" t="s">
        <v>1647</v>
      </c>
      <c r="L1130" t="s">
        <v>54</v>
      </c>
      <c r="M1130" t="s">
        <v>90</v>
      </c>
      <c r="N1130" s="6">
        <v>1</v>
      </c>
      <c r="O1130" t="str">
        <f t="shared" si="69"/>
        <v>Normal</v>
      </c>
      <c r="P1130" t="str">
        <f t="shared" si="70"/>
        <v>Duplicate ID</v>
      </c>
      <c r="Q1130" t="str">
        <f t="shared" si="71"/>
        <v>5,000-9,999</v>
      </c>
      <c r="R1130" s="6">
        <f>IF(COUNTIF($A$2:A1130,A1130)=1,1,0)</f>
        <v>0</v>
      </c>
    </row>
    <row r="1131" spans="1:18" x14ac:dyDescent="0.25">
      <c r="A1131" s="6">
        <v>1375</v>
      </c>
      <c r="B1131" s="7">
        <v>44593</v>
      </c>
      <c r="C1131" t="s">
        <v>51</v>
      </c>
      <c r="D1131" s="6">
        <v>2020</v>
      </c>
      <c r="E1131" s="8">
        <v>6156</v>
      </c>
      <c r="F1131" s="8">
        <v>12000</v>
      </c>
      <c r="G1131" s="8">
        <f t="shared" si="68"/>
        <v>5844</v>
      </c>
      <c r="H1131" s="6">
        <v>15000</v>
      </c>
      <c r="I1131" t="s">
        <v>41</v>
      </c>
      <c r="J1131" t="s">
        <v>35</v>
      </c>
      <c r="K1131" t="s">
        <v>36</v>
      </c>
      <c r="L1131" t="s">
        <v>54</v>
      </c>
      <c r="M1131" t="s">
        <v>90</v>
      </c>
      <c r="N1131" s="6" t="s">
        <v>1647</v>
      </c>
      <c r="O1131" t="str">
        <f t="shared" si="69"/>
        <v>Normal</v>
      </c>
      <c r="P1131" t="str">
        <f t="shared" si="70"/>
        <v>Duplicate ID</v>
      </c>
      <c r="Q1131" t="str">
        <f t="shared" si="71"/>
        <v>5,000-9,999</v>
      </c>
      <c r="R1131" s="6">
        <f>IF(COUNTIF($A$2:A1131,A1131)=1,1,0)</f>
        <v>1</v>
      </c>
    </row>
    <row r="1132" spans="1:18" x14ac:dyDescent="0.25">
      <c r="A1132" s="6">
        <v>1145</v>
      </c>
      <c r="B1132" s="7">
        <v>44439</v>
      </c>
      <c r="C1132" t="s">
        <v>1648</v>
      </c>
      <c r="D1132" s="6">
        <v>2014</v>
      </c>
      <c r="E1132" s="8">
        <v>4284</v>
      </c>
      <c r="F1132" s="8">
        <v>9000</v>
      </c>
      <c r="G1132" s="8">
        <f t="shared" si="68"/>
        <v>4716</v>
      </c>
      <c r="H1132" s="6">
        <v>25000</v>
      </c>
      <c r="I1132" t="s">
        <v>69</v>
      </c>
      <c r="J1132" t="s">
        <v>1647</v>
      </c>
      <c r="K1132" t="s">
        <v>96</v>
      </c>
      <c r="L1132" t="s">
        <v>48</v>
      </c>
      <c r="M1132" t="s">
        <v>45</v>
      </c>
      <c r="N1132" s="6">
        <v>1</v>
      </c>
      <c r="O1132" t="str">
        <f t="shared" si="69"/>
        <v>Normal</v>
      </c>
      <c r="P1132" t="str">
        <f t="shared" si="70"/>
        <v>Duplicate ID</v>
      </c>
      <c r="Q1132" t="str">
        <f t="shared" si="71"/>
        <v>0-4,999</v>
      </c>
      <c r="R1132" s="6">
        <f>IF(COUNTIF($A$2:A1132,A1132)=1,1,0)</f>
        <v>0</v>
      </c>
    </row>
    <row r="1133" spans="1:18" x14ac:dyDescent="0.25">
      <c r="A1133" s="6">
        <v>1144</v>
      </c>
      <c r="B1133" s="7">
        <v>44249</v>
      </c>
      <c r="C1133" t="s">
        <v>57</v>
      </c>
      <c r="D1133" s="6">
        <v>2014</v>
      </c>
      <c r="E1133" s="8">
        <v>15721</v>
      </c>
      <c r="F1133" s="8">
        <v>18000</v>
      </c>
      <c r="G1133" s="8">
        <f t="shared" si="68"/>
        <v>2279</v>
      </c>
      <c r="H1133" s="6">
        <v>15000</v>
      </c>
      <c r="I1133" t="s">
        <v>69</v>
      </c>
      <c r="J1133" t="s">
        <v>1647</v>
      </c>
      <c r="K1133" t="s">
        <v>36</v>
      </c>
      <c r="L1133" t="s">
        <v>48</v>
      </c>
      <c r="M1133" t="s">
        <v>90</v>
      </c>
      <c r="N1133" s="6" t="s">
        <v>1647</v>
      </c>
      <c r="O1133" t="str">
        <f t="shared" si="69"/>
        <v>Normal</v>
      </c>
      <c r="P1133" t="str">
        <f t="shared" si="70"/>
        <v>Duplicate ID</v>
      </c>
      <c r="Q1133" t="str">
        <f t="shared" si="71"/>
        <v>15,000-19,999</v>
      </c>
      <c r="R1133" s="6">
        <f>IF(COUNTIF($A$2:A1133,A1133)=1,1,0)</f>
        <v>0</v>
      </c>
    </row>
    <row r="1134" spans="1:18" x14ac:dyDescent="0.25">
      <c r="A1134" s="6">
        <v>1453</v>
      </c>
      <c r="B1134" s="7">
        <v>44322</v>
      </c>
      <c r="C1134" t="s">
        <v>1648</v>
      </c>
      <c r="D1134" s="6">
        <v>2018</v>
      </c>
      <c r="E1134" s="8">
        <v>1093</v>
      </c>
      <c r="F1134" s="8">
        <v>7000</v>
      </c>
      <c r="G1134" s="8">
        <f t="shared" si="68"/>
        <v>5907</v>
      </c>
      <c r="H1134" s="6">
        <v>25000</v>
      </c>
      <c r="I1134" t="s">
        <v>41</v>
      </c>
      <c r="J1134" t="s">
        <v>72</v>
      </c>
      <c r="K1134" t="s">
        <v>36</v>
      </c>
      <c r="L1134" t="s">
        <v>100</v>
      </c>
      <c r="M1134" t="s">
        <v>90</v>
      </c>
      <c r="N1134" s="6">
        <v>2</v>
      </c>
      <c r="O1134" t="str">
        <f t="shared" si="69"/>
        <v>Normal</v>
      </c>
      <c r="P1134" t="str">
        <f t="shared" si="70"/>
        <v>Duplicate ID</v>
      </c>
      <c r="Q1134" t="str">
        <f t="shared" si="71"/>
        <v>0-4,999</v>
      </c>
      <c r="R1134" s="6">
        <f>IF(COUNTIF($A$2:A1134,A1134)=1,1,0)</f>
        <v>0</v>
      </c>
    </row>
    <row r="1135" spans="1:18" x14ac:dyDescent="0.25">
      <c r="A1135" s="6">
        <v>1227</v>
      </c>
      <c r="B1135" s="7">
        <v>44212</v>
      </c>
      <c r="C1135" t="s">
        <v>32</v>
      </c>
      <c r="D1135" s="6">
        <v>2019</v>
      </c>
      <c r="E1135" s="8">
        <v>19701</v>
      </c>
      <c r="F1135" s="8">
        <v>22000</v>
      </c>
      <c r="G1135" s="8">
        <f t="shared" si="68"/>
        <v>2299</v>
      </c>
      <c r="H1135" s="6">
        <v>40000</v>
      </c>
      <c r="I1135" t="s">
        <v>41</v>
      </c>
      <c r="J1135" t="s">
        <v>35</v>
      </c>
      <c r="K1135" t="s">
        <v>36</v>
      </c>
      <c r="L1135" t="s">
        <v>54</v>
      </c>
      <c r="M1135" t="s">
        <v>98</v>
      </c>
      <c r="N1135" s="6">
        <v>3</v>
      </c>
      <c r="O1135" t="str">
        <f t="shared" si="69"/>
        <v>Normal</v>
      </c>
      <c r="P1135" t="str">
        <f t="shared" si="70"/>
        <v>Duplicate ID</v>
      </c>
      <c r="Q1135" t="str">
        <f t="shared" si="71"/>
        <v>15,000-19,999</v>
      </c>
      <c r="R1135" s="6">
        <f>IF(COUNTIF($A$2:A1135,A1135)=1,1,0)</f>
        <v>0</v>
      </c>
    </row>
    <row r="1136" spans="1:18" x14ac:dyDescent="0.25">
      <c r="A1136" s="6">
        <v>1379</v>
      </c>
      <c r="B1136" s="7">
        <v>44329</v>
      </c>
      <c r="C1136" t="s">
        <v>1648</v>
      </c>
      <c r="D1136" s="6">
        <v>2019</v>
      </c>
      <c r="E1136" s="8">
        <v>19898</v>
      </c>
      <c r="F1136" s="8">
        <v>26000</v>
      </c>
      <c r="G1136" s="8">
        <f t="shared" si="68"/>
        <v>6102</v>
      </c>
      <c r="H1136" s="6">
        <v>40000</v>
      </c>
      <c r="I1136" t="s">
        <v>69</v>
      </c>
      <c r="J1136" t="s">
        <v>72</v>
      </c>
      <c r="K1136" t="s">
        <v>96</v>
      </c>
      <c r="L1136" t="s">
        <v>100</v>
      </c>
      <c r="M1136" t="s">
        <v>90</v>
      </c>
      <c r="N1136" s="6">
        <v>2</v>
      </c>
      <c r="O1136" t="str">
        <f t="shared" si="69"/>
        <v>Normal</v>
      </c>
      <c r="P1136" t="str">
        <f t="shared" si="70"/>
        <v>Duplicate ID</v>
      </c>
      <c r="Q1136" t="str">
        <f t="shared" si="71"/>
        <v>15,000-19,999</v>
      </c>
      <c r="R1136" s="6">
        <f>IF(COUNTIF($A$2:A1136,A1136)=1,1,0)</f>
        <v>1</v>
      </c>
    </row>
    <row r="1137" spans="1:18" x14ac:dyDescent="0.25">
      <c r="A1137" s="6">
        <v>1002</v>
      </c>
      <c r="B1137" s="7">
        <v>45086</v>
      </c>
      <c r="C1137" t="s">
        <v>1648</v>
      </c>
      <c r="D1137" s="6">
        <v>2015</v>
      </c>
      <c r="E1137" s="8">
        <v>7218</v>
      </c>
      <c r="F1137" s="8">
        <v>12000</v>
      </c>
      <c r="G1137" s="8">
        <f t="shared" si="68"/>
        <v>4782</v>
      </c>
      <c r="H1137" s="6">
        <v>40000</v>
      </c>
      <c r="I1137" t="s">
        <v>41</v>
      </c>
      <c r="J1137" t="s">
        <v>35</v>
      </c>
      <c r="K1137" t="s">
        <v>36</v>
      </c>
      <c r="L1137" t="s">
        <v>73</v>
      </c>
      <c r="M1137" t="s">
        <v>98</v>
      </c>
      <c r="N1137" s="6" t="s">
        <v>1647</v>
      </c>
      <c r="O1137" t="str">
        <f t="shared" si="69"/>
        <v>Normal</v>
      </c>
      <c r="P1137" t="str">
        <f t="shared" si="70"/>
        <v>Duplicate ID</v>
      </c>
      <c r="Q1137" t="str">
        <f t="shared" si="71"/>
        <v>5,000-9,999</v>
      </c>
      <c r="R1137" s="6">
        <f>IF(COUNTIF($A$2:A1137,A1137)=1,1,0)</f>
        <v>1</v>
      </c>
    </row>
    <row r="1138" spans="1:18" x14ac:dyDescent="0.25">
      <c r="A1138" s="6">
        <v>1500</v>
      </c>
      <c r="B1138" s="7">
        <v>44381</v>
      </c>
      <c r="C1138" t="s">
        <v>119</v>
      </c>
      <c r="D1138" s="6">
        <v>2015</v>
      </c>
      <c r="E1138" s="8">
        <v>27738</v>
      </c>
      <c r="F1138" s="8">
        <v>31000</v>
      </c>
      <c r="G1138" s="8">
        <f t="shared" si="68"/>
        <v>3262</v>
      </c>
      <c r="H1138" s="6">
        <v>60000</v>
      </c>
      <c r="I1138" t="s">
        <v>41</v>
      </c>
      <c r="J1138" t="s">
        <v>72</v>
      </c>
      <c r="K1138" t="s">
        <v>96</v>
      </c>
      <c r="L1138" t="s">
        <v>73</v>
      </c>
      <c r="M1138" t="s">
        <v>90</v>
      </c>
      <c r="N1138" s="6" t="s">
        <v>1647</v>
      </c>
      <c r="O1138" t="str">
        <f t="shared" si="69"/>
        <v>Normal</v>
      </c>
      <c r="P1138" t="str">
        <f t="shared" si="70"/>
        <v>Duplicate ID</v>
      </c>
      <c r="Q1138" t="str">
        <f t="shared" si="71"/>
        <v>25,000-30,000</v>
      </c>
      <c r="R1138" s="6">
        <f>IF(COUNTIF($A$2:A1138,A1138)=1,1,0)</f>
        <v>0</v>
      </c>
    </row>
    <row r="1139" spans="1:18" x14ac:dyDescent="0.25">
      <c r="A1139" s="6">
        <v>1086</v>
      </c>
      <c r="B1139" s="7">
        <v>45146</v>
      </c>
      <c r="C1139" t="s">
        <v>40</v>
      </c>
      <c r="D1139" s="6">
        <v>2015</v>
      </c>
      <c r="E1139" s="8">
        <v>20502</v>
      </c>
      <c r="F1139" s="8">
        <v>22000</v>
      </c>
      <c r="G1139" s="8">
        <f t="shared" si="68"/>
        <v>1498</v>
      </c>
      <c r="H1139" s="6">
        <v>120000</v>
      </c>
      <c r="I1139" t="s">
        <v>58</v>
      </c>
      <c r="J1139" t="s">
        <v>35</v>
      </c>
      <c r="K1139" t="s">
        <v>96</v>
      </c>
      <c r="L1139" t="s">
        <v>100</v>
      </c>
      <c r="M1139" t="s">
        <v>45</v>
      </c>
      <c r="N1139" s="6">
        <v>0</v>
      </c>
      <c r="O1139" t="str">
        <f t="shared" si="69"/>
        <v>Normal</v>
      </c>
      <c r="P1139" t="str">
        <f t="shared" si="70"/>
        <v>Duplicate ID</v>
      </c>
      <c r="Q1139" t="str">
        <f t="shared" si="71"/>
        <v>20,000-24,999</v>
      </c>
      <c r="R1139" s="6">
        <f>IF(COUNTIF($A$2:A1139,A1139)=1,1,0)</f>
        <v>0</v>
      </c>
    </row>
    <row r="1140" spans="1:18" x14ac:dyDescent="0.25">
      <c r="A1140" s="6">
        <v>1307</v>
      </c>
      <c r="B1140" s="7">
        <v>45204</v>
      </c>
      <c r="C1140" t="s">
        <v>40</v>
      </c>
      <c r="D1140" s="6">
        <v>2018</v>
      </c>
      <c r="E1140" s="8">
        <v>18743</v>
      </c>
      <c r="F1140" s="8">
        <v>22000</v>
      </c>
      <c r="G1140" s="8">
        <f t="shared" si="68"/>
        <v>3257</v>
      </c>
      <c r="H1140" s="6">
        <v>80000</v>
      </c>
      <c r="I1140" t="s">
        <v>58</v>
      </c>
      <c r="J1140" t="s">
        <v>35</v>
      </c>
      <c r="K1140" t="s">
        <v>36</v>
      </c>
      <c r="L1140" t="s">
        <v>48</v>
      </c>
      <c r="M1140" t="s">
        <v>90</v>
      </c>
      <c r="N1140" s="6">
        <v>2</v>
      </c>
      <c r="O1140" t="str">
        <f t="shared" si="69"/>
        <v>Normal</v>
      </c>
      <c r="P1140" t="str">
        <f t="shared" si="70"/>
        <v>Duplicate ID</v>
      </c>
      <c r="Q1140" t="str">
        <f t="shared" si="71"/>
        <v>15,000-19,999</v>
      </c>
      <c r="R1140" s="6">
        <f>IF(COUNTIF($A$2:A1140,A1140)=1,1,0)</f>
        <v>0</v>
      </c>
    </row>
    <row r="1141" spans="1:18" x14ac:dyDescent="0.25">
      <c r="A1141" s="6">
        <v>1508</v>
      </c>
      <c r="B1141" s="7">
        <v>44716</v>
      </c>
      <c r="C1141" t="s">
        <v>79</v>
      </c>
      <c r="D1141" s="6">
        <v>2021</v>
      </c>
      <c r="E1141" s="8">
        <v>21482</v>
      </c>
      <c r="F1141" s="8">
        <v>26000</v>
      </c>
      <c r="G1141" s="8">
        <f t="shared" si="68"/>
        <v>4518</v>
      </c>
      <c r="H1141" s="6">
        <v>120000</v>
      </c>
      <c r="I1141" t="s">
        <v>58</v>
      </c>
      <c r="J1141" t="s">
        <v>35</v>
      </c>
      <c r="K1141" t="s">
        <v>1647</v>
      </c>
      <c r="L1141" t="s">
        <v>48</v>
      </c>
      <c r="M1141" t="s">
        <v>90</v>
      </c>
      <c r="N1141" s="6">
        <v>3</v>
      </c>
      <c r="O1141" t="str">
        <f t="shared" si="69"/>
        <v>Normal</v>
      </c>
      <c r="P1141" t="str">
        <f t="shared" si="70"/>
        <v>Duplicate ID</v>
      </c>
      <c r="Q1141" t="str">
        <f t="shared" si="71"/>
        <v>20,000-24,999</v>
      </c>
      <c r="R1141" s="6">
        <f>IF(COUNTIF($A$2:A1141,A1141)=1,1,0)</f>
        <v>0</v>
      </c>
    </row>
    <row r="1142" spans="1:18" x14ac:dyDescent="0.25">
      <c r="A1142" s="6">
        <v>1361</v>
      </c>
      <c r="B1142" s="7">
        <v>44358</v>
      </c>
      <c r="C1142" t="s">
        <v>119</v>
      </c>
      <c r="D1142" s="6">
        <v>2020</v>
      </c>
      <c r="E1142" s="8">
        <v>23781</v>
      </c>
      <c r="F1142" s="8">
        <v>26000</v>
      </c>
      <c r="G1142" s="8">
        <f t="shared" si="68"/>
        <v>2219</v>
      </c>
      <c r="H1142" s="6">
        <v>60000</v>
      </c>
      <c r="I1142" t="s">
        <v>1647</v>
      </c>
      <c r="J1142" t="s">
        <v>35</v>
      </c>
      <c r="K1142" t="s">
        <v>36</v>
      </c>
      <c r="L1142" t="s">
        <v>73</v>
      </c>
      <c r="M1142" t="s">
        <v>45</v>
      </c>
      <c r="N1142" s="6">
        <v>3</v>
      </c>
      <c r="O1142" t="str">
        <f t="shared" si="69"/>
        <v>Normal</v>
      </c>
      <c r="P1142" t="str">
        <f t="shared" si="70"/>
        <v>Duplicate ID</v>
      </c>
      <c r="Q1142" t="str">
        <f t="shared" si="71"/>
        <v>20,000-24,999</v>
      </c>
      <c r="R1142" s="6">
        <f>IF(COUNTIF($A$2:A1142,A1142)=1,1,0)</f>
        <v>0</v>
      </c>
    </row>
    <row r="1143" spans="1:18" x14ac:dyDescent="0.25">
      <c r="A1143" s="6">
        <v>1069</v>
      </c>
      <c r="B1143" s="7">
        <v>44248</v>
      </c>
      <c r="C1143" t="s">
        <v>1648</v>
      </c>
      <c r="D1143" s="6">
        <v>2020</v>
      </c>
      <c r="E1143" s="8">
        <v>5294</v>
      </c>
      <c r="F1143" s="8">
        <v>9000</v>
      </c>
      <c r="G1143" s="8">
        <f t="shared" si="68"/>
        <v>3706</v>
      </c>
      <c r="H1143" s="6">
        <v>40000</v>
      </c>
      <c r="I1143" t="s">
        <v>1647</v>
      </c>
      <c r="J1143" t="s">
        <v>35</v>
      </c>
      <c r="K1143" t="s">
        <v>96</v>
      </c>
      <c r="L1143" t="s">
        <v>73</v>
      </c>
      <c r="M1143" t="s">
        <v>126</v>
      </c>
      <c r="N1143" s="6">
        <v>2</v>
      </c>
      <c r="O1143" t="str">
        <f t="shared" si="69"/>
        <v>Normal</v>
      </c>
      <c r="P1143" t="str">
        <f t="shared" si="70"/>
        <v>Duplicate ID</v>
      </c>
      <c r="Q1143" t="str">
        <f t="shared" si="71"/>
        <v>5,000-9,999</v>
      </c>
      <c r="R1143" s="6">
        <f>IF(COUNTIF($A$2:A1143,A1143)=1,1,0)</f>
        <v>1</v>
      </c>
    </row>
    <row r="1144" spans="1:18" x14ac:dyDescent="0.25">
      <c r="A1144" s="6">
        <v>1587</v>
      </c>
      <c r="B1144" s="7">
        <v>44749</v>
      </c>
      <c r="C1144" t="s">
        <v>119</v>
      </c>
      <c r="D1144" s="6">
        <v>2022</v>
      </c>
      <c r="E1144" s="8">
        <v>3389</v>
      </c>
      <c r="F1144" s="8">
        <v>9000</v>
      </c>
      <c r="G1144" s="8">
        <f t="shared" si="68"/>
        <v>5611</v>
      </c>
      <c r="H1144" s="6">
        <v>120000</v>
      </c>
      <c r="I1144" t="s">
        <v>41</v>
      </c>
      <c r="J1144" t="s">
        <v>72</v>
      </c>
      <c r="K1144" t="s">
        <v>36</v>
      </c>
      <c r="L1144" t="s">
        <v>73</v>
      </c>
      <c r="M1144" t="s">
        <v>45</v>
      </c>
      <c r="N1144" s="6" t="s">
        <v>1647</v>
      </c>
      <c r="O1144" t="str">
        <f t="shared" si="69"/>
        <v>Normal</v>
      </c>
      <c r="P1144" t="str">
        <f t="shared" si="70"/>
        <v>Duplicate ID</v>
      </c>
      <c r="Q1144" t="str">
        <f t="shared" si="71"/>
        <v>0-4,999</v>
      </c>
      <c r="R1144" s="6">
        <f>IF(COUNTIF($A$2:A1144,A1144)=1,1,0)</f>
        <v>0</v>
      </c>
    </row>
    <row r="1145" spans="1:18" x14ac:dyDescent="0.25">
      <c r="A1145" s="6">
        <v>1404</v>
      </c>
      <c r="B1145" s="7">
        <v>45214</v>
      </c>
      <c r="C1145" t="s">
        <v>40</v>
      </c>
      <c r="D1145" s="6"/>
      <c r="E1145" s="8">
        <v>12102</v>
      </c>
      <c r="F1145" s="8">
        <v>18000</v>
      </c>
      <c r="G1145" s="8">
        <f t="shared" si="68"/>
        <v>5898</v>
      </c>
      <c r="H1145" s="6">
        <v>120000</v>
      </c>
      <c r="I1145" t="s">
        <v>58</v>
      </c>
      <c r="J1145" t="s">
        <v>35</v>
      </c>
      <c r="K1145" t="s">
        <v>36</v>
      </c>
      <c r="L1145" t="s">
        <v>48</v>
      </c>
      <c r="M1145" t="s">
        <v>98</v>
      </c>
      <c r="N1145" s="6">
        <v>0</v>
      </c>
      <c r="O1145" t="str">
        <f t="shared" si="69"/>
        <v>Normal</v>
      </c>
      <c r="P1145" t="str">
        <f t="shared" si="70"/>
        <v>Duplicate ID</v>
      </c>
      <c r="Q1145" t="str">
        <f t="shared" si="71"/>
        <v>10,000-14,999</v>
      </c>
      <c r="R1145" s="6">
        <f>IF(COUNTIF($A$2:A1145,A1145)=1,1,0)</f>
        <v>0</v>
      </c>
    </row>
    <row r="1146" spans="1:18" x14ac:dyDescent="0.25">
      <c r="A1146" s="6">
        <v>1101</v>
      </c>
      <c r="B1146" s="7">
        <v>44979</v>
      </c>
      <c r="C1146" t="s">
        <v>1648</v>
      </c>
      <c r="D1146" s="6">
        <v>2020</v>
      </c>
      <c r="E1146" s="8">
        <v>13635</v>
      </c>
      <c r="F1146" s="8">
        <v>18000</v>
      </c>
      <c r="G1146" s="8">
        <f t="shared" si="68"/>
        <v>4365</v>
      </c>
      <c r="H1146" s="6">
        <v>15000</v>
      </c>
      <c r="I1146" t="s">
        <v>1647</v>
      </c>
      <c r="J1146" t="s">
        <v>72</v>
      </c>
      <c r="K1146" t="s">
        <v>1647</v>
      </c>
      <c r="L1146" t="s">
        <v>54</v>
      </c>
      <c r="M1146" t="s">
        <v>90</v>
      </c>
      <c r="N1146" s="6">
        <v>1</v>
      </c>
      <c r="O1146" t="str">
        <f t="shared" si="69"/>
        <v>Normal</v>
      </c>
      <c r="P1146" t="str">
        <f t="shared" si="70"/>
        <v>Duplicate ID</v>
      </c>
      <c r="Q1146" t="str">
        <f t="shared" si="71"/>
        <v>10,000-14,999</v>
      </c>
      <c r="R1146" s="6">
        <f>IF(COUNTIF($A$2:A1146,A1146)=1,1,0)</f>
        <v>0</v>
      </c>
    </row>
    <row r="1147" spans="1:18" x14ac:dyDescent="0.25">
      <c r="A1147" s="6">
        <v>1296</v>
      </c>
      <c r="B1147" s="7">
        <v>45252</v>
      </c>
      <c r="C1147" t="s">
        <v>57</v>
      </c>
      <c r="D1147" s="6">
        <v>2019</v>
      </c>
      <c r="E1147" s="8">
        <v>23273</v>
      </c>
      <c r="F1147" s="8">
        <v>26000</v>
      </c>
      <c r="G1147" s="8">
        <f t="shared" si="68"/>
        <v>2727</v>
      </c>
      <c r="H1147" s="6">
        <v>25000</v>
      </c>
      <c r="I1147" t="s">
        <v>1647</v>
      </c>
      <c r="J1147" t="s">
        <v>35</v>
      </c>
      <c r="K1147" t="s">
        <v>36</v>
      </c>
      <c r="L1147" t="s">
        <v>54</v>
      </c>
      <c r="M1147" t="s">
        <v>90</v>
      </c>
      <c r="N1147" s="6">
        <v>3</v>
      </c>
      <c r="O1147" t="str">
        <f t="shared" si="69"/>
        <v>Normal</v>
      </c>
      <c r="P1147" t="str">
        <f t="shared" si="70"/>
        <v>Duplicate ID</v>
      </c>
      <c r="Q1147" t="str">
        <f t="shared" si="71"/>
        <v>20,000-24,999</v>
      </c>
      <c r="R1147" s="6">
        <f>IF(COUNTIF($A$2:A1147,A1147)=1,1,0)</f>
        <v>0</v>
      </c>
    </row>
    <row r="1148" spans="1:18" x14ac:dyDescent="0.25">
      <c r="A1148" s="6">
        <v>1471</v>
      </c>
      <c r="B1148" s="7">
        <v>45252</v>
      </c>
      <c r="C1148" t="s">
        <v>32</v>
      </c>
      <c r="D1148" s="6">
        <v>2014</v>
      </c>
      <c r="E1148" s="8">
        <v>13583</v>
      </c>
      <c r="F1148" s="8">
        <v>15000</v>
      </c>
      <c r="G1148" s="8">
        <f t="shared" si="68"/>
        <v>1417</v>
      </c>
      <c r="H1148" s="6">
        <v>60000</v>
      </c>
      <c r="I1148" t="s">
        <v>41</v>
      </c>
      <c r="J1148" t="s">
        <v>72</v>
      </c>
      <c r="K1148" t="s">
        <v>36</v>
      </c>
      <c r="L1148" t="s">
        <v>100</v>
      </c>
      <c r="M1148" t="s">
        <v>126</v>
      </c>
      <c r="N1148" s="6">
        <v>2</v>
      </c>
      <c r="O1148" t="str">
        <f t="shared" si="69"/>
        <v>Normal</v>
      </c>
      <c r="P1148" t="str">
        <f t="shared" si="70"/>
        <v>Duplicate ID</v>
      </c>
      <c r="Q1148" t="str">
        <f t="shared" si="71"/>
        <v>10,000-14,999</v>
      </c>
      <c r="R1148" s="6">
        <f>IF(COUNTIF($A$2:A1148,A1148)=1,1,0)</f>
        <v>0</v>
      </c>
    </row>
    <row r="1149" spans="1:18" x14ac:dyDescent="0.25">
      <c r="A1149" s="6">
        <v>1525</v>
      </c>
      <c r="B1149" s="7">
        <v>45367</v>
      </c>
      <c r="C1149" t="s">
        <v>32</v>
      </c>
      <c r="D1149" s="6">
        <v>2022</v>
      </c>
      <c r="E1149" s="8">
        <v>4975</v>
      </c>
      <c r="F1149" s="8">
        <v>9000</v>
      </c>
      <c r="G1149" s="8">
        <f t="shared" si="68"/>
        <v>4025</v>
      </c>
      <c r="H1149" s="6">
        <v>25000</v>
      </c>
      <c r="I1149" t="s">
        <v>1647</v>
      </c>
      <c r="J1149" t="s">
        <v>35</v>
      </c>
      <c r="K1149" t="s">
        <v>36</v>
      </c>
      <c r="L1149" t="s">
        <v>73</v>
      </c>
      <c r="M1149" t="s">
        <v>98</v>
      </c>
      <c r="N1149" s="6">
        <v>0</v>
      </c>
      <c r="O1149" t="str">
        <f t="shared" si="69"/>
        <v>Normal</v>
      </c>
      <c r="P1149" t="str">
        <f t="shared" si="70"/>
        <v>Duplicate ID</v>
      </c>
      <c r="Q1149" t="str">
        <f t="shared" si="71"/>
        <v>0-4,999</v>
      </c>
      <c r="R1149" s="6">
        <f>IF(COUNTIF($A$2:A1149,A1149)=1,1,0)</f>
        <v>0</v>
      </c>
    </row>
    <row r="1150" spans="1:18" x14ac:dyDescent="0.25">
      <c r="A1150" s="6">
        <v>1266</v>
      </c>
      <c r="B1150" s="7">
        <v>45014</v>
      </c>
      <c r="C1150" t="s">
        <v>51</v>
      </c>
      <c r="D1150" s="6">
        <v>2018</v>
      </c>
      <c r="E1150" s="8">
        <v>1523</v>
      </c>
      <c r="F1150" s="8">
        <v>7000</v>
      </c>
      <c r="G1150" s="8">
        <f t="shared" si="68"/>
        <v>5477</v>
      </c>
      <c r="H1150" s="6">
        <v>15000</v>
      </c>
      <c r="I1150" t="s">
        <v>1647</v>
      </c>
      <c r="J1150" t="s">
        <v>72</v>
      </c>
      <c r="K1150" t="s">
        <v>1647</v>
      </c>
      <c r="L1150" t="s">
        <v>1647</v>
      </c>
      <c r="M1150" t="s">
        <v>90</v>
      </c>
      <c r="N1150" s="6" t="s">
        <v>1647</v>
      </c>
      <c r="O1150" t="str">
        <f t="shared" si="69"/>
        <v>Normal</v>
      </c>
      <c r="P1150" t="str">
        <f t="shared" si="70"/>
        <v>Unique ID</v>
      </c>
      <c r="Q1150" t="str">
        <f t="shared" si="71"/>
        <v>0-4,999</v>
      </c>
      <c r="R1150" s="6">
        <f>IF(COUNTIF($A$2:A1150,A1150)=1,1,0)</f>
        <v>1</v>
      </c>
    </row>
    <row r="1151" spans="1:18" x14ac:dyDescent="0.25">
      <c r="A1151" s="6">
        <v>1176</v>
      </c>
      <c r="B1151" s="7">
        <v>45301</v>
      </c>
      <c r="C1151" t="s">
        <v>1648</v>
      </c>
      <c r="D1151" s="6">
        <v>2022</v>
      </c>
      <c r="E1151" s="8">
        <v>20906</v>
      </c>
      <c r="F1151" s="8">
        <v>22000</v>
      </c>
      <c r="G1151" s="8">
        <f t="shared" si="68"/>
        <v>1094</v>
      </c>
      <c r="H1151" s="6">
        <v>60000</v>
      </c>
      <c r="I1151" t="s">
        <v>34</v>
      </c>
      <c r="J1151" t="s">
        <v>72</v>
      </c>
      <c r="K1151" t="s">
        <v>96</v>
      </c>
      <c r="L1151" t="s">
        <v>48</v>
      </c>
      <c r="M1151" t="s">
        <v>126</v>
      </c>
      <c r="N1151" s="6">
        <v>1</v>
      </c>
      <c r="O1151" t="str">
        <f t="shared" si="69"/>
        <v>Normal</v>
      </c>
      <c r="P1151" t="str">
        <f t="shared" si="70"/>
        <v>Duplicate ID</v>
      </c>
      <c r="Q1151" t="str">
        <f t="shared" si="71"/>
        <v>20,000-24,999</v>
      </c>
      <c r="R1151" s="6">
        <f>IF(COUNTIF($A$2:A1151,A1151)=1,1,0)</f>
        <v>1</v>
      </c>
    </row>
    <row r="1152" spans="1:18" x14ac:dyDescent="0.25">
      <c r="A1152" s="6">
        <v>1093</v>
      </c>
      <c r="B1152" s="7">
        <v>45022</v>
      </c>
      <c r="C1152" t="s">
        <v>57</v>
      </c>
      <c r="D1152" s="6">
        <v>2020</v>
      </c>
      <c r="E1152" s="8">
        <v>3121</v>
      </c>
      <c r="F1152" s="8">
        <v>9000</v>
      </c>
      <c r="G1152" s="8">
        <f t="shared" si="68"/>
        <v>5879</v>
      </c>
      <c r="H1152" s="6">
        <v>40000</v>
      </c>
      <c r="I1152" t="s">
        <v>1647</v>
      </c>
      <c r="J1152" t="s">
        <v>1647</v>
      </c>
      <c r="K1152" t="s">
        <v>96</v>
      </c>
      <c r="L1152" t="s">
        <v>100</v>
      </c>
      <c r="M1152" t="s">
        <v>98</v>
      </c>
      <c r="N1152" s="6" t="s">
        <v>1647</v>
      </c>
      <c r="O1152" t="str">
        <f t="shared" si="69"/>
        <v>Normal</v>
      </c>
      <c r="P1152" t="str">
        <f t="shared" si="70"/>
        <v>Duplicate ID</v>
      </c>
      <c r="Q1152" t="str">
        <f t="shared" si="71"/>
        <v>0-4,999</v>
      </c>
      <c r="R1152" s="6">
        <f>IF(COUNTIF($A$2:A1152,A1152)=1,1,0)</f>
        <v>0</v>
      </c>
    </row>
    <row r="1153" spans="1:18" x14ac:dyDescent="0.25">
      <c r="A1153" s="6">
        <v>1051</v>
      </c>
      <c r="B1153" s="7">
        <v>45174</v>
      </c>
      <c r="C1153" t="s">
        <v>32</v>
      </c>
      <c r="D1153" s="6">
        <v>2021</v>
      </c>
      <c r="E1153" s="8">
        <v>19510</v>
      </c>
      <c r="F1153" s="8">
        <v>26000</v>
      </c>
      <c r="G1153" s="8">
        <f t="shared" si="68"/>
        <v>6490</v>
      </c>
      <c r="H1153" s="6">
        <v>80000</v>
      </c>
      <c r="I1153" t="s">
        <v>41</v>
      </c>
      <c r="J1153" t="s">
        <v>72</v>
      </c>
      <c r="K1153" t="s">
        <v>36</v>
      </c>
      <c r="L1153" t="s">
        <v>48</v>
      </c>
      <c r="M1153" t="s">
        <v>126</v>
      </c>
      <c r="N1153" s="6">
        <v>2</v>
      </c>
      <c r="O1153" t="str">
        <f t="shared" si="69"/>
        <v>Normal</v>
      </c>
      <c r="P1153" t="str">
        <f t="shared" si="70"/>
        <v>Duplicate ID</v>
      </c>
      <c r="Q1153" t="str">
        <f t="shared" si="71"/>
        <v>15,000-19,999</v>
      </c>
      <c r="R1153" s="6">
        <f>IF(COUNTIF($A$2:A1153,A1153)=1,1,0)</f>
        <v>0</v>
      </c>
    </row>
    <row r="1154" spans="1:18" x14ac:dyDescent="0.25">
      <c r="A1154" s="6">
        <v>1181</v>
      </c>
      <c r="B1154" s="7">
        <v>44705</v>
      </c>
      <c r="C1154" t="s">
        <v>1648</v>
      </c>
      <c r="D1154" s="6">
        <v>2014</v>
      </c>
      <c r="E1154" s="8">
        <v>24739</v>
      </c>
      <c r="F1154" s="8">
        <v>31000</v>
      </c>
      <c r="G1154" s="8">
        <f t="shared" ref="G1154:G1217" si="72">IF(OR(F1154="",E1154=""),"",F1154-E1154)</f>
        <v>6261</v>
      </c>
      <c r="H1154" s="6">
        <v>80000</v>
      </c>
      <c r="I1154" t="s">
        <v>58</v>
      </c>
      <c r="J1154" t="s">
        <v>72</v>
      </c>
      <c r="K1154" t="s">
        <v>96</v>
      </c>
      <c r="L1154" t="s">
        <v>54</v>
      </c>
      <c r="M1154" t="s">
        <v>126</v>
      </c>
      <c r="N1154" s="6">
        <v>3</v>
      </c>
      <c r="O1154" t="str">
        <f t="shared" ref="O1154:O1217" si="73">IF(E1154&lt;1000,"Outlier","Normal")</f>
        <v>Normal</v>
      </c>
      <c r="P1154" t="str">
        <f t="shared" ref="P1154:P1217" si="74">IF(COUNTIF($A$2:$A$2501,A1154)&gt;1,"Duplicate ID","Unique ID")</f>
        <v>Duplicate ID</v>
      </c>
      <c r="Q1154" t="str">
        <f t="shared" ref="Q1154:Q1217" si="75">IF(E1154&lt;5000,"0-4,999",IF(E1154&lt;10000,"5,000-9,999",IF(E1154&lt;15000,"10,000-14,999",IF(E1154&lt;20000,"15,000-19,999",IF(E1154&lt;25000,"20,000-24,999","25,000-30,000")))))</f>
        <v>20,000-24,999</v>
      </c>
      <c r="R1154" s="6">
        <f>IF(COUNTIF($A$2:A1154,A1154)=1,1,0)</f>
        <v>0</v>
      </c>
    </row>
    <row r="1155" spans="1:18" x14ac:dyDescent="0.25">
      <c r="A1155" s="6">
        <v>1289</v>
      </c>
      <c r="B1155" s="7">
        <v>45060</v>
      </c>
      <c r="C1155" t="s">
        <v>79</v>
      </c>
      <c r="D1155" s="6">
        <v>2016</v>
      </c>
      <c r="E1155" s="8">
        <v>16630</v>
      </c>
      <c r="F1155" s="8">
        <v>18000</v>
      </c>
      <c r="G1155" s="8">
        <f t="shared" si="72"/>
        <v>1370</v>
      </c>
      <c r="H1155" s="6">
        <v>120000</v>
      </c>
      <c r="I1155" t="s">
        <v>69</v>
      </c>
      <c r="J1155" t="s">
        <v>1647</v>
      </c>
      <c r="K1155" t="s">
        <v>96</v>
      </c>
      <c r="L1155" t="s">
        <v>73</v>
      </c>
      <c r="M1155" t="s">
        <v>45</v>
      </c>
      <c r="N1155" s="6">
        <v>3</v>
      </c>
      <c r="O1155" t="str">
        <f t="shared" si="73"/>
        <v>Normal</v>
      </c>
      <c r="P1155" t="str">
        <f t="shared" si="74"/>
        <v>Duplicate ID</v>
      </c>
      <c r="Q1155" t="str">
        <f t="shared" si="75"/>
        <v>15,000-19,999</v>
      </c>
      <c r="R1155" s="6">
        <f>IF(COUNTIF($A$2:A1155,A1155)=1,1,0)</f>
        <v>0</v>
      </c>
    </row>
    <row r="1156" spans="1:18" x14ac:dyDescent="0.25">
      <c r="A1156" s="6">
        <v>1574</v>
      </c>
      <c r="B1156" s="7">
        <v>44510</v>
      </c>
      <c r="C1156" t="s">
        <v>51</v>
      </c>
      <c r="D1156" s="6">
        <v>2016</v>
      </c>
      <c r="E1156" s="8">
        <v>7905</v>
      </c>
      <c r="F1156" s="8">
        <v>9000</v>
      </c>
      <c r="G1156" s="8">
        <f t="shared" si="72"/>
        <v>1095</v>
      </c>
      <c r="H1156" s="6">
        <v>60000</v>
      </c>
      <c r="I1156" t="s">
        <v>69</v>
      </c>
      <c r="J1156" t="s">
        <v>1647</v>
      </c>
      <c r="K1156" t="s">
        <v>36</v>
      </c>
      <c r="L1156" t="s">
        <v>48</v>
      </c>
      <c r="M1156" t="s">
        <v>45</v>
      </c>
      <c r="N1156" s="6" t="s">
        <v>1647</v>
      </c>
      <c r="O1156" t="str">
        <f t="shared" si="73"/>
        <v>Normal</v>
      </c>
      <c r="P1156" t="str">
        <f t="shared" si="74"/>
        <v>Duplicate ID</v>
      </c>
      <c r="Q1156" t="str">
        <f t="shared" si="75"/>
        <v>5,000-9,999</v>
      </c>
      <c r="R1156" s="6">
        <f>IF(COUNTIF($A$2:A1156,A1156)=1,1,0)</f>
        <v>0</v>
      </c>
    </row>
    <row r="1157" spans="1:18" x14ac:dyDescent="0.25">
      <c r="A1157" s="6">
        <v>1545</v>
      </c>
      <c r="B1157" s="7">
        <v>45016</v>
      </c>
      <c r="C1157" t="s">
        <v>32</v>
      </c>
      <c r="D1157" s="6">
        <v>2014</v>
      </c>
      <c r="E1157" s="8">
        <v>9621</v>
      </c>
      <c r="F1157" s="8">
        <v>15000</v>
      </c>
      <c r="G1157" s="8">
        <f t="shared" si="72"/>
        <v>5379</v>
      </c>
      <c r="H1157" s="6">
        <v>40000</v>
      </c>
      <c r="I1157" t="s">
        <v>34</v>
      </c>
      <c r="J1157" t="s">
        <v>35</v>
      </c>
      <c r="K1157" t="s">
        <v>96</v>
      </c>
      <c r="L1157" t="s">
        <v>48</v>
      </c>
      <c r="M1157" t="s">
        <v>98</v>
      </c>
      <c r="N1157" s="6">
        <v>1</v>
      </c>
      <c r="O1157" t="str">
        <f t="shared" si="73"/>
        <v>Normal</v>
      </c>
      <c r="P1157" t="str">
        <f t="shared" si="74"/>
        <v>Duplicate ID</v>
      </c>
      <c r="Q1157" t="str">
        <f t="shared" si="75"/>
        <v>5,000-9,999</v>
      </c>
      <c r="R1157" s="6">
        <f>IF(COUNTIF($A$2:A1157,A1157)=1,1,0)</f>
        <v>0</v>
      </c>
    </row>
    <row r="1158" spans="1:18" x14ac:dyDescent="0.25">
      <c r="A1158" s="6">
        <v>1091</v>
      </c>
      <c r="B1158" s="7">
        <v>44326</v>
      </c>
      <c r="C1158" t="s">
        <v>1648</v>
      </c>
      <c r="D1158" s="6"/>
      <c r="E1158" s="8">
        <v>7820</v>
      </c>
      <c r="F1158" s="8">
        <v>9000</v>
      </c>
      <c r="G1158" s="8">
        <f t="shared" si="72"/>
        <v>1180</v>
      </c>
      <c r="H1158" s="6">
        <v>60000</v>
      </c>
      <c r="I1158" t="s">
        <v>58</v>
      </c>
      <c r="J1158" t="s">
        <v>72</v>
      </c>
      <c r="K1158" t="s">
        <v>1647</v>
      </c>
      <c r="L1158" t="s">
        <v>100</v>
      </c>
      <c r="M1158" t="s">
        <v>90</v>
      </c>
      <c r="N1158" s="6">
        <v>3</v>
      </c>
      <c r="O1158" t="str">
        <f t="shared" si="73"/>
        <v>Normal</v>
      </c>
      <c r="P1158" t="str">
        <f t="shared" si="74"/>
        <v>Duplicate ID</v>
      </c>
      <c r="Q1158" t="str">
        <f t="shared" si="75"/>
        <v>5,000-9,999</v>
      </c>
      <c r="R1158" s="6">
        <f>IF(COUNTIF($A$2:A1158,A1158)=1,1,0)</f>
        <v>0</v>
      </c>
    </row>
    <row r="1159" spans="1:18" x14ac:dyDescent="0.25">
      <c r="A1159" s="6">
        <v>1000</v>
      </c>
      <c r="B1159" s="7">
        <v>45031</v>
      </c>
      <c r="C1159" t="s">
        <v>32</v>
      </c>
      <c r="D1159" s="6">
        <v>2017</v>
      </c>
      <c r="E1159" s="8">
        <v>8105</v>
      </c>
      <c r="F1159" s="8">
        <v>15000</v>
      </c>
      <c r="G1159" s="8">
        <f t="shared" si="72"/>
        <v>6895</v>
      </c>
      <c r="H1159" s="6">
        <v>60000</v>
      </c>
      <c r="I1159" t="s">
        <v>69</v>
      </c>
      <c r="J1159" t="s">
        <v>72</v>
      </c>
      <c r="K1159" t="s">
        <v>1647</v>
      </c>
      <c r="L1159" t="s">
        <v>1647</v>
      </c>
      <c r="M1159" t="s">
        <v>126</v>
      </c>
      <c r="N1159" s="6">
        <v>3</v>
      </c>
      <c r="O1159" t="str">
        <f t="shared" si="73"/>
        <v>Normal</v>
      </c>
      <c r="P1159" t="str">
        <f t="shared" si="74"/>
        <v>Duplicate ID</v>
      </c>
      <c r="Q1159" t="str">
        <f t="shared" si="75"/>
        <v>5,000-9,999</v>
      </c>
      <c r="R1159" s="6">
        <f>IF(COUNTIF($A$2:A1159,A1159)=1,1,0)</f>
        <v>0</v>
      </c>
    </row>
    <row r="1160" spans="1:18" x14ac:dyDescent="0.25">
      <c r="A1160" s="6">
        <v>1507</v>
      </c>
      <c r="B1160" s="7">
        <v>44815</v>
      </c>
      <c r="C1160" t="s">
        <v>51</v>
      </c>
      <c r="D1160" s="6">
        <v>2014</v>
      </c>
      <c r="E1160" s="8">
        <v>8720</v>
      </c>
      <c r="F1160" s="8">
        <v>12000</v>
      </c>
      <c r="G1160" s="8">
        <f t="shared" si="72"/>
        <v>3280</v>
      </c>
      <c r="H1160" s="6">
        <v>40000</v>
      </c>
      <c r="I1160" t="s">
        <v>69</v>
      </c>
      <c r="J1160" t="s">
        <v>35</v>
      </c>
      <c r="K1160" t="s">
        <v>36</v>
      </c>
      <c r="L1160" t="s">
        <v>54</v>
      </c>
      <c r="M1160" t="s">
        <v>45</v>
      </c>
      <c r="N1160" s="6">
        <v>0</v>
      </c>
      <c r="O1160" t="str">
        <f t="shared" si="73"/>
        <v>Normal</v>
      </c>
      <c r="P1160" t="str">
        <f t="shared" si="74"/>
        <v>Duplicate ID</v>
      </c>
      <c r="Q1160" t="str">
        <f t="shared" si="75"/>
        <v>5,000-9,999</v>
      </c>
      <c r="R1160" s="6">
        <f>IF(COUNTIF($A$2:A1160,A1160)=1,1,0)</f>
        <v>1</v>
      </c>
    </row>
    <row r="1161" spans="1:18" x14ac:dyDescent="0.25">
      <c r="A1161" s="6">
        <v>1528</v>
      </c>
      <c r="B1161" s="7">
        <v>44330</v>
      </c>
      <c r="C1161" t="s">
        <v>1648</v>
      </c>
      <c r="D1161" s="6">
        <v>2020</v>
      </c>
      <c r="E1161" s="8">
        <v>4034</v>
      </c>
      <c r="F1161" s="8">
        <v>9000</v>
      </c>
      <c r="G1161" s="8">
        <f t="shared" si="72"/>
        <v>4966</v>
      </c>
      <c r="H1161" s="6">
        <v>60000</v>
      </c>
      <c r="I1161" t="s">
        <v>41</v>
      </c>
      <c r="J1161" t="s">
        <v>1647</v>
      </c>
      <c r="K1161" t="s">
        <v>1647</v>
      </c>
      <c r="L1161" t="s">
        <v>73</v>
      </c>
      <c r="M1161" t="s">
        <v>98</v>
      </c>
      <c r="N1161" s="6">
        <v>3</v>
      </c>
      <c r="O1161" t="str">
        <f t="shared" si="73"/>
        <v>Normal</v>
      </c>
      <c r="P1161" t="str">
        <f t="shared" si="74"/>
        <v>Duplicate ID</v>
      </c>
      <c r="Q1161" t="str">
        <f t="shared" si="75"/>
        <v>0-4,999</v>
      </c>
      <c r="R1161" s="6">
        <f>IF(COUNTIF($A$2:A1161,A1161)=1,1,0)</f>
        <v>0</v>
      </c>
    </row>
    <row r="1162" spans="1:18" x14ac:dyDescent="0.25">
      <c r="A1162" s="6">
        <v>1423</v>
      </c>
      <c r="B1162" s="7">
        <v>44751</v>
      </c>
      <c r="C1162" t="s">
        <v>32</v>
      </c>
      <c r="D1162" s="6">
        <v>2015</v>
      </c>
      <c r="E1162" s="8">
        <v>13373</v>
      </c>
      <c r="F1162" s="8">
        <v>18000</v>
      </c>
      <c r="G1162" s="8">
        <f t="shared" si="72"/>
        <v>4627</v>
      </c>
      <c r="H1162" s="6">
        <v>15000</v>
      </c>
      <c r="I1162" t="s">
        <v>69</v>
      </c>
      <c r="J1162" t="s">
        <v>1647</v>
      </c>
      <c r="K1162" t="s">
        <v>36</v>
      </c>
      <c r="L1162" t="s">
        <v>48</v>
      </c>
      <c r="M1162" t="s">
        <v>98</v>
      </c>
      <c r="N1162" s="6">
        <v>2</v>
      </c>
      <c r="O1162" t="str">
        <f t="shared" si="73"/>
        <v>Normal</v>
      </c>
      <c r="P1162" t="str">
        <f t="shared" si="74"/>
        <v>Duplicate ID</v>
      </c>
      <c r="Q1162" t="str">
        <f t="shared" si="75"/>
        <v>10,000-14,999</v>
      </c>
      <c r="R1162" s="6">
        <f>IF(COUNTIF($A$2:A1162,A1162)=1,1,0)</f>
        <v>0</v>
      </c>
    </row>
    <row r="1163" spans="1:18" x14ac:dyDescent="0.25">
      <c r="A1163" s="6">
        <v>1562</v>
      </c>
      <c r="B1163" s="7">
        <v>45007</v>
      </c>
      <c r="C1163" t="s">
        <v>1648</v>
      </c>
      <c r="D1163" s="6"/>
      <c r="E1163" s="8">
        <v>9235</v>
      </c>
      <c r="F1163" s="8">
        <v>15000</v>
      </c>
      <c r="G1163" s="8">
        <f t="shared" si="72"/>
        <v>5765</v>
      </c>
      <c r="H1163" s="6">
        <v>120000</v>
      </c>
      <c r="I1163" t="s">
        <v>69</v>
      </c>
      <c r="J1163" t="s">
        <v>35</v>
      </c>
      <c r="K1163" t="s">
        <v>96</v>
      </c>
      <c r="L1163" t="s">
        <v>54</v>
      </c>
      <c r="M1163" t="s">
        <v>45</v>
      </c>
      <c r="N1163" s="6">
        <v>2</v>
      </c>
      <c r="O1163" t="str">
        <f t="shared" si="73"/>
        <v>Normal</v>
      </c>
      <c r="P1163" t="str">
        <f t="shared" si="74"/>
        <v>Duplicate ID</v>
      </c>
      <c r="Q1163" t="str">
        <f t="shared" si="75"/>
        <v>5,000-9,999</v>
      </c>
      <c r="R1163" s="6">
        <f>IF(COUNTIF($A$2:A1163,A1163)=1,1,0)</f>
        <v>1</v>
      </c>
    </row>
    <row r="1164" spans="1:18" x14ac:dyDescent="0.25">
      <c r="A1164" s="6">
        <v>1059</v>
      </c>
      <c r="B1164" s="7">
        <v>44566</v>
      </c>
      <c r="C1164" t="s">
        <v>40</v>
      </c>
      <c r="D1164" s="6">
        <v>2015</v>
      </c>
      <c r="E1164" s="8">
        <v>6896</v>
      </c>
      <c r="F1164" s="8">
        <v>9000</v>
      </c>
      <c r="G1164" s="8">
        <f t="shared" si="72"/>
        <v>2104</v>
      </c>
      <c r="H1164" s="6">
        <v>80000</v>
      </c>
      <c r="I1164" t="s">
        <v>58</v>
      </c>
      <c r="J1164" t="s">
        <v>72</v>
      </c>
      <c r="K1164" t="s">
        <v>36</v>
      </c>
      <c r="L1164" t="s">
        <v>54</v>
      </c>
      <c r="M1164" t="s">
        <v>126</v>
      </c>
      <c r="N1164" s="6">
        <v>0</v>
      </c>
      <c r="O1164" t="str">
        <f t="shared" si="73"/>
        <v>Normal</v>
      </c>
      <c r="P1164" t="str">
        <f t="shared" si="74"/>
        <v>Duplicate ID</v>
      </c>
      <c r="Q1164" t="str">
        <f t="shared" si="75"/>
        <v>5,000-9,999</v>
      </c>
      <c r="R1164" s="6">
        <f>IF(COUNTIF($A$2:A1164,A1164)=1,1,0)</f>
        <v>0</v>
      </c>
    </row>
    <row r="1165" spans="1:18" x14ac:dyDescent="0.25">
      <c r="A1165" s="6">
        <v>1232</v>
      </c>
      <c r="B1165" s="7">
        <v>44323</v>
      </c>
      <c r="C1165" t="s">
        <v>1648</v>
      </c>
      <c r="D1165" s="6">
        <v>2015</v>
      </c>
      <c r="E1165" s="8">
        <v>19035</v>
      </c>
      <c r="F1165" s="8">
        <v>26000</v>
      </c>
      <c r="G1165" s="8">
        <f t="shared" si="72"/>
        <v>6965</v>
      </c>
      <c r="H1165" s="6">
        <v>120000</v>
      </c>
      <c r="I1165" t="s">
        <v>34</v>
      </c>
      <c r="J1165" t="s">
        <v>35</v>
      </c>
      <c r="K1165" t="s">
        <v>96</v>
      </c>
      <c r="L1165" t="s">
        <v>54</v>
      </c>
      <c r="M1165" t="s">
        <v>90</v>
      </c>
      <c r="N1165" s="6">
        <v>3</v>
      </c>
      <c r="O1165" t="str">
        <f t="shared" si="73"/>
        <v>Normal</v>
      </c>
      <c r="P1165" t="str">
        <f t="shared" si="74"/>
        <v>Duplicate ID</v>
      </c>
      <c r="Q1165" t="str">
        <f t="shared" si="75"/>
        <v>15,000-19,999</v>
      </c>
      <c r="R1165" s="6">
        <f>IF(COUNTIF($A$2:A1165,A1165)=1,1,0)</f>
        <v>0</v>
      </c>
    </row>
    <row r="1166" spans="1:18" x14ac:dyDescent="0.25">
      <c r="A1166" s="6">
        <v>1388</v>
      </c>
      <c r="B1166" s="7">
        <v>44311</v>
      </c>
      <c r="C1166" t="s">
        <v>32</v>
      </c>
      <c r="D1166" s="6">
        <v>2015</v>
      </c>
      <c r="E1166" s="8">
        <v>13950</v>
      </c>
      <c r="F1166" s="8">
        <v>18000</v>
      </c>
      <c r="G1166" s="8">
        <f t="shared" si="72"/>
        <v>4050</v>
      </c>
      <c r="H1166" s="6">
        <v>40000</v>
      </c>
      <c r="I1166" t="s">
        <v>69</v>
      </c>
      <c r="J1166" t="s">
        <v>35</v>
      </c>
      <c r="K1166" t="s">
        <v>96</v>
      </c>
      <c r="L1166" t="s">
        <v>1647</v>
      </c>
      <c r="M1166" t="s">
        <v>45</v>
      </c>
      <c r="N1166" s="6">
        <v>1</v>
      </c>
      <c r="O1166" t="str">
        <f t="shared" si="73"/>
        <v>Normal</v>
      </c>
      <c r="P1166" t="str">
        <f t="shared" si="74"/>
        <v>Duplicate ID</v>
      </c>
      <c r="Q1166" t="str">
        <f t="shared" si="75"/>
        <v>10,000-14,999</v>
      </c>
      <c r="R1166" s="6">
        <f>IF(COUNTIF($A$2:A1166,A1166)=1,1,0)</f>
        <v>0</v>
      </c>
    </row>
    <row r="1167" spans="1:18" x14ac:dyDescent="0.25">
      <c r="A1167" s="6">
        <v>1570</v>
      </c>
      <c r="B1167" s="7">
        <v>44758</v>
      </c>
      <c r="C1167" t="s">
        <v>40</v>
      </c>
      <c r="D1167" s="6">
        <v>2018</v>
      </c>
      <c r="E1167" s="8">
        <v>19410</v>
      </c>
      <c r="F1167" s="8">
        <v>26000</v>
      </c>
      <c r="G1167" s="8">
        <f t="shared" si="72"/>
        <v>6590</v>
      </c>
      <c r="H1167" s="6">
        <v>60000</v>
      </c>
      <c r="I1167" t="s">
        <v>69</v>
      </c>
      <c r="J1167" t="s">
        <v>72</v>
      </c>
      <c r="K1167" t="s">
        <v>96</v>
      </c>
      <c r="L1167" t="s">
        <v>100</v>
      </c>
      <c r="M1167" t="s">
        <v>126</v>
      </c>
      <c r="N1167" s="6">
        <v>2</v>
      </c>
      <c r="O1167" t="str">
        <f t="shared" si="73"/>
        <v>Normal</v>
      </c>
      <c r="P1167" t="str">
        <f t="shared" si="74"/>
        <v>Duplicate ID</v>
      </c>
      <c r="Q1167" t="str">
        <f t="shared" si="75"/>
        <v>15,000-19,999</v>
      </c>
      <c r="R1167" s="6">
        <f>IF(COUNTIF($A$2:A1167,A1167)=1,1,0)</f>
        <v>0</v>
      </c>
    </row>
    <row r="1168" spans="1:18" x14ac:dyDescent="0.25">
      <c r="A1168" s="6">
        <v>1550</v>
      </c>
      <c r="B1168" s="7">
        <v>44893</v>
      </c>
      <c r="C1168" t="s">
        <v>51</v>
      </c>
      <c r="D1168" s="6">
        <v>2020</v>
      </c>
      <c r="E1168" s="8">
        <v>17371</v>
      </c>
      <c r="F1168" s="8">
        <v>22000</v>
      </c>
      <c r="G1168" s="8">
        <f t="shared" si="72"/>
        <v>4629</v>
      </c>
      <c r="H1168" s="6">
        <v>60000</v>
      </c>
      <c r="I1168" t="s">
        <v>69</v>
      </c>
      <c r="J1168" t="s">
        <v>72</v>
      </c>
      <c r="K1168" t="s">
        <v>36</v>
      </c>
      <c r="L1168" t="s">
        <v>100</v>
      </c>
      <c r="M1168" t="s">
        <v>1647</v>
      </c>
      <c r="N1168" s="6" t="s">
        <v>1647</v>
      </c>
      <c r="O1168" t="str">
        <f t="shared" si="73"/>
        <v>Normal</v>
      </c>
      <c r="P1168" t="str">
        <f t="shared" si="74"/>
        <v>Duplicate ID</v>
      </c>
      <c r="Q1168" t="str">
        <f t="shared" si="75"/>
        <v>15,000-19,999</v>
      </c>
      <c r="R1168" s="6">
        <f>IF(COUNTIF($A$2:A1168,A1168)=1,1,0)</f>
        <v>0</v>
      </c>
    </row>
    <row r="1169" spans="1:18" x14ac:dyDescent="0.25">
      <c r="A1169" s="6">
        <v>1414</v>
      </c>
      <c r="B1169" s="7">
        <v>44725</v>
      </c>
      <c r="C1169" t="s">
        <v>40</v>
      </c>
      <c r="D1169" s="6">
        <v>2020</v>
      </c>
      <c r="E1169" s="8">
        <v>7973</v>
      </c>
      <c r="F1169" s="8">
        <v>12000</v>
      </c>
      <c r="G1169" s="8">
        <f t="shared" si="72"/>
        <v>4027</v>
      </c>
      <c r="H1169" s="6">
        <v>25000</v>
      </c>
      <c r="I1169" t="s">
        <v>58</v>
      </c>
      <c r="J1169" t="s">
        <v>72</v>
      </c>
      <c r="K1169" t="s">
        <v>96</v>
      </c>
      <c r="L1169" t="s">
        <v>54</v>
      </c>
      <c r="M1169" t="s">
        <v>126</v>
      </c>
      <c r="N1169" s="6">
        <v>0</v>
      </c>
      <c r="O1169" t="str">
        <f t="shared" si="73"/>
        <v>Normal</v>
      </c>
      <c r="P1169" t="str">
        <f t="shared" si="74"/>
        <v>Duplicate ID</v>
      </c>
      <c r="Q1169" t="str">
        <f t="shared" si="75"/>
        <v>5,000-9,999</v>
      </c>
      <c r="R1169" s="6">
        <f>IF(COUNTIF($A$2:A1169,A1169)=1,1,0)</f>
        <v>0</v>
      </c>
    </row>
    <row r="1170" spans="1:18" x14ac:dyDescent="0.25">
      <c r="A1170" s="6">
        <v>1234</v>
      </c>
      <c r="B1170" s="7">
        <v>44907</v>
      </c>
      <c r="C1170" t="s">
        <v>79</v>
      </c>
      <c r="D1170" s="6">
        <v>2018</v>
      </c>
      <c r="E1170" s="8">
        <v>16018</v>
      </c>
      <c r="F1170" s="8">
        <v>22000</v>
      </c>
      <c r="G1170" s="8">
        <f t="shared" si="72"/>
        <v>5982</v>
      </c>
      <c r="H1170" s="6">
        <v>80000</v>
      </c>
      <c r="I1170" t="s">
        <v>34</v>
      </c>
      <c r="J1170" t="s">
        <v>35</v>
      </c>
      <c r="K1170" t="s">
        <v>36</v>
      </c>
      <c r="L1170" t="s">
        <v>73</v>
      </c>
      <c r="M1170" t="s">
        <v>90</v>
      </c>
      <c r="N1170" s="6">
        <v>1</v>
      </c>
      <c r="O1170" t="str">
        <f t="shared" si="73"/>
        <v>Normal</v>
      </c>
      <c r="P1170" t="str">
        <f t="shared" si="74"/>
        <v>Duplicate ID</v>
      </c>
      <c r="Q1170" t="str">
        <f t="shared" si="75"/>
        <v>15,000-19,999</v>
      </c>
      <c r="R1170" s="6">
        <f>IF(COUNTIF($A$2:A1170,A1170)=1,1,0)</f>
        <v>0</v>
      </c>
    </row>
    <row r="1171" spans="1:18" x14ac:dyDescent="0.25">
      <c r="A1171" s="6">
        <v>1318</v>
      </c>
      <c r="B1171" s="7">
        <v>45167</v>
      </c>
      <c r="C1171" t="s">
        <v>51</v>
      </c>
      <c r="D1171" s="6">
        <v>2016</v>
      </c>
      <c r="E1171" s="8">
        <v>26082</v>
      </c>
      <c r="F1171" s="8">
        <v>31000</v>
      </c>
      <c r="G1171" s="8">
        <f t="shared" si="72"/>
        <v>4918</v>
      </c>
      <c r="H1171" s="6">
        <v>60000</v>
      </c>
      <c r="I1171" t="s">
        <v>34</v>
      </c>
      <c r="J1171" t="s">
        <v>35</v>
      </c>
      <c r="K1171" t="s">
        <v>36</v>
      </c>
      <c r="L1171" t="s">
        <v>73</v>
      </c>
      <c r="M1171" t="s">
        <v>90</v>
      </c>
      <c r="N1171" s="6">
        <v>2</v>
      </c>
      <c r="O1171" t="str">
        <f t="shared" si="73"/>
        <v>Normal</v>
      </c>
      <c r="P1171" t="str">
        <f t="shared" si="74"/>
        <v>Duplicate ID</v>
      </c>
      <c r="Q1171" t="str">
        <f t="shared" si="75"/>
        <v>25,000-30,000</v>
      </c>
      <c r="R1171" s="6">
        <f>IF(COUNTIF($A$2:A1171,A1171)=1,1,0)</f>
        <v>0</v>
      </c>
    </row>
    <row r="1172" spans="1:18" x14ac:dyDescent="0.25">
      <c r="A1172" s="6">
        <v>1529</v>
      </c>
      <c r="B1172" s="7">
        <v>45289</v>
      </c>
      <c r="C1172" t="s">
        <v>32</v>
      </c>
      <c r="D1172" s="6">
        <v>2015</v>
      </c>
      <c r="E1172" s="8">
        <v>18943</v>
      </c>
      <c r="F1172" s="8">
        <v>22000</v>
      </c>
      <c r="G1172" s="8">
        <f t="shared" si="72"/>
        <v>3057</v>
      </c>
      <c r="H1172" s="6">
        <v>80000</v>
      </c>
      <c r="I1172" t="s">
        <v>41</v>
      </c>
      <c r="J1172" t="s">
        <v>35</v>
      </c>
      <c r="K1172" t="s">
        <v>96</v>
      </c>
      <c r="L1172" t="s">
        <v>1647</v>
      </c>
      <c r="M1172" t="s">
        <v>98</v>
      </c>
      <c r="N1172" s="6">
        <v>3</v>
      </c>
      <c r="O1172" t="str">
        <f t="shared" si="73"/>
        <v>Normal</v>
      </c>
      <c r="P1172" t="str">
        <f t="shared" si="74"/>
        <v>Duplicate ID</v>
      </c>
      <c r="Q1172" t="str">
        <f t="shared" si="75"/>
        <v>15,000-19,999</v>
      </c>
      <c r="R1172" s="6">
        <f>IF(COUNTIF($A$2:A1172,A1172)=1,1,0)</f>
        <v>0</v>
      </c>
    </row>
    <row r="1173" spans="1:18" x14ac:dyDescent="0.25">
      <c r="A1173" s="6">
        <v>1591</v>
      </c>
      <c r="B1173" s="7">
        <v>44551</v>
      </c>
      <c r="C1173" t="s">
        <v>1648</v>
      </c>
      <c r="D1173" s="6">
        <v>2022</v>
      </c>
      <c r="E1173" s="8">
        <v>10352</v>
      </c>
      <c r="F1173" s="8">
        <v>12000</v>
      </c>
      <c r="G1173" s="8">
        <f t="shared" si="72"/>
        <v>1648</v>
      </c>
      <c r="H1173" s="6">
        <v>25000</v>
      </c>
      <c r="I1173" t="s">
        <v>41</v>
      </c>
      <c r="J1173" t="s">
        <v>72</v>
      </c>
      <c r="K1173" t="s">
        <v>96</v>
      </c>
      <c r="L1173" t="s">
        <v>100</v>
      </c>
      <c r="M1173" t="s">
        <v>98</v>
      </c>
      <c r="N1173" s="6">
        <v>2</v>
      </c>
      <c r="O1173" t="str">
        <f t="shared" si="73"/>
        <v>Normal</v>
      </c>
      <c r="P1173" t="str">
        <f t="shared" si="74"/>
        <v>Duplicate ID</v>
      </c>
      <c r="Q1173" t="str">
        <f t="shared" si="75"/>
        <v>10,000-14,999</v>
      </c>
      <c r="R1173" s="6">
        <f>IF(COUNTIF($A$2:A1173,A1173)=1,1,0)</f>
        <v>0</v>
      </c>
    </row>
    <row r="1174" spans="1:18" x14ac:dyDescent="0.25">
      <c r="A1174" s="6">
        <v>1168</v>
      </c>
      <c r="B1174" s="7">
        <v>44424</v>
      </c>
      <c r="C1174" t="s">
        <v>57</v>
      </c>
      <c r="D1174" s="6">
        <v>2018</v>
      </c>
      <c r="E1174" s="8">
        <v>23794</v>
      </c>
      <c r="F1174" s="8">
        <v>26000</v>
      </c>
      <c r="G1174" s="8">
        <f t="shared" si="72"/>
        <v>2206</v>
      </c>
      <c r="H1174" s="6">
        <v>15000</v>
      </c>
      <c r="I1174" t="s">
        <v>1647</v>
      </c>
      <c r="J1174" t="s">
        <v>72</v>
      </c>
      <c r="K1174" t="s">
        <v>36</v>
      </c>
      <c r="L1174" t="s">
        <v>48</v>
      </c>
      <c r="M1174" t="s">
        <v>45</v>
      </c>
      <c r="N1174" s="6" t="s">
        <v>1647</v>
      </c>
      <c r="O1174" t="str">
        <f t="shared" si="73"/>
        <v>Normal</v>
      </c>
      <c r="P1174" t="str">
        <f t="shared" si="74"/>
        <v>Duplicate ID</v>
      </c>
      <c r="Q1174" t="str">
        <f t="shared" si="75"/>
        <v>20,000-24,999</v>
      </c>
      <c r="R1174" s="6">
        <f>IF(COUNTIF($A$2:A1174,A1174)=1,1,0)</f>
        <v>0</v>
      </c>
    </row>
    <row r="1175" spans="1:18" x14ac:dyDescent="0.25">
      <c r="A1175" s="6">
        <v>1172</v>
      </c>
      <c r="B1175" s="7">
        <v>44914</v>
      </c>
      <c r="C1175" t="s">
        <v>79</v>
      </c>
      <c r="D1175" s="6">
        <v>2022</v>
      </c>
      <c r="E1175" s="8">
        <v>1461</v>
      </c>
      <c r="F1175" s="8">
        <v>7000</v>
      </c>
      <c r="G1175" s="8">
        <f t="shared" si="72"/>
        <v>5539</v>
      </c>
      <c r="H1175" s="6">
        <v>60000</v>
      </c>
      <c r="I1175" t="s">
        <v>69</v>
      </c>
      <c r="J1175" t="s">
        <v>35</v>
      </c>
      <c r="K1175" t="s">
        <v>36</v>
      </c>
      <c r="L1175" t="s">
        <v>1647</v>
      </c>
      <c r="M1175" t="s">
        <v>90</v>
      </c>
      <c r="N1175" s="6" t="s">
        <v>1647</v>
      </c>
      <c r="O1175" t="str">
        <f t="shared" si="73"/>
        <v>Normal</v>
      </c>
      <c r="P1175" t="str">
        <f t="shared" si="74"/>
        <v>Duplicate ID</v>
      </c>
      <c r="Q1175" t="str">
        <f t="shared" si="75"/>
        <v>0-4,999</v>
      </c>
      <c r="R1175" s="6">
        <f>IF(COUNTIF($A$2:A1175,A1175)=1,1,0)</f>
        <v>0</v>
      </c>
    </row>
    <row r="1176" spans="1:18" x14ac:dyDescent="0.25">
      <c r="A1176" s="6">
        <v>1439</v>
      </c>
      <c r="B1176" s="7">
        <v>44261</v>
      </c>
      <c r="C1176" t="s">
        <v>51</v>
      </c>
      <c r="D1176" s="6">
        <v>2018</v>
      </c>
      <c r="E1176" s="8">
        <v>20614</v>
      </c>
      <c r="F1176" s="8">
        <v>22000</v>
      </c>
      <c r="G1176" s="8">
        <f t="shared" si="72"/>
        <v>1386</v>
      </c>
      <c r="H1176" s="6">
        <v>40000</v>
      </c>
      <c r="I1176" t="s">
        <v>1647</v>
      </c>
      <c r="J1176" t="s">
        <v>72</v>
      </c>
      <c r="K1176" t="s">
        <v>36</v>
      </c>
      <c r="L1176" t="s">
        <v>100</v>
      </c>
      <c r="M1176" t="s">
        <v>126</v>
      </c>
      <c r="N1176" s="6">
        <v>0</v>
      </c>
      <c r="O1176" t="str">
        <f t="shared" si="73"/>
        <v>Normal</v>
      </c>
      <c r="P1176" t="str">
        <f t="shared" si="74"/>
        <v>Duplicate ID</v>
      </c>
      <c r="Q1176" t="str">
        <f t="shared" si="75"/>
        <v>20,000-24,999</v>
      </c>
      <c r="R1176" s="6">
        <f>IF(COUNTIF($A$2:A1176,A1176)=1,1,0)</f>
        <v>0</v>
      </c>
    </row>
    <row r="1177" spans="1:18" x14ac:dyDescent="0.25">
      <c r="A1177" s="6">
        <v>1550</v>
      </c>
      <c r="B1177" s="7">
        <v>44781</v>
      </c>
      <c r="C1177" t="s">
        <v>32</v>
      </c>
      <c r="D1177" s="6">
        <v>2017</v>
      </c>
      <c r="E1177" s="8">
        <v>7335</v>
      </c>
      <c r="F1177" s="8">
        <v>12000</v>
      </c>
      <c r="G1177" s="8">
        <f t="shared" si="72"/>
        <v>4665</v>
      </c>
      <c r="H1177" s="6">
        <v>120000</v>
      </c>
      <c r="I1177" t="s">
        <v>41</v>
      </c>
      <c r="J1177" t="s">
        <v>72</v>
      </c>
      <c r="K1177" t="s">
        <v>96</v>
      </c>
      <c r="L1177" t="s">
        <v>48</v>
      </c>
      <c r="M1177" t="s">
        <v>90</v>
      </c>
      <c r="N1177" s="6">
        <v>1</v>
      </c>
      <c r="O1177" t="str">
        <f t="shared" si="73"/>
        <v>Normal</v>
      </c>
      <c r="P1177" t="str">
        <f t="shared" si="74"/>
        <v>Duplicate ID</v>
      </c>
      <c r="Q1177" t="str">
        <f t="shared" si="75"/>
        <v>5,000-9,999</v>
      </c>
      <c r="R1177" s="6">
        <f>IF(COUNTIF($A$2:A1177,A1177)=1,1,0)</f>
        <v>0</v>
      </c>
    </row>
    <row r="1178" spans="1:18" x14ac:dyDescent="0.25">
      <c r="A1178" s="6">
        <v>1196</v>
      </c>
      <c r="B1178" s="7">
        <v>44259</v>
      </c>
      <c r="C1178" t="s">
        <v>51</v>
      </c>
      <c r="D1178" s="6">
        <v>2018</v>
      </c>
      <c r="E1178" s="8">
        <v>9610</v>
      </c>
      <c r="F1178" s="8">
        <v>12000</v>
      </c>
      <c r="G1178" s="8">
        <f t="shared" si="72"/>
        <v>2390</v>
      </c>
      <c r="H1178" s="6">
        <v>60000</v>
      </c>
      <c r="I1178" t="s">
        <v>58</v>
      </c>
      <c r="J1178" t="s">
        <v>35</v>
      </c>
      <c r="K1178" t="s">
        <v>96</v>
      </c>
      <c r="L1178" t="s">
        <v>54</v>
      </c>
      <c r="M1178" t="s">
        <v>126</v>
      </c>
      <c r="N1178" s="6" t="s">
        <v>1647</v>
      </c>
      <c r="O1178" t="str">
        <f t="shared" si="73"/>
        <v>Normal</v>
      </c>
      <c r="P1178" t="str">
        <f t="shared" si="74"/>
        <v>Unique ID</v>
      </c>
      <c r="Q1178" t="str">
        <f t="shared" si="75"/>
        <v>5,000-9,999</v>
      </c>
      <c r="R1178" s="6">
        <f>IF(COUNTIF($A$2:A1178,A1178)=1,1,0)</f>
        <v>1</v>
      </c>
    </row>
    <row r="1179" spans="1:18" x14ac:dyDescent="0.25">
      <c r="A1179" s="6">
        <v>1336</v>
      </c>
      <c r="B1179" s="7">
        <v>44719</v>
      </c>
      <c r="C1179" t="s">
        <v>40</v>
      </c>
      <c r="D1179" s="6">
        <v>2015</v>
      </c>
      <c r="E1179" s="8">
        <v>24659</v>
      </c>
      <c r="F1179" s="8">
        <v>26000</v>
      </c>
      <c r="G1179" s="8">
        <f t="shared" si="72"/>
        <v>1341</v>
      </c>
      <c r="H1179" s="6">
        <v>25000</v>
      </c>
      <c r="I1179" t="s">
        <v>58</v>
      </c>
      <c r="J1179" t="s">
        <v>72</v>
      </c>
      <c r="K1179" t="s">
        <v>1647</v>
      </c>
      <c r="L1179" t="s">
        <v>1647</v>
      </c>
      <c r="M1179" t="s">
        <v>90</v>
      </c>
      <c r="N1179" s="6">
        <v>2</v>
      </c>
      <c r="O1179" t="str">
        <f t="shared" si="73"/>
        <v>Normal</v>
      </c>
      <c r="P1179" t="str">
        <f t="shared" si="74"/>
        <v>Duplicate ID</v>
      </c>
      <c r="Q1179" t="str">
        <f t="shared" si="75"/>
        <v>20,000-24,999</v>
      </c>
      <c r="R1179" s="6">
        <f>IF(COUNTIF($A$2:A1179,A1179)=1,1,0)</f>
        <v>0</v>
      </c>
    </row>
    <row r="1180" spans="1:18" x14ac:dyDescent="0.25">
      <c r="A1180" s="6">
        <v>1106</v>
      </c>
      <c r="B1180" s="7">
        <v>44270</v>
      </c>
      <c r="C1180" t="s">
        <v>119</v>
      </c>
      <c r="D1180" s="6">
        <v>2019</v>
      </c>
      <c r="E1180" s="8">
        <v>13904</v>
      </c>
      <c r="F1180" s="8">
        <v>15000</v>
      </c>
      <c r="G1180" s="8">
        <f t="shared" si="72"/>
        <v>1096</v>
      </c>
      <c r="H1180" s="6">
        <v>40000</v>
      </c>
      <c r="I1180" t="s">
        <v>1647</v>
      </c>
      <c r="J1180" t="s">
        <v>1647</v>
      </c>
      <c r="K1180" t="s">
        <v>96</v>
      </c>
      <c r="L1180" t="s">
        <v>1647</v>
      </c>
      <c r="M1180" t="s">
        <v>126</v>
      </c>
      <c r="N1180" s="6">
        <v>3</v>
      </c>
      <c r="O1180" t="str">
        <f t="shared" si="73"/>
        <v>Normal</v>
      </c>
      <c r="P1180" t="str">
        <f t="shared" si="74"/>
        <v>Duplicate ID</v>
      </c>
      <c r="Q1180" t="str">
        <f t="shared" si="75"/>
        <v>10,000-14,999</v>
      </c>
      <c r="R1180" s="6">
        <f>IF(COUNTIF($A$2:A1180,A1180)=1,1,0)</f>
        <v>0</v>
      </c>
    </row>
    <row r="1181" spans="1:18" x14ac:dyDescent="0.25">
      <c r="A1181" s="6">
        <v>1267</v>
      </c>
      <c r="B1181" s="7">
        <v>44933</v>
      </c>
      <c r="C1181" t="s">
        <v>79</v>
      </c>
      <c r="D1181" s="6">
        <v>2016</v>
      </c>
      <c r="E1181" s="8">
        <v>14917</v>
      </c>
      <c r="F1181" s="8">
        <v>18000</v>
      </c>
      <c r="G1181" s="8">
        <f t="shared" si="72"/>
        <v>3083</v>
      </c>
      <c r="H1181" s="6">
        <v>40000</v>
      </c>
      <c r="I1181" t="s">
        <v>69</v>
      </c>
      <c r="J1181" t="s">
        <v>35</v>
      </c>
      <c r="K1181" t="s">
        <v>96</v>
      </c>
      <c r="L1181" t="s">
        <v>100</v>
      </c>
      <c r="M1181" t="s">
        <v>98</v>
      </c>
      <c r="N1181" s="6" t="s">
        <v>1647</v>
      </c>
      <c r="O1181" t="str">
        <f t="shared" si="73"/>
        <v>Normal</v>
      </c>
      <c r="P1181" t="str">
        <f t="shared" si="74"/>
        <v>Duplicate ID</v>
      </c>
      <c r="Q1181" t="str">
        <f t="shared" si="75"/>
        <v>10,000-14,999</v>
      </c>
      <c r="R1181" s="6">
        <f>IF(COUNTIF($A$2:A1181,A1181)=1,1,0)</f>
        <v>0</v>
      </c>
    </row>
    <row r="1182" spans="1:18" x14ac:dyDescent="0.25">
      <c r="A1182" s="6">
        <v>1150</v>
      </c>
      <c r="B1182" s="7">
        <v>44449</v>
      </c>
      <c r="C1182" t="s">
        <v>32</v>
      </c>
      <c r="D1182" s="6">
        <v>2014</v>
      </c>
      <c r="E1182" s="8">
        <v>15728</v>
      </c>
      <c r="F1182" s="8">
        <v>22000</v>
      </c>
      <c r="G1182" s="8">
        <f t="shared" si="72"/>
        <v>6272</v>
      </c>
      <c r="H1182" s="6">
        <v>25000</v>
      </c>
      <c r="I1182" t="s">
        <v>69</v>
      </c>
      <c r="J1182" t="s">
        <v>1647</v>
      </c>
      <c r="K1182" t="s">
        <v>96</v>
      </c>
      <c r="L1182" t="s">
        <v>48</v>
      </c>
      <c r="M1182" t="s">
        <v>1647</v>
      </c>
      <c r="N1182" s="6" t="s">
        <v>1647</v>
      </c>
      <c r="O1182" t="str">
        <f t="shared" si="73"/>
        <v>Normal</v>
      </c>
      <c r="P1182" t="str">
        <f t="shared" si="74"/>
        <v>Duplicate ID</v>
      </c>
      <c r="Q1182" t="str">
        <f t="shared" si="75"/>
        <v>15,000-19,999</v>
      </c>
      <c r="R1182" s="6">
        <f>IF(COUNTIF($A$2:A1182,A1182)=1,1,0)</f>
        <v>0</v>
      </c>
    </row>
    <row r="1183" spans="1:18" x14ac:dyDescent="0.25">
      <c r="A1183" s="6">
        <v>1592</v>
      </c>
      <c r="B1183" s="7">
        <v>45182</v>
      </c>
      <c r="C1183" t="s">
        <v>32</v>
      </c>
      <c r="D1183" s="6"/>
      <c r="E1183" s="8">
        <v>3424</v>
      </c>
      <c r="F1183" s="8">
        <v>7000</v>
      </c>
      <c r="G1183" s="8">
        <f t="shared" si="72"/>
        <v>3576</v>
      </c>
      <c r="H1183" s="6">
        <v>40000</v>
      </c>
      <c r="I1183" t="s">
        <v>1647</v>
      </c>
      <c r="J1183" t="s">
        <v>35</v>
      </c>
      <c r="K1183" t="s">
        <v>96</v>
      </c>
      <c r="L1183" t="s">
        <v>48</v>
      </c>
      <c r="M1183" t="s">
        <v>90</v>
      </c>
      <c r="N1183" s="6">
        <v>0</v>
      </c>
      <c r="O1183" t="str">
        <f t="shared" si="73"/>
        <v>Normal</v>
      </c>
      <c r="P1183" t="str">
        <f t="shared" si="74"/>
        <v>Duplicate ID</v>
      </c>
      <c r="Q1183" t="str">
        <f t="shared" si="75"/>
        <v>0-4,999</v>
      </c>
      <c r="R1183" s="6">
        <f>IF(COUNTIF($A$2:A1183,A1183)=1,1,0)</f>
        <v>0</v>
      </c>
    </row>
    <row r="1184" spans="1:18" x14ac:dyDescent="0.25">
      <c r="A1184" s="6">
        <v>1274</v>
      </c>
      <c r="B1184" s="7">
        <v>44555</v>
      </c>
      <c r="C1184" t="s">
        <v>40</v>
      </c>
      <c r="D1184" s="6"/>
      <c r="E1184" s="8">
        <v>22931</v>
      </c>
      <c r="F1184" s="8">
        <v>26000</v>
      </c>
      <c r="G1184" s="8">
        <f t="shared" si="72"/>
        <v>3069</v>
      </c>
      <c r="H1184" s="6">
        <v>120000</v>
      </c>
      <c r="I1184" t="s">
        <v>58</v>
      </c>
      <c r="J1184" t="s">
        <v>1647</v>
      </c>
      <c r="K1184" t="s">
        <v>96</v>
      </c>
      <c r="L1184" t="s">
        <v>100</v>
      </c>
      <c r="M1184" t="s">
        <v>1647</v>
      </c>
      <c r="N1184" s="6">
        <v>1</v>
      </c>
      <c r="O1184" t="str">
        <f t="shared" si="73"/>
        <v>Normal</v>
      </c>
      <c r="P1184" t="str">
        <f t="shared" si="74"/>
        <v>Duplicate ID</v>
      </c>
      <c r="Q1184" t="str">
        <f t="shared" si="75"/>
        <v>20,000-24,999</v>
      </c>
      <c r="R1184" s="6">
        <f>IF(COUNTIF($A$2:A1184,A1184)=1,1,0)</f>
        <v>0</v>
      </c>
    </row>
    <row r="1185" spans="1:18" x14ac:dyDescent="0.25">
      <c r="A1185" s="6">
        <v>1511</v>
      </c>
      <c r="B1185" s="7">
        <v>45322</v>
      </c>
      <c r="C1185" t="s">
        <v>119</v>
      </c>
      <c r="D1185" s="6"/>
      <c r="E1185" s="8">
        <v>7077</v>
      </c>
      <c r="F1185" s="8">
        <v>9000</v>
      </c>
      <c r="G1185" s="8">
        <f t="shared" si="72"/>
        <v>1923</v>
      </c>
      <c r="H1185" s="6">
        <v>25000</v>
      </c>
      <c r="I1185" t="s">
        <v>58</v>
      </c>
      <c r="J1185" t="s">
        <v>35</v>
      </c>
      <c r="K1185" t="s">
        <v>1647</v>
      </c>
      <c r="L1185" t="s">
        <v>1647</v>
      </c>
      <c r="M1185" t="s">
        <v>126</v>
      </c>
      <c r="N1185" s="6" t="s">
        <v>1647</v>
      </c>
      <c r="O1185" t="str">
        <f t="shared" si="73"/>
        <v>Normal</v>
      </c>
      <c r="P1185" t="str">
        <f t="shared" si="74"/>
        <v>Duplicate ID</v>
      </c>
      <c r="Q1185" t="str">
        <f t="shared" si="75"/>
        <v>5,000-9,999</v>
      </c>
      <c r="R1185" s="6">
        <f>IF(COUNTIF($A$2:A1185,A1185)=1,1,0)</f>
        <v>0</v>
      </c>
    </row>
    <row r="1186" spans="1:18" x14ac:dyDescent="0.25">
      <c r="A1186" s="6">
        <v>1015</v>
      </c>
      <c r="B1186" s="7">
        <v>44436</v>
      </c>
      <c r="C1186" t="s">
        <v>57</v>
      </c>
      <c r="D1186" s="6">
        <v>2016</v>
      </c>
      <c r="E1186" s="8">
        <v>10634</v>
      </c>
      <c r="F1186" s="8">
        <v>12000</v>
      </c>
      <c r="G1186" s="8">
        <f t="shared" si="72"/>
        <v>1366</v>
      </c>
      <c r="H1186" s="6">
        <v>15000</v>
      </c>
      <c r="I1186" t="s">
        <v>41</v>
      </c>
      <c r="J1186" t="s">
        <v>1647</v>
      </c>
      <c r="K1186" t="s">
        <v>96</v>
      </c>
      <c r="L1186" t="s">
        <v>48</v>
      </c>
      <c r="M1186" t="s">
        <v>98</v>
      </c>
      <c r="N1186" s="6">
        <v>3</v>
      </c>
      <c r="O1186" t="str">
        <f t="shared" si="73"/>
        <v>Normal</v>
      </c>
      <c r="P1186" t="str">
        <f t="shared" si="74"/>
        <v>Duplicate ID</v>
      </c>
      <c r="Q1186" t="str">
        <f t="shared" si="75"/>
        <v>10,000-14,999</v>
      </c>
      <c r="R1186" s="6">
        <f>IF(COUNTIF($A$2:A1186,A1186)=1,1,0)</f>
        <v>0</v>
      </c>
    </row>
    <row r="1187" spans="1:18" x14ac:dyDescent="0.25">
      <c r="A1187" s="6">
        <v>1492</v>
      </c>
      <c r="B1187" s="7">
        <v>45340</v>
      </c>
      <c r="C1187" t="s">
        <v>32</v>
      </c>
      <c r="D1187" s="6">
        <v>2014</v>
      </c>
      <c r="E1187" s="8">
        <v>828</v>
      </c>
      <c r="F1187" s="8">
        <v>7000</v>
      </c>
      <c r="G1187" s="8">
        <f t="shared" si="72"/>
        <v>6172</v>
      </c>
      <c r="H1187" s="6">
        <v>80000</v>
      </c>
      <c r="I1187" t="s">
        <v>69</v>
      </c>
      <c r="J1187" t="s">
        <v>35</v>
      </c>
      <c r="K1187" t="s">
        <v>96</v>
      </c>
      <c r="L1187" t="s">
        <v>48</v>
      </c>
      <c r="M1187" t="s">
        <v>126</v>
      </c>
      <c r="N1187" s="6">
        <v>2</v>
      </c>
      <c r="O1187" t="str">
        <f t="shared" si="73"/>
        <v>Outlier</v>
      </c>
      <c r="P1187" t="str">
        <f t="shared" si="74"/>
        <v>Duplicate ID</v>
      </c>
      <c r="Q1187" t="str">
        <f t="shared" si="75"/>
        <v>0-4,999</v>
      </c>
      <c r="R1187" s="6">
        <f>IF(COUNTIF($A$2:A1187,A1187)=1,1,0)</f>
        <v>0</v>
      </c>
    </row>
    <row r="1188" spans="1:18" x14ac:dyDescent="0.25">
      <c r="A1188" s="6">
        <v>1087</v>
      </c>
      <c r="B1188" s="7">
        <v>44696</v>
      </c>
      <c r="C1188" t="s">
        <v>40</v>
      </c>
      <c r="D1188" s="6">
        <v>2017</v>
      </c>
      <c r="E1188" s="8">
        <v>11677</v>
      </c>
      <c r="F1188" s="8">
        <v>18000</v>
      </c>
      <c r="G1188" s="8">
        <f t="shared" si="72"/>
        <v>6323</v>
      </c>
      <c r="H1188" s="6">
        <v>40000</v>
      </c>
      <c r="I1188" t="s">
        <v>69</v>
      </c>
      <c r="J1188" t="s">
        <v>72</v>
      </c>
      <c r="K1188" t="s">
        <v>1647</v>
      </c>
      <c r="L1188" t="s">
        <v>100</v>
      </c>
      <c r="M1188" t="s">
        <v>90</v>
      </c>
      <c r="N1188" s="6">
        <v>2</v>
      </c>
      <c r="O1188" t="str">
        <f t="shared" si="73"/>
        <v>Normal</v>
      </c>
      <c r="P1188" t="str">
        <f t="shared" si="74"/>
        <v>Duplicate ID</v>
      </c>
      <c r="Q1188" t="str">
        <f t="shared" si="75"/>
        <v>10,000-14,999</v>
      </c>
      <c r="R1188" s="6">
        <f>IF(COUNTIF($A$2:A1188,A1188)=1,1,0)</f>
        <v>0</v>
      </c>
    </row>
    <row r="1189" spans="1:18" x14ac:dyDescent="0.25">
      <c r="A1189" s="6">
        <v>1003</v>
      </c>
      <c r="B1189" s="7">
        <v>44268</v>
      </c>
      <c r="C1189" t="s">
        <v>51</v>
      </c>
      <c r="D1189" s="6">
        <v>2020</v>
      </c>
      <c r="E1189" s="8">
        <v>20200</v>
      </c>
      <c r="F1189" s="8">
        <v>22000</v>
      </c>
      <c r="G1189" s="8">
        <f t="shared" si="72"/>
        <v>1800</v>
      </c>
      <c r="H1189" s="6">
        <v>120000</v>
      </c>
      <c r="I1189" t="s">
        <v>34</v>
      </c>
      <c r="J1189" t="s">
        <v>35</v>
      </c>
      <c r="K1189" t="s">
        <v>36</v>
      </c>
      <c r="L1189" t="s">
        <v>54</v>
      </c>
      <c r="M1189" t="s">
        <v>45</v>
      </c>
      <c r="N1189" s="6">
        <v>2</v>
      </c>
      <c r="O1189" t="str">
        <f t="shared" si="73"/>
        <v>Normal</v>
      </c>
      <c r="P1189" t="str">
        <f t="shared" si="74"/>
        <v>Duplicate ID</v>
      </c>
      <c r="Q1189" t="str">
        <f t="shared" si="75"/>
        <v>20,000-24,999</v>
      </c>
      <c r="R1189" s="6">
        <f>IF(COUNTIF($A$2:A1189,A1189)=1,1,0)</f>
        <v>0</v>
      </c>
    </row>
    <row r="1190" spans="1:18" x14ac:dyDescent="0.25">
      <c r="A1190" s="6">
        <v>1446</v>
      </c>
      <c r="B1190" s="7">
        <v>44291</v>
      </c>
      <c r="C1190" t="s">
        <v>79</v>
      </c>
      <c r="D1190" s="6">
        <v>2021</v>
      </c>
      <c r="E1190" s="8">
        <v>7840</v>
      </c>
      <c r="F1190" s="8">
        <v>9000</v>
      </c>
      <c r="G1190" s="8">
        <f t="shared" si="72"/>
        <v>1160</v>
      </c>
      <c r="H1190" s="6">
        <v>40000</v>
      </c>
      <c r="I1190" t="s">
        <v>69</v>
      </c>
      <c r="J1190" t="s">
        <v>35</v>
      </c>
      <c r="K1190" t="s">
        <v>36</v>
      </c>
      <c r="L1190" t="s">
        <v>73</v>
      </c>
      <c r="M1190" t="s">
        <v>98</v>
      </c>
      <c r="N1190" s="6">
        <v>2</v>
      </c>
      <c r="O1190" t="str">
        <f t="shared" si="73"/>
        <v>Normal</v>
      </c>
      <c r="P1190" t="str">
        <f t="shared" si="74"/>
        <v>Duplicate ID</v>
      </c>
      <c r="Q1190" t="str">
        <f t="shared" si="75"/>
        <v>5,000-9,999</v>
      </c>
      <c r="R1190" s="6">
        <f>IF(COUNTIF($A$2:A1190,A1190)=1,1,0)</f>
        <v>0</v>
      </c>
    </row>
    <row r="1191" spans="1:18" x14ac:dyDescent="0.25">
      <c r="A1191" s="6">
        <v>1001</v>
      </c>
      <c r="B1191" s="7">
        <v>44774</v>
      </c>
      <c r="C1191" t="s">
        <v>51</v>
      </c>
      <c r="D1191" s="6">
        <v>2015</v>
      </c>
      <c r="E1191" s="8">
        <v>6159</v>
      </c>
      <c r="F1191" s="8">
        <v>9000</v>
      </c>
      <c r="G1191" s="8">
        <f t="shared" si="72"/>
        <v>2841</v>
      </c>
      <c r="H1191" s="6">
        <v>120000</v>
      </c>
      <c r="I1191" t="s">
        <v>69</v>
      </c>
      <c r="J1191" t="s">
        <v>1647</v>
      </c>
      <c r="K1191" t="s">
        <v>96</v>
      </c>
      <c r="L1191" t="s">
        <v>73</v>
      </c>
      <c r="M1191" t="s">
        <v>1647</v>
      </c>
      <c r="N1191" s="6" t="s">
        <v>1647</v>
      </c>
      <c r="O1191" t="str">
        <f t="shared" si="73"/>
        <v>Normal</v>
      </c>
      <c r="P1191" t="str">
        <f t="shared" si="74"/>
        <v>Duplicate ID</v>
      </c>
      <c r="Q1191" t="str">
        <f t="shared" si="75"/>
        <v>5,000-9,999</v>
      </c>
      <c r="R1191" s="6">
        <f>IF(COUNTIF($A$2:A1191,A1191)=1,1,0)</f>
        <v>0</v>
      </c>
    </row>
    <row r="1192" spans="1:18" x14ac:dyDescent="0.25">
      <c r="A1192" s="6">
        <v>1207</v>
      </c>
      <c r="B1192" s="7">
        <v>45319</v>
      </c>
      <c r="C1192" t="s">
        <v>40</v>
      </c>
      <c r="D1192" s="6">
        <v>2019</v>
      </c>
      <c r="E1192" s="8">
        <v>10562</v>
      </c>
      <c r="F1192" s="8">
        <v>15000</v>
      </c>
      <c r="G1192" s="8">
        <f t="shared" si="72"/>
        <v>4438</v>
      </c>
      <c r="H1192" s="6">
        <v>60000</v>
      </c>
      <c r="I1192" t="s">
        <v>34</v>
      </c>
      <c r="J1192" t="s">
        <v>35</v>
      </c>
      <c r="K1192" t="s">
        <v>96</v>
      </c>
      <c r="L1192" t="s">
        <v>48</v>
      </c>
      <c r="M1192" t="s">
        <v>126</v>
      </c>
      <c r="N1192" s="6" t="s">
        <v>1647</v>
      </c>
      <c r="O1192" t="str">
        <f t="shared" si="73"/>
        <v>Normal</v>
      </c>
      <c r="P1192" t="str">
        <f t="shared" si="74"/>
        <v>Duplicate ID</v>
      </c>
      <c r="Q1192" t="str">
        <f t="shared" si="75"/>
        <v>10,000-14,999</v>
      </c>
      <c r="R1192" s="6">
        <f>IF(COUNTIF($A$2:A1192,A1192)=1,1,0)</f>
        <v>0</v>
      </c>
    </row>
    <row r="1193" spans="1:18" x14ac:dyDescent="0.25">
      <c r="A1193" s="6">
        <v>1579</v>
      </c>
      <c r="B1193" s="7">
        <v>45262</v>
      </c>
      <c r="C1193" t="s">
        <v>119</v>
      </c>
      <c r="D1193" s="6">
        <v>2022</v>
      </c>
      <c r="E1193" s="8">
        <v>20450</v>
      </c>
      <c r="F1193" s="8">
        <v>26000</v>
      </c>
      <c r="G1193" s="8">
        <f t="shared" si="72"/>
        <v>5550</v>
      </c>
      <c r="H1193" s="6">
        <v>80000</v>
      </c>
      <c r="I1193" t="s">
        <v>1647</v>
      </c>
      <c r="J1193" t="s">
        <v>1647</v>
      </c>
      <c r="K1193" t="s">
        <v>36</v>
      </c>
      <c r="L1193" t="s">
        <v>54</v>
      </c>
      <c r="M1193" t="s">
        <v>126</v>
      </c>
      <c r="N1193" s="6">
        <v>2</v>
      </c>
      <c r="O1193" t="str">
        <f t="shared" si="73"/>
        <v>Normal</v>
      </c>
      <c r="P1193" t="str">
        <f t="shared" si="74"/>
        <v>Duplicate ID</v>
      </c>
      <c r="Q1193" t="str">
        <f t="shared" si="75"/>
        <v>20,000-24,999</v>
      </c>
      <c r="R1193" s="6">
        <f>IF(COUNTIF($A$2:A1193,A1193)=1,1,0)</f>
        <v>0</v>
      </c>
    </row>
    <row r="1194" spans="1:18" x14ac:dyDescent="0.25">
      <c r="A1194" s="6">
        <v>1465</v>
      </c>
      <c r="B1194" s="7">
        <v>45363</v>
      </c>
      <c r="C1194" t="s">
        <v>1648</v>
      </c>
      <c r="D1194" s="6">
        <v>2016</v>
      </c>
      <c r="E1194" s="8">
        <v>20365</v>
      </c>
      <c r="F1194" s="8">
        <v>22000</v>
      </c>
      <c r="G1194" s="8">
        <f t="shared" si="72"/>
        <v>1635</v>
      </c>
      <c r="H1194" s="6">
        <v>60000</v>
      </c>
      <c r="I1194" t="s">
        <v>58</v>
      </c>
      <c r="J1194" t="s">
        <v>35</v>
      </c>
      <c r="K1194" t="s">
        <v>36</v>
      </c>
      <c r="L1194" t="s">
        <v>100</v>
      </c>
      <c r="M1194" t="s">
        <v>98</v>
      </c>
      <c r="N1194" s="6">
        <v>2</v>
      </c>
      <c r="O1194" t="str">
        <f t="shared" si="73"/>
        <v>Normal</v>
      </c>
      <c r="P1194" t="str">
        <f t="shared" si="74"/>
        <v>Duplicate ID</v>
      </c>
      <c r="Q1194" t="str">
        <f t="shared" si="75"/>
        <v>20,000-24,999</v>
      </c>
      <c r="R1194" s="6">
        <f>IF(COUNTIF($A$2:A1194,A1194)=1,1,0)</f>
        <v>0</v>
      </c>
    </row>
    <row r="1195" spans="1:18" x14ac:dyDescent="0.25">
      <c r="A1195" s="6">
        <v>1080</v>
      </c>
      <c r="B1195" s="7">
        <v>44816</v>
      </c>
      <c r="C1195" t="s">
        <v>1648</v>
      </c>
      <c r="D1195" s="6">
        <v>2018</v>
      </c>
      <c r="E1195" s="8">
        <v>10880</v>
      </c>
      <c r="F1195" s="8">
        <v>12000</v>
      </c>
      <c r="G1195" s="8">
        <f t="shared" si="72"/>
        <v>1120</v>
      </c>
      <c r="H1195" s="6">
        <v>60000</v>
      </c>
      <c r="I1195" t="s">
        <v>69</v>
      </c>
      <c r="J1195" t="s">
        <v>35</v>
      </c>
      <c r="K1195" t="s">
        <v>36</v>
      </c>
      <c r="L1195" t="s">
        <v>48</v>
      </c>
      <c r="M1195" t="s">
        <v>45</v>
      </c>
      <c r="N1195" s="6">
        <v>2</v>
      </c>
      <c r="O1195" t="str">
        <f t="shared" si="73"/>
        <v>Normal</v>
      </c>
      <c r="P1195" t="str">
        <f t="shared" si="74"/>
        <v>Duplicate ID</v>
      </c>
      <c r="Q1195" t="str">
        <f t="shared" si="75"/>
        <v>10,000-14,999</v>
      </c>
      <c r="R1195" s="6">
        <f>IF(COUNTIF($A$2:A1195,A1195)=1,1,0)</f>
        <v>0</v>
      </c>
    </row>
    <row r="1196" spans="1:18" x14ac:dyDescent="0.25">
      <c r="A1196" s="6">
        <v>1092</v>
      </c>
      <c r="B1196" s="7">
        <v>44792</v>
      </c>
      <c r="C1196" t="s">
        <v>51</v>
      </c>
      <c r="D1196" s="6">
        <v>2015</v>
      </c>
      <c r="E1196" s="8">
        <v>26257</v>
      </c>
      <c r="F1196" s="8">
        <v>31000</v>
      </c>
      <c r="G1196" s="8">
        <f t="shared" si="72"/>
        <v>4743</v>
      </c>
      <c r="H1196" s="6">
        <v>60000</v>
      </c>
      <c r="I1196" t="s">
        <v>58</v>
      </c>
      <c r="J1196" t="s">
        <v>35</v>
      </c>
      <c r="K1196" t="s">
        <v>36</v>
      </c>
      <c r="L1196" t="s">
        <v>1647</v>
      </c>
      <c r="M1196" t="s">
        <v>1647</v>
      </c>
      <c r="N1196" s="6">
        <v>1</v>
      </c>
      <c r="O1196" t="str">
        <f t="shared" si="73"/>
        <v>Normal</v>
      </c>
      <c r="P1196" t="str">
        <f t="shared" si="74"/>
        <v>Duplicate ID</v>
      </c>
      <c r="Q1196" t="str">
        <f t="shared" si="75"/>
        <v>25,000-30,000</v>
      </c>
      <c r="R1196" s="6">
        <f>IF(COUNTIF($A$2:A1196,A1196)=1,1,0)</f>
        <v>0</v>
      </c>
    </row>
    <row r="1197" spans="1:18" x14ac:dyDescent="0.25">
      <c r="A1197" s="6">
        <v>1181</v>
      </c>
      <c r="B1197" s="7">
        <v>44742</v>
      </c>
      <c r="C1197" t="s">
        <v>119</v>
      </c>
      <c r="D1197" s="6">
        <v>2015</v>
      </c>
      <c r="E1197" s="8">
        <v>21431</v>
      </c>
      <c r="F1197" s="8">
        <v>26000</v>
      </c>
      <c r="G1197" s="8">
        <f t="shared" si="72"/>
        <v>4569</v>
      </c>
      <c r="H1197" s="6">
        <v>25000</v>
      </c>
      <c r="I1197" t="s">
        <v>41</v>
      </c>
      <c r="J1197" t="s">
        <v>72</v>
      </c>
      <c r="K1197" t="s">
        <v>36</v>
      </c>
      <c r="L1197" t="s">
        <v>54</v>
      </c>
      <c r="M1197" t="s">
        <v>45</v>
      </c>
      <c r="N1197" s="6">
        <v>2</v>
      </c>
      <c r="O1197" t="str">
        <f t="shared" si="73"/>
        <v>Normal</v>
      </c>
      <c r="P1197" t="str">
        <f t="shared" si="74"/>
        <v>Duplicate ID</v>
      </c>
      <c r="Q1197" t="str">
        <f t="shared" si="75"/>
        <v>20,000-24,999</v>
      </c>
      <c r="R1197" s="6">
        <f>IF(COUNTIF($A$2:A1197,A1197)=1,1,0)</f>
        <v>0</v>
      </c>
    </row>
    <row r="1198" spans="1:18" x14ac:dyDescent="0.25">
      <c r="A1198" s="6">
        <v>1497</v>
      </c>
      <c r="B1198" s="7">
        <v>44960</v>
      </c>
      <c r="C1198" t="s">
        <v>32</v>
      </c>
      <c r="D1198" s="6">
        <v>2015</v>
      </c>
      <c r="E1198" s="8">
        <v>18595</v>
      </c>
      <c r="F1198" s="8">
        <v>22000</v>
      </c>
      <c r="G1198" s="8">
        <f t="shared" si="72"/>
        <v>3405</v>
      </c>
      <c r="H1198" s="6">
        <v>120000</v>
      </c>
      <c r="I1198" t="s">
        <v>58</v>
      </c>
      <c r="J1198" t="s">
        <v>35</v>
      </c>
      <c r="K1198" t="s">
        <v>1647</v>
      </c>
      <c r="L1198" t="s">
        <v>100</v>
      </c>
      <c r="M1198" t="s">
        <v>90</v>
      </c>
      <c r="N1198" s="6">
        <v>2</v>
      </c>
      <c r="O1198" t="str">
        <f t="shared" si="73"/>
        <v>Normal</v>
      </c>
      <c r="P1198" t="str">
        <f t="shared" si="74"/>
        <v>Duplicate ID</v>
      </c>
      <c r="Q1198" t="str">
        <f t="shared" si="75"/>
        <v>15,000-19,999</v>
      </c>
      <c r="R1198" s="6">
        <f>IF(COUNTIF($A$2:A1198,A1198)=1,1,0)</f>
        <v>0</v>
      </c>
    </row>
    <row r="1199" spans="1:18" x14ac:dyDescent="0.25">
      <c r="A1199" s="6">
        <v>1408</v>
      </c>
      <c r="B1199" s="7">
        <v>44326</v>
      </c>
      <c r="C1199" t="s">
        <v>1648</v>
      </c>
      <c r="D1199" s="6">
        <v>2014</v>
      </c>
      <c r="E1199" s="8">
        <v>5593</v>
      </c>
      <c r="F1199" s="8">
        <v>7000</v>
      </c>
      <c r="G1199" s="8">
        <f t="shared" si="72"/>
        <v>1407</v>
      </c>
      <c r="H1199" s="6">
        <v>120000</v>
      </c>
      <c r="I1199" t="s">
        <v>69</v>
      </c>
      <c r="J1199" t="s">
        <v>35</v>
      </c>
      <c r="K1199" t="s">
        <v>96</v>
      </c>
      <c r="L1199" t="s">
        <v>100</v>
      </c>
      <c r="M1199" t="s">
        <v>90</v>
      </c>
      <c r="N1199" s="6">
        <v>1</v>
      </c>
      <c r="O1199" t="str">
        <f t="shared" si="73"/>
        <v>Normal</v>
      </c>
      <c r="P1199" t="str">
        <f t="shared" si="74"/>
        <v>Duplicate ID</v>
      </c>
      <c r="Q1199" t="str">
        <f t="shared" si="75"/>
        <v>5,000-9,999</v>
      </c>
      <c r="R1199" s="6">
        <f>IF(COUNTIF($A$2:A1199,A1199)=1,1,0)</f>
        <v>0</v>
      </c>
    </row>
    <row r="1200" spans="1:18" x14ac:dyDescent="0.25">
      <c r="A1200" s="6">
        <v>1335</v>
      </c>
      <c r="B1200" s="7">
        <v>45343</v>
      </c>
      <c r="C1200" t="s">
        <v>119</v>
      </c>
      <c r="D1200" s="6">
        <v>2021</v>
      </c>
      <c r="E1200" s="8">
        <v>9666</v>
      </c>
      <c r="F1200" s="8">
        <v>12000</v>
      </c>
      <c r="G1200" s="8">
        <f t="shared" si="72"/>
        <v>2334</v>
      </c>
      <c r="H1200" s="6">
        <v>80000</v>
      </c>
      <c r="I1200" t="s">
        <v>41</v>
      </c>
      <c r="J1200" t="s">
        <v>35</v>
      </c>
      <c r="K1200" t="s">
        <v>96</v>
      </c>
      <c r="L1200" t="s">
        <v>1647</v>
      </c>
      <c r="M1200" t="s">
        <v>1647</v>
      </c>
      <c r="N1200" s="6">
        <v>1</v>
      </c>
      <c r="O1200" t="str">
        <f t="shared" si="73"/>
        <v>Normal</v>
      </c>
      <c r="P1200" t="str">
        <f t="shared" si="74"/>
        <v>Duplicate ID</v>
      </c>
      <c r="Q1200" t="str">
        <f t="shared" si="75"/>
        <v>5,000-9,999</v>
      </c>
      <c r="R1200" s="6">
        <f>IF(COUNTIF($A$2:A1200,A1200)=1,1,0)</f>
        <v>0</v>
      </c>
    </row>
    <row r="1201" spans="1:18" x14ac:dyDescent="0.25">
      <c r="A1201" s="6">
        <v>1429</v>
      </c>
      <c r="B1201" s="7">
        <v>44476</v>
      </c>
      <c r="C1201" t="s">
        <v>57</v>
      </c>
      <c r="D1201" s="6">
        <v>2018</v>
      </c>
      <c r="E1201" s="8">
        <v>29262</v>
      </c>
      <c r="F1201" s="8">
        <v>31000</v>
      </c>
      <c r="G1201" s="8">
        <f t="shared" si="72"/>
        <v>1738</v>
      </c>
      <c r="H1201" s="6">
        <v>25000</v>
      </c>
      <c r="I1201" t="s">
        <v>69</v>
      </c>
      <c r="J1201" t="s">
        <v>35</v>
      </c>
      <c r="K1201" t="s">
        <v>96</v>
      </c>
      <c r="L1201" t="s">
        <v>73</v>
      </c>
      <c r="M1201" t="s">
        <v>126</v>
      </c>
      <c r="N1201" s="6">
        <v>2</v>
      </c>
      <c r="O1201" t="str">
        <f t="shared" si="73"/>
        <v>Normal</v>
      </c>
      <c r="P1201" t="str">
        <f t="shared" si="74"/>
        <v>Duplicate ID</v>
      </c>
      <c r="Q1201" t="str">
        <f t="shared" si="75"/>
        <v>25,000-30,000</v>
      </c>
      <c r="R1201" s="6">
        <f>IF(COUNTIF($A$2:A1201,A1201)=1,1,0)</f>
        <v>0</v>
      </c>
    </row>
    <row r="1202" spans="1:18" x14ac:dyDescent="0.25">
      <c r="A1202" s="6">
        <v>1182</v>
      </c>
      <c r="B1202" s="7">
        <v>44199</v>
      </c>
      <c r="C1202" t="s">
        <v>40</v>
      </c>
      <c r="D1202" s="6">
        <v>2015</v>
      </c>
      <c r="E1202" s="8">
        <v>4955</v>
      </c>
      <c r="F1202" s="8">
        <v>9000</v>
      </c>
      <c r="G1202" s="8">
        <f t="shared" si="72"/>
        <v>4045</v>
      </c>
      <c r="H1202" s="6">
        <v>80000</v>
      </c>
      <c r="I1202" t="s">
        <v>41</v>
      </c>
      <c r="J1202" t="s">
        <v>72</v>
      </c>
      <c r="K1202" t="s">
        <v>36</v>
      </c>
      <c r="L1202" t="s">
        <v>48</v>
      </c>
      <c r="M1202" t="s">
        <v>126</v>
      </c>
      <c r="N1202" s="6">
        <v>0</v>
      </c>
      <c r="O1202" t="str">
        <f t="shared" si="73"/>
        <v>Normal</v>
      </c>
      <c r="P1202" t="str">
        <f t="shared" si="74"/>
        <v>Duplicate ID</v>
      </c>
      <c r="Q1202" t="str">
        <f t="shared" si="75"/>
        <v>0-4,999</v>
      </c>
      <c r="R1202" s="6">
        <f>IF(COUNTIF($A$2:A1202,A1202)=1,1,0)</f>
        <v>0</v>
      </c>
    </row>
    <row r="1203" spans="1:18" x14ac:dyDescent="0.25">
      <c r="A1203" s="6">
        <v>1204</v>
      </c>
      <c r="B1203" s="7">
        <v>44475</v>
      </c>
      <c r="C1203" t="s">
        <v>79</v>
      </c>
      <c r="D1203" s="6">
        <v>2017</v>
      </c>
      <c r="E1203" s="8">
        <v>25335</v>
      </c>
      <c r="F1203" s="8">
        <v>31000</v>
      </c>
      <c r="G1203" s="8">
        <f t="shared" si="72"/>
        <v>5665</v>
      </c>
      <c r="H1203" s="6">
        <v>15000</v>
      </c>
      <c r="I1203" t="s">
        <v>69</v>
      </c>
      <c r="J1203" t="s">
        <v>35</v>
      </c>
      <c r="K1203" t="s">
        <v>36</v>
      </c>
      <c r="L1203" t="s">
        <v>48</v>
      </c>
      <c r="M1203" t="s">
        <v>45</v>
      </c>
      <c r="N1203" s="6">
        <v>0</v>
      </c>
      <c r="O1203" t="str">
        <f t="shared" si="73"/>
        <v>Normal</v>
      </c>
      <c r="P1203" t="str">
        <f t="shared" si="74"/>
        <v>Duplicate ID</v>
      </c>
      <c r="Q1203" t="str">
        <f t="shared" si="75"/>
        <v>25,000-30,000</v>
      </c>
      <c r="R1203" s="6">
        <f>IF(COUNTIF($A$2:A1203,A1203)=1,1,0)</f>
        <v>1</v>
      </c>
    </row>
    <row r="1204" spans="1:18" x14ac:dyDescent="0.25">
      <c r="A1204" s="6">
        <v>1144</v>
      </c>
      <c r="B1204" s="7">
        <v>44661</v>
      </c>
      <c r="C1204" t="s">
        <v>51</v>
      </c>
      <c r="D1204" s="6">
        <v>2022</v>
      </c>
      <c r="E1204" s="8">
        <v>18600</v>
      </c>
      <c r="F1204" s="8">
        <v>22000</v>
      </c>
      <c r="G1204" s="8">
        <f t="shared" si="72"/>
        <v>3400</v>
      </c>
      <c r="H1204" s="6">
        <v>120000</v>
      </c>
      <c r="I1204" t="s">
        <v>58</v>
      </c>
      <c r="J1204" t="s">
        <v>72</v>
      </c>
      <c r="K1204" t="s">
        <v>96</v>
      </c>
      <c r="L1204" t="s">
        <v>100</v>
      </c>
      <c r="M1204" t="s">
        <v>45</v>
      </c>
      <c r="N1204" s="6">
        <v>2</v>
      </c>
      <c r="O1204" t="str">
        <f t="shared" si="73"/>
        <v>Normal</v>
      </c>
      <c r="P1204" t="str">
        <f t="shared" si="74"/>
        <v>Duplicate ID</v>
      </c>
      <c r="Q1204" t="str">
        <f t="shared" si="75"/>
        <v>15,000-19,999</v>
      </c>
      <c r="R1204" s="6">
        <f>IF(COUNTIF($A$2:A1204,A1204)=1,1,0)</f>
        <v>0</v>
      </c>
    </row>
    <row r="1205" spans="1:18" x14ac:dyDescent="0.25">
      <c r="A1205" s="6">
        <v>1144</v>
      </c>
      <c r="B1205" s="7">
        <v>45251</v>
      </c>
      <c r="C1205" t="s">
        <v>1648</v>
      </c>
      <c r="D1205" s="6">
        <v>2015</v>
      </c>
      <c r="E1205" s="8">
        <v>24279</v>
      </c>
      <c r="F1205" s="8">
        <v>26000</v>
      </c>
      <c r="G1205" s="8">
        <f t="shared" si="72"/>
        <v>1721</v>
      </c>
      <c r="H1205" s="6">
        <v>120000</v>
      </c>
      <c r="I1205" t="s">
        <v>41</v>
      </c>
      <c r="J1205" t="s">
        <v>35</v>
      </c>
      <c r="K1205" t="s">
        <v>36</v>
      </c>
      <c r="L1205" t="s">
        <v>73</v>
      </c>
      <c r="M1205" t="s">
        <v>45</v>
      </c>
      <c r="N1205" s="6">
        <v>2</v>
      </c>
      <c r="O1205" t="str">
        <f t="shared" si="73"/>
        <v>Normal</v>
      </c>
      <c r="P1205" t="str">
        <f t="shared" si="74"/>
        <v>Duplicate ID</v>
      </c>
      <c r="Q1205" t="str">
        <f t="shared" si="75"/>
        <v>20,000-24,999</v>
      </c>
      <c r="R1205" s="6">
        <f>IF(COUNTIF($A$2:A1205,A1205)=1,1,0)</f>
        <v>0</v>
      </c>
    </row>
    <row r="1206" spans="1:18" x14ac:dyDescent="0.25">
      <c r="A1206" s="6">
        <v>1227</v>
      </c>
      <c r="B1206" s="7">
        <v>45022</v>
      </c>
      <c r="C1206" t="s">
        <v>40</v>
      </c>
      <c r="D1206" s="6">
        <v>2016</v>
      </c>
      <c r="E1206" s="8">
        <v>15561</v>
      </c>
      <c r="F1206" s="8">
        <v>22000</v>
      </c>
      <c r="G1206" s="8">
        <f t="shared" si="72"/>
        <v>6439</v>
      </c>
      <c r="H1206" s="6">
        <v>80000</v>
      </c>
      <c r="I1206" t="s">
        <v>58</v>
      </c>
      <c r="J1206" t="s">
        <v>72</v>
      </c>
      <c r="K1206" t="s">
        <v>96</v>
      </c>
      <c r="L1206" t="s">
        <v>54</v>
      </c>
      <c r="M1206" t="s">
        <v>1647</v>
      </c>
      <c r="N1206" s="6">
        <v>1</v>
      </c>
      <c r="O1206" t="str">
        <f t="shared" si="73"/>
        <v>Normal</v>
      </c>
      <c r="P1206" t="str">
        <f t="shared" si="74"/>
        <v>Duplicate ID</v>
      </c>
      <c r="Q1206" t="str">
        <f t="shared" si="75"/>
        <v>15,000-19,999</v>
      </c>
      <c r="R1206" s="6">
        <f>IF(COUNTIF($A$2:A1206,A1206)=1,1,0)</f>
        <v>0</v>
      </c>
    </row>
    <row r="1207" spans="1:18" x14ac:dyDescent="0.25">
      <c r="A1207" s="6">
        <v>1279</v>
      </c>
      <c r="B1207" s="7">
        <v>45027</v>
      </c>
      <c r="C1207" t="s">
        <v>51</v>
      </c>
      <c r="D1207" s="6">
        <v>2016</v>
      </c>
      <c r="E1207" s="8">
        <v>24505</v>
      </c>
      <c r="F1207" s="8">
        <v>26000</v>
      </c>
      <c r="G1207" s="8">
        <f t="shared" si="72"/>
        <v>1495</v>
      </c>
      <c r="H1207" s="6">
        <v>80000</v>
      </c>
      <c r="I1207" t="s">
        <v>1647</v>
      </c>
      <c r="J1207" t="s">
        <v>35</v>
      </c>
      <c r="K1207" t="s">
        <v>1647</v>
      </c>
      <c r="L1207" t="s">
        <v>1647</v>
      </c>
      <c r="M1207" t="s">
        <v>90</v>
      </c>
      <c r="N1207" s="6">
        <v>2</v>
      </c>
      <c r="O1207" t="str">
        <f t="shared" si="73"/>
        <v>Normal</v>
      </c>
      <c r="P1207" t="str">
        <f t="shared" si="74"/>
        <v>Duplicate ID</v>
      </c>
      <c r="Q1207" t="str">
        <f t="shared" si="75"/>
        <v>20,000-24,999</v>
      </c>
      <c r="R1207" s="6">
        <f>IF(COUNTIF($A$2:A1207,A1207)=1,1,0)</f>
        <v>0</v>
      </c>
    </row>
    <row r="1208" spans="1:18" x14ac:dyDescent="0.25">
      <c r="A1208" s="6">
        <v>1325</v>
      </c>
      <c r="B1208" s="7">
        <v>44559</v>
      </c>
      <c r="C1208" t="s">
        <v>51</v>
      </c>
      <c r="D1208" s="6">
        <v>2022</v>
      </c>
      <c r="E1208" s="8">
        <v>11513</v>
      </c>
      <c r="F1208" s="8">
        <v>15000</v>
      </c>
      <c r="G1208" s="8">
        <f t="shared" si="72"/>
        <v>3487</v>
      </c>
      <c r="H1208" s="6">
        <v>80000</v>
      </c>
      <c r="I1208" t="s">
        <v>69</v>
      </c>
      <c r="J1208" t="s">
        <v>72</v>
      </c>
      <c r="K1208" t="s">
        <v>36</v>
      </c>
      <c r="L1208" t="s">
        <v>1647</v>
      </c>
      <c r="M1208" t="s">
        <v>126</v>
      </c>
      <c r="N1208" s="6">
        <v>2</v>
      </c>
      <c r="O1208" t="str">
        <f t="shared" si="73"/>
        <v>Normal</v>
      </c>
      <c r="P1208" t="str">
        <f t="shared" si="74"/>
        <v>Duplicate ID</v>
      </c>
      <c r="Q1208" t="str">
        <f t="shared" si="75"/>
        <v>10,000-14,999</v>
      </c>
      <c r="R1208" s="6">
        <f>IF(COUNTIF($A$2:A1208,A1208)=1,1,0)</f>
        <v>0</v>
      </c>
    </row>
    <row r="1209" spans="1:18" x14ac:dyDescent="0.25">
      <c r="A1209" s="6">
        <v>1402</v>
      </c>
      <c r="B1209" s="7">
        <v>44299</v>
      </c>
      <c r="C1209" t="s">
        <v>51</v>
      </c>
      <c r="D1209" s="6">
        <v>2014</v>
      </c>
      <c r="E1209" s="8">
        <v>27734</v>
      </c>
      <c r="F1209" s="8">
        <v>31000</v>
      </c>
      <c r="G1209" s="8">
        <f t="shared" si="72"/>
        <v>3266</v>
      </c>
      <c r="H1209" s="6">
        <v>60000</v>
      </c>
      <c r="I1209" t="s">
        <v>69</v>
      </c>
      <c r="J1209" t="s">
        <v>72</v>
      </c>
      <c r="K1209" t="s">
        <v>36</v>
      </c>
      <c r="L1209" t="s">
        <v>100</v>
      </c>
      <c r="M1209" t="s">
        <v>90</v>
      </c>
      <c r="N1209" s="6">
        <v>0</v>
      </c>
      <c r="O1209" t="str">
        <f t="shared" si="73"/>
        <v>Normal</v>
      </c>
      <c r="P1209" t="str">
        <f t="shared" si="74"/>
        <v>Duplicate ID</v>
      </c>
      <c r="Q1209" t="str">
        <f t="shared" si="75"/>
        <v>25,000-30,000</v>
      </c>
      <c r="R1209" s="6">
        <f>IF(COUNTIF($A$2:A1209,A1209)=1,1,0)</f>
        <v>0</v>
      </c>
    </row>
    <row r="1210" spans="1:18" x14ac:dyDescent="0.25">
      <c r="A1210" s="6">
        <v>1505</v>
      </c>
      <c r="B1210" s="7">
        <v>44284</v>
      </c>
      <c r="C1210" t="s">
        <v>40</v>
      </c>
      <c r="D1210" s="6">
        <v>2022</v>
      </c>
      <c r="E1210" s="8">
        <v>20123</v>
      </c>
      <c r="F1210" s="8">
        <v>22000</v>
      </c>
      <c r="G1210" s="8">
        <f t="shared" si="72"/>
        <v>1877</v>
      </c>
      <c r="H1210" s="6">
        <v>40000</v>
      </c>
      <c r="I1210" t="s">
        <v>41</v>
      </c>
      <c r="J1210" t="s">
        <v>35</v>
      </c>
      <c r="K1210" t="s">
        <v>36</v>
      </c>
      <c r="L1210" t="s">
        <v>73</v>
      </c>
      <c r="M1210" t="s">
        <v>126</v>
      </c>
      <c r="N1210" s="6">
        <v>3</v>
      </c>
      <c r="O1210" t="str">
        <f t="shared" si="73"/>
        <v>Normal</v>
      </c>
      <c r="P1210" t="str">
        <f t="shared" si="74"/>
        <v>Duplicate ID</v>
      </c>
      <c r="Q1210" t="str">
        <f t="shared" si="75"/>
        <v>20,000-24,999</v>
      </c>
      <c r="R1210" s="6">
        <f>IF(COUNTIF($A$2:A1210,A1210)=1,1,0)</f>
        <v>0</v>
      </c>
    </row>
    <row r="1211" spans="1:18" x14ac:dyDescent="0.25">
      <c r="A1211" s="6">
        <v>1455</v>
      </c>
      <c r="B1211" s="7">
        <v>44801</v>
      </c>
      <c r="C1211" t="s">
        <v>79</v>
      </c>
      <c r="D1211" s="6">
        <v>2015</v>
      </c>
      <c r="E1211" s="8">
        <v>3309</v>
      </c>
      <c r="F1211" s="8">
        <v>7000</v>
      </c>
      <c r="G1211" s="8">
        <f t="shared" si="72"/>
        <v>3691</v>
      </c>
      <c r="H1211" s="6">
        <v>25000</v>
      </c>
      <c r="I1211" t="s">
        <v>58</v>
      </c>
      <c r="J1211" t="s">
        <v>35</v>
      </c>
      <c r="K1211" t="s">
        <v>96</v>
      </c>
      <c r="L1211" t="s">
        <v>54</v>
      </c>
      <c r="M1211" t="s">
        <v>90</v>
      </c>
      <c r="N1211" s="6">
        <v>2</v>
      </c>
      <c r="O1211" t="str">
        <f t="shared" si="73"/>
        <v>Normal</v>
      </c>
      <c r="P1211" t="str">
        <f t="shared" si="74"/>
        <v>Duplicate ID</v>
      </c>
      <c r="Q1211" t="str">
        <f t="shared" si="75"/>
        <v>0-4,999</v>
      </c>
      <c r="R1211" s="6">
        <f>IF(COUNTIF($A$2:A1211,A1211)=1,1,0)</f>
        <v>0</v>
      </c>
    </row>
    <row r="1212" spans="1:18" x14ac:dyDescent="0.25">
      <c r="A1212" s="6">
        <v>1186</v>
      </c>
      <c r="B1212" s="7">
        <v>44473</v>
      </c>
      <c r="C1212" t="s">
        <v>119</v>
      </c>
      <c r="D1212" s="6">
        <v>2015</v>
      </c>
      <c r="E1212" s="8">
        <v>10323</v>
      </c>
      <c r="F1212" s="8">
        <v>12000</v>
      </c>
      <c r="G1212" s="8">
        <f t="shared" si="72"/>
        <v>1677</v>
      </c>
      <c r="H1212" s="6">
        <v>15000</v>
      </c>
      <c r="I1212" t="s">
        <v>69</v>
      </c>
      <c r="J1212" t="s">
        <v>35</v>
      </c>
      <c r="K1212" t="s">
        <v>36</v>
      </c>
      <c r="L1212" t="s">
        <v>100</v>
      </c>
      <c r="M1212" t="s">
        <v>98</v>
      </c>
      <c r="N1212" s="6">
        <v>0</v>
      </c>
      <c r="O1212" t="str">
        <f t="shared" si="73"/>
        <v>Normal</v>
      </c>
      <c r="P1212" t="str">
        <f t="shared" si="74"/>
        <v>Duplicate ID</v>
      </c>
      <c r="Q1212" t="str">
        <f t="shared" si="75"/>
        <v>10,000-14,999</v>
      </c>
      <c r="R1212" s="6">
        <f>IF(COUNTIF($A$2:A1212,A1212)=1,1,0)</f>
        <v>0</v>
      </c>
    </row>
    <row r="1213" spans="1:18" x14ac:dyDescent="0.25">
      <c r="A1213" s="6">
        <v>1355</v>
      </c>
      <c r="B1213" s="7">
        <v>44571</v>
      </c>
      <c r="C1213" t="s">
        <v>40</v>
      </c>
      <c r="D1213" s="6">
        <v>2019</v>
      </c>
      <c r="E1213" s="8">
        <v>6243</v>
      </c>
      <c r="F1213" s="8">
        <v>9000</v>
      </c>
      <c r="G1213" s="8">
        <f t="shared" si="72"/>
        <v>2757</v>
      </c>
      <c r="H1213" s="6">
        <v>40000</v>
      </c>
      <c r="I1213" t="s">
        <v>69</v>
      </c>
      <c r="J1213" t="s">
        <v>72</v>
      </c>
      <c r="K1213" t="s">
        <v>1647</v>
      </c>
      <c r="L1213" t="s">
        <v>54</v>
      </c>
      <c r="M1213" t="s">
        <v>126</v>
      </c>
      <c r="N1213" s="6">
        <v>3</v>
      </c>
      <c r="O1213" t="str">
        <f t="shared" si="73"/>
        <v>Normal</v>
      </c>
      <c r="P1213" t="str">
        <f t="shared" si="74"/>
        <v>Duplicate ID</v>
      </c>
      <c r="Q1213" t="str">
        <f t="shared" si="75"/>
        <v>5,000-9,999</v>
      </c>
      <c r="R1213" s="6">
        <f>IF(COUNTIF($A$2:A1213,A1213)=1,1,0)</f>
        <v>0</v>
      </c>
    </row>
    <row r="1214" spans="1:18" x14ac:dyDescent="0.25">
      <c r="A1214" s="6">
        <v>1132</v>
      </c>
      <c r="B1214" s="7">
        <v>44588</v>
      </c>
      <c r="C1214" t="s">
        <v>51</v>
      </c>
      <c r="D1214" s="6">
        <v>2014</v>
      </c>
      <c r="E1214" s="8">
        <v>26372</v>
      </c>
      <c r="F1214" s="8">
        <v>31000</v>
      </c>
      <c r="G1214" s="8">
        <f t="shared" si="72"/>
        <v>4628</v>
      </c>
      <c r="H1214" s="6">
        <v>15000</v>
      </c>
      <c r="I1214" t="s">
        <v>69</v>
      </c>
      <c r="J1214" t="s">
        <v>35</v>
      </c>
      <c r="K1214" t="s">
        <v>36</v>
      </c>
      <c r="L1214" t="s">
        <v>73</v>
      </c>
      <c r="M1214" t="s">
        <v>126</v>
      </c>
      <c r="N1214" s="6">
        <v>0</v>
      </c>
      <c r="O1214" t="str">
        <f t="shared" si="73"/>
        <v>Normal</v>
      </c>
      <c r="P1214" t="str">
        <f t="shared" si="74"/>
        <v>Duplicate ID</v>
      </c>
      <c r="Q1214" t="str">
        <f t="shared" si="75"/>
        <v>25,000-30,000</v>
      </c>
      <c r="R1214" s="6">
        <f>IF(COUNTIF($A$2:A1214,A1214)=1,1,0)</f>
        <v>0</v>
      </c>
    </row>
    <row r="1215" spans="1:18" x14ac:dyDescent="0.25">
      <c r="A1215" s="6">
        <v>1208</v>
      </c>
      <c r="B1215" s="7">
        <v>44221</v>
      </c>
      <c r="C1215" t="s">
        <v>79</v>
      </c>
      <c r="D1215" s="6">
        <v>2018</v>
      </c>
      <c r="E1215" s="8">
        <v>8091</v>
      </c>
      <c r="F1215" s="8">
        <v>15000</v>
      </c>
      <c r="G1215" s="8">
        <f t="shared" si="72"/>
        <v>6909</v>
      </c>
      <c r="H1215" s="6">
        <v>40000</v>
      </c>
      <c r="I1215" t="s">
        <v>69</v>
      </c>
      <c r="J1215" t="s">
        <v>35</v>
      </c>
      <c r="K1215" t="s">
        <v>36</v>
      </c>
      <c r="L1215" t="s">
        <v>100</v>
      </c>
      <c r="M1215" t="s">
        <v>98</v>
      </c>
      <c r="N1215" s="6">
        <v>0</v>
      </c>
      <c r="O1215" t="str">
        <f t="shared" si="73"/>
        <v>Normal</v>
      </c>
      <c r="P1215" t="str">
        <f t="shared" si="74"/>
        <v>Duplicate ID</v>
      </c>
      <c r="Q1215" t="str">
        <f t="shared" si="75"/>
        <v>5,000-9,999</v>
      </c>
      <c r="R1215" s="6">
        <f>IF(COUNTIF($A$2:A1215,A1215)=1,1,0)</f>
        <v>0</v>
      </c>
    </row>
    <row r="1216" spans="1:18" x14ac:dyDescent="0.25">
      <c r="A1216" s="6">
        <v>1226</v>
      </c>
      <c r="B1216" s="7">
        <v>44389</v>
      </c>
      <c r="C1216" t="s">
        <v>51</v>
      </c>
      <c r="D1216" s="6">
        <v>2015</v>
      </c>
      <c r="E1216" s="8">
        <v>5544</v>
      </c>
      <c r="F1216" s="8">
        <v>9000</v>
      </c>
      <c r="G1216" s="8">
        <f t="shared" si="72"/>
        <v>3456</v>
      </c>
      <c r="H1216" s="6">
        <v>80000</v>
      </c>
      <c r="I1216" t="s">
        <v>58</v>
      </c>
      <c r="J1216" t="s">
        <v>1647</v>
      </c>
      <c r="K1216" t="s">
        <v>96</v>
      </c>
      <c r="L1216" t="s">
        <v>54</v>
      </c>
      <c r="M1216" t="s">
        <v>90</v>
      </c>
      <c r="N1216" s="6">
        <v>2</v>
      </c>
      <c r="O1216" t="str">
        <f t="shared" si="73"/>
        <v>Normal</v>
      </c>
      <c r="P1216" t="str">
        <f t="shared" si="74"/>
        <v>Duplicate ID</v>
      </c>
      <c r="Q1216" t="str">
        <f t="shared" si="75"/>
        <v>5,000-9,999</v>
      </c>
      <c r="R1216" s="6">
        <f>IF(COUNTIF($A$2:A1216,A1216)=1,1,0)</f>
        <v>0</v>
      </c>
    </row>
    <row r="1217" spans="1:18" x14ac:dyDescent="0.25">
      <c r="A1217" s="6">
        <v>1034</v>
      </c>
      <c r="B1217" s="7">
        <v>44341</v>
      </c>
      <c r="C1217" t="s">
        <v>51</v>
      </c>
      <c r="D1217" s="6">
        <v>2016</v>
      </c>
      <c r="E1217" s="8">
        <v>2823</v>
      </c>
      <c r="F1217" s="8">
        <v>7000</v>
      </c>
      <c r="G1217" s="8">
        <f t="shared" si="72"/>
        <v>4177</v>
      </c>
      <c r="H1217" s="6">
        <v>40000</v>
      </c>
      <c r="I1217" t="s">
        <v>41</v>
      </c>
      <c r="J1217" t="s">
        <v>35</v>
      </c>
      <c r="K1217" t="s">
        <v>96</v>
      </c>
      <c r="L1217" t="s">
        <v>48</v>
      </c>
      <c r="M1217" t="s">
        <v>1647</v>
      </c>
      <c r="N1217" s="6">
        <v>0</v>
      </c>
      <c r="O1217" t="str">
        <f t="shared" si="73"/>
        <v>Normal</v>
      </c>
      <c r="P1217" t="str">
        <f t="shared" si="74"/>
        <v>Duplicate ID</v>
      </c>
      <c r="Q1217" t="str">
        <f t="shared" si="75"/>
        <v>0-4,999</v>
      </c>
      <c r="R1217" s="6">
        <f>IF(COUNTIF($A$2:A1217,A1217)=1,1,0)</f>
        <v>0</v>
      </c>
    </row>
    <row r="1218" spans="1:18" x14ac:dyDescent="0.25">
      <c r="A1218" s="6">
        <v>1269</v>
      </c>
      <c r="B1218" s="7">
        <v>45174</v>
      </c>
      <c r="C1218" t="s">
        <v>40</v>
      </c>
      <c r="D1218" s="6">
        <v>2022</v>
      </c>
      <c r="E1218" s="8">
        <v>21402</v>
      </c>
      <c r="F1218" s="8">
        <v>26000</v>
      </c>
      <c r="G1218" s="8">
        <f t="shared" ref="G1218:G1281" si="76">IF(OR(F1218="",E1218=""),"",F1218-E1218)</f>
        <v>4598</v>
      </c>
      <c r="H1218" s="6">
        <v>120000</v>
      </c>
      <c r="I1218" t="s">
        <v>1647</v>
      </c>
      <c r="J1218" t="s">
        <v>1647</v>
      </c>
      <c r="K1218" t="s">
        <v>96</v>
      </c>
      <c r="L1218" t="s">
        <v>100</v>
      </c>
      <c r="M1218" t="s">
        <v>90</v>
      </c>
      <c r="N1218" s="6">
        <v>1</v>
      </c>
      <c r="O1218" t="str">
        <f t="shared" ref="O1218:O1281" si="77">IF(E1218&lt;1000,"Outlier","Normal")</f>
        <v>Normal</v>
      </c>
      <c r="P1218" t="str">
        <f t="shared" ref="P1218:P1281" si="78">IF(COUNTIF($A$2:$A$2501,A1218)&gt;1,"Duplicate ID","Unique ID")</f>
        <v>Duplicate ID</v>
      </c>
      <c r="Q1218" t="str">
        <f t="shared" ref="Q1218:Q1281" si="79">IF(E1218&lt;5000,"0-4,999",IF(E1218&lt;10000,"5,000-9,999",IF(E1218&lt;15000,"10,000-14,999",IF(E1218&lt;20000,"15,000-19,999",IF(E1218&lt;25000,"20,000-24,999","25,000-30,000")))))</f>
        <v>20,000-24,999</v>
      </c>
      <c r="R1218" s="6">
        <f>IF(COUNTIF($A$2:A1218,A1218)=1,1,0)</f>
        <v>0</v>
      </c>
    </row>
    <row r="1219" spans="1:18" x14ac:dyDescent="0.25">
      <c r="A1219" s="6">
        <v>1402</v>
      </c>
      <c r="B1219" s="7">
        <v>44202</v>
      </c>
      <c r="C1219" t="s">
        <v>51</v>
      </c>
      <c r="D1219" s="6">
        <v>2018</v>
      </c>
      <c r="E1219" s="8">
        <v>20832</v>
      </c>
      <c r="F1219" s="8">
        <v>22000</v>
      </c>
      <c r="G1219" s="8">
        <f t="shared" si="76"/>
        <v>1168</v>
      </c>
      <c r="H1219" s="6">
        <v>25000</v>
      </c>
      <c r="I1219" t="s">
        <v>58</v>
      </c>
      <c r="J1219" t="s">
        <v>72</v>
      </c>
      <c r="K1219" t="s">
        <v>96</v>
      </c>
      <c r="L1219" t="s">
        <v>73</v>
      </c>
      <c r="M1219" t="s">
        <v>90</v>
      </c>
      <c r="N1219" s="6">
        <v>1</v>
      </c>
      <c r="O1219" t="str">
        <f t="shared" si="77"/>
        <v>Normal</v>
      </c>
      <c r="P1219" t="str">
        <f t="shared" si="78"/>
        <v>Duplicate ID</v>
      </c>
      <c r="Q1219" t="str">
        <f t="shared" si="79"/>
        <v>20,000-24,999</v>
      </c>
      <c r="R1219" s="6">
        <f>IF(COUNTIF($A$2:A1219,A1219)=1,1,0)</f>
        <v>0</v>
      </c>
    </row>
    <row r="1220" spans="1:18" x14ac:dyDescent="0.25">
      <c r="A1220" s="6">
        <v>1320</v>
      </c>
      <c r="B1220" s="7">
        <v>44974</v>
      </c>
      <c r="C1220" t="s">
        <v>79</v>
      </c>
      <c r="D1220" s="6">
        <v>2014</v>
      </c>
      <c r="E1220" s="8">
        <v>6260</v>
      </c>
      <c r="F1220" s="8">
        <v>9000</v>
      </c>
      <c r="G1220" s="8">
        <f t="shared" si="76"/>
        <v>2740</v>
      </c>
      <c r="H1220" s="6">
        <v>60000</v>
      </c>
      <c r="I1220" t="s">
        <v>41</v>
      </c>
      <c r="J1220" t="s">
        <v>72</v>
      </c>
      <c r="K1220" t="s">
        <v>1647</v>
      </c>
      <c r="L1220" t="s">
        <v>54</v>
      </c>
      <c r="M1220" t="s">
        <v>90</v>
      </c>
      <c r="N1220" s="6" t="s">
        <v>1647</v>
      </c>
      <c r="O1220" t="str">
        <f t="shared" si="77"/>
        <v>Normal</v>
      </c>
      <c r="P1220" t="str">
        <f t="shared" si="78"/>
        <v>Duplicate ID</v>
      </c>
      <c r="Q1220" t="str">
        <f t="shared" si="79"/>
        <v>5,000-9,999</v>
      </c>
      <c r="R1220" s="6">
        <f>IF(COUNTIF($A$2:A1220,A1220)=1,1,0)</f>
        <v>0</v>
      </c>
    </row>
    <row r="1221" spans="1:18" x14ac:dyDescent="0.25">
      <c r="A1221" s="6">
        <v>1224</v>
      </c>
      <c r="B1221" s="7">
        <v>44503</v>
      </c>
      <c r="C1221" t="s">
        <v>40</v>
      </c>
      <c r="D1221" s="6">
        <v>2018</v>
      </c>
      <c r="E1221" s="8">
        <v>6309</v>
      </c>
      <c r="F1221" s="8">
        <v>12000</v>
      </c>
      <c r="G1221" s="8">
        <f t="shared" si="76"/>
        <v>5691</v>
      </c>
      <c r="H1221" s="6">
        <v>120000</v>
      </c>
      <c r="I1221" t="s">
        <v>41</v>
      </c>
      <c r="J1221" t="s">
        <v>35</v>
      </c>
      <c r="K1221" t="s">
        <v>36</v>
      </c>
      <c r="L1221" t="s">
        <v>73</v>
      </c>
      <c r="M1221" t="s">
        <v>98</v>
      </c>
      <c r="N1221" s="6">
        <v>0</v>
      </c>
      <c r="O1221" t="str">
        <f t="shared" si="77"/>
        <v>Normal</v>
      </c>
      <c r="P1221" t="str">
        <f t="shared" si="78"/>
        <v>Duplicate ID</v>
      </c>
      <c r="Q1221" t="str">
        <f t="shared" si="79"/>
        <v>5,000-9,999</v>
      </c>
      <c r="R1221" s="6">
        <f>IF(COUNTIF($A$2:A1221,A1221)=1,1,0)</f>
        <v>0</v>
      </c>
    </row>
    <row r="1222" spans="1:18" x14ac:dyDescent="0.25">
      <c r="A1222" s="6">
        <v>1423</v>
      </c>
      <c r="B1222" s="7">
        <v>45335</v>
      </c>
      <c r="C1222" t="s">
        <v>79</v>
      </c>
      <c r="D1222" s="6">
        <v>2017</v>
      </c>
      <c r="E1222" s="8">
        <v>1569</v>
      </c>
      <c r="F1222" s="8">
        <v>7000</v>
      </c>
      <c r="G1222" s="8">
        <f t="shared" si="76"/>
        <v>5431</v>
      </c>
      <c r="H1222" s="6">
        <v>120000</v>
      </c>
      <c r="I1222" t="s">
        <v>41</v>
      </c>
      <c r="J1222" t="s">
        <v>35</v>
      </c>
      <c r="K1222" t="s">
        <v>96</v>
      </c>
      <c r="L1222" t="s">
        <v>48</v>
      </c>
      <c r="M1222" t="s">
        <v>98</v>
      </c>
      <c r="N1222" s="6">
        <v>1</v>
      </c>
      <c r="O1222" t="str">
        <f t="shared" si="77"/>
        <v>Normal</v>
      </c>
      <c r="P1222" t="str">
        <f t="shared" si="78"/>
        <v>Duplicate ID</v>
      </c>
      <c r="Q1222" t="str">
        <f t="shared" si="79"/>
        <v>0-4,999</v>
      </c>
      <c r="R1222" s="6">
        <f>IF(COUNTIF($A$2:A1222,A1222)=1,1,0)</f>
        <v>0</v>
      </c>
    </row>
    <row r="1223" spans="1:18" x14ac:dyDescent="0.25">
      <c r="A1223" s="6">
        <v>1467</v>
      </c>
      <c r="B1223" s="7">
        <v>44882</v>
      </c>
      <c r="C1223" t="s">
        <v>32</v>
      </c>
      <c r="D1223" s="6"/>
      <c r="E1223" s="8">
        <v>444</v>
      </c>
      <c r="F1223" s="8">
        <v>7000</v>
      </c>
      <c r="G1223" s="8">
        <f t="shared" si="76"/>
        <v>6556</v>
      </c>
      <c r="H1223" s="6">
        <v>40000</v>
      </c>
      <c r="I1223" t="s">
        <v>1647</v>
      </c>
      <c r="J1223" t="s">
        <v>72</v>
      </c>
      <c r="K1223" t="s">
        <v>1647</v>
      </c>
      <c r="L1223" t="s">
        <v>100</v>
      </c>
      <c r="M1223" t="s">
        <v>126</v>
      </c>
      <c r="N1223" s="6">
        <v>1</v>
      </c>
      <c r="O1223" t="str">
        <f t="shared" si="77"/>
        <v>Outlier</v>
      </c>
      <c r="P1223" t="str">
        <f t="shared" si="78"/>
        <v>Duplicate ID</v>
      </c>
      <c r="Q1223" t="str">
        <f t="shared" si="79"/>
        <v>0-4,999</v>
      </c>
      <c r="R1223" s="6">
        <f>IF(COUNTIF($A$2:A1223,A1223)=1,1,0)</f>
        <v>0</v>
      </c>
    </row>
    <row r="1224" spans="1:18" x14ac:dyDescent="0.25">
      <c r="A1224" s="6">
        <v>1246</v>
      </c>
      <c r="B1224" s="7">
        <v>44669</v>
      </c>
      <c r="C1224" t="s">
        <v>1648</v>
      </c>
      <c r="D1224" s="6">
        <v>2018</v>
      </c>
      <c r="E1224" s="8">
        <v>10620</v>
      </c>
      <c r="F1224" s="8">
        <v>12000</v>
      </c>
      <c r="G1224" s="8">
        <f t="shared" si="76"/>
        <v>1380</v>
      </c>
      <c r="H1224" s="6">
        <v>60000</v>
      </c>
      <c r="I1224" t="s">
        <v>41</v>
      </c>
      <c r="J1224" t="s">
        <v>35</v>
      </c>
      <c r="K1224" t="s">
        <v>96</v>
      </c>
      <c r="L1224" t="s">
        <v>54</v>
      </c>
      <c r="M1224" t="s">
        <v>45</v>
      </c>
      <c r="N1224" s="6" t="s">
        <v>1647</v>
      </c>
      <c r="O1224" t="str">
        <f t="shared" si="77"/>
        <v>Normal</v>
      </c>
      <c r="P1224" t="str">
        <f t="shared" si="78"/>
        <v>Duplicate ID</v>
      </c>
      <c r="Q1224" t="str">
        <f t="shared" si="79"/>
        <v>10,000-14,999</v>
      </c>
      <c r="R1224" s="6">
        <f>IF(COUNTIF($A$2:A1224,A1224)=1,1,0)</f>
        <v>0</v>
      </c>
    </row>
    <row r="1225" spans="1:18" x14ac:dyDescent="0.25">
      <c r="A1225" s="6">
        <v>1129</v>
      </c>
      <c r="B1225" s="7">
        <v>44247</v>
      </c>
      <c r="C1225" t="s">
        <v>57</v>
      </c>
      <c r="D1225" s="6">
        <v>2015</v>
      </c>
      <c r="E1225" s="8">
        <v>13205</v>
      </c>
      <c r="F1225" s="8">
        <v>18000</v>
      </c>
      <c r="G1225" s="8">
        <f t="shared" si="76"/>
        <v>4795</v>
      </c>
      <c r="H1225" s="6">
        <v>60000</v>
      </c>
      <c r="I1225" t="s">
        <v>69</v>
      </c>
      <c r="J1225" t="s">
        <v>35</v>
      </c>
      <c r="K1225" t="s">
        <v>36</v>
      </c>
      <c r="L1225" t="s">
        <v>1647</v>
      </c>
      <c r="M1225" t="s">
        <v>126</v>
      </c>
      <c r="N1225" s="6">
        <v>1</v>
      </c>
      <c r="O1225" t="str">
        <f t="shared" si="77"/>
        <v>Normal</v>
      </c>
      <c r="P1225" t="str">
        <f t="shared" si="78"/>
        <v>Duplicate ID</v>
      </c>
      <c r="Q1225" t="str">
        <f t="shared" si="79"/>
        <v>10,000-14,999</v>
      </c>
      <c r="R1225" s="6">
        <f>IF(COUNTIF($A$2:A1225,A1225)=1,1,0)</f>
        <v>0</v>
      </c>
    </row>
    <row r="1226" spans="1:18" x14ac:dyDescent="0.25">
      <c r="A1226" s="6">
        <v>1069</v>
      </c>
      <c r="B1226" s="7">
        <v>44547</v>
      </c>
      <c r="C1226" t="s">
        <v>57</v>
      </c>
      <c r="D1226" s="6">
        <v>2020</v>
      </c>
      <c r="E1226" s="8">
        <v>5700</v>
      </c>
      <c r="F1226" s="8">
        <v>12000</v>
      </c>
      <c r="G1226" s="8">
        <f t="shared" si="76"/>
        <v>6300</v>
      </c>
      <c r="H1226" s="6">
        <v>15000</v>
      </c>
      <c r="I1226" t="s">
        <v>1647</v>
      </c>
      <c r="J1226" t="s">
        <v>35</v>
      </c>
      <c r="K1226" t="s">
        <v>96</v>
      </c>
      <c r="L1226" t="s">
        <v>73</v>
      </c>
      <c r="M1226" t="s">
        <v>98</v>
      </c>
      <c r="N1226" s="6">
        <v>0</v>
      </c>
      <c r="O1226" t="str">
        <f t="shared" si="77"/>
        <v>Normal</v>
      </c>
      <c r="P1226" t="str">
        <f t="shared" si="78"/>
        <v>Duplicate ID</v>
      </c>
      <c r="Q1226" t="str">
        <f t="shared" si="79"/>
        <v>5,000-9,999</v>
      </c>
      <c r="R1226" s="6">
        <f>IF(COUNTIF($A$2:A1226,A1226)=1,1,0)</f>
        <v>0</v>
      </c>
    </row>
    <row r="1227" spans="1:18" x14ac:dyDescent="0.25">
      <c r="A1227" s="6">
        <v>1340</v>
      </c>
      <c r="B1227" s="7">
        <v>44957</v>
      </c>
      <c r="C1227" t="s">
        <v>32</v>
      </c>
      <c r="D1227" s="6">
        <v>2022</v>
      </c>
      <c r="E1227" s="8">
        <v>20613</v>
      </c>
      <c r="F1227" s="8">
        <v>26000</v>
      </c>
      <c r="G1227" s="8">
        <f t="shared" si="76"/>
        <v>5387</v>
      </c>
      <c r="H1227" s="6">
        <v>25000</v>
      </c>
      <c r="I1227" t="s">
        <v>69</v>
      </c>
      <c r="J1227" t="s">
        <v>1647</v>
      </c>
      <c r="K1227" t="s">
        <v>96</v>
      </c>
      <c r="L1227" t="s">
        <v>48</v>
      </c>
      <c r="M1227" t="s">
        <v>90</v>
      </c>
      <c r="N1227" s="6">
        <v>0</v>
      </c>
      <c r="O1227" t="str">
        <f t="shared" si="77"/>
        <v>Normal</v>
      </c>
      <c r="P1227" t="str">
        <f t="shared" si="78"/>
        <v>Duplicate ID</v>
      </c>
      <c r="Q1227" t="str">
        <f t="shared" si="79"/>
        <v>20,000-24,999</v>
      </c>
      <c r="R1227" s="6">
        <f>IF(COUNTIF($A$2:A1227,A1227)=1,1,0)</f>
        <v>0</v>
      </c>
    </row>
    <row r="1228" spans="1:18" x14ac:dyDescent="0.25">
      <c r="A1228" s="6">
        <v>1242</v>
      </c>
      <c r="B1228" s="7">
        <v>44892</v>
      </c>
      <c r="C1228" t="s">
        <v>79</v>
      </c>
      <c r="D1228" s="6">
        <v>2022</v>
      </c>
      <c r="E1228" s="8">
        <v>5588</v>
      </c>
      <c r="F1228" s="8">
        <v>7000</v>
      </c>
      <c r="G1228" s="8">
        <f t="shared" si="76"/>
        <v>1412</v>
      </c>
      <c r="H1228" s="6">
        <v>120000</v>
      </c>
      <c r="I1228" t="s">
        <v>58</v>
      </c>
      <c r="J1228" t="s">
        <v>35</v>
      </c>
      <c r="K1228" t="s">
        <v>1647</v>
      </c>
      <c r="L1228" t="s">
        <v>48</v>
      </c>
      <c r="M1228" t="s">
        <v>90</v>
      </c>
      <c r="N1228" s="6" t="s">
        <v>1647</v>
      </c>
      <c r="O1228" t="str">
        <f t="shared" si="77"/>
        <v>Normal</v>
      </c>
      <c r="P1228" t="str">
        <f t="shared" si="78"/>
        <v>Duplicate ID</v>
      </c>
      <c r="Q1228" t="str">
        <f t="shared" si="79"/>
        <v>5,000-9,999</v>
      </c>
      <c r="R1228" s="6">
        <f>IF(COUNTIF($A$2:A1228,A1228)=1,1,0)</f>
        <v>0</v>
      </c>
    </row>
    <row r="1229" spans="1:18" x14ac:dyDescent="0.25">
      <c r="A1229" s="6">
        <v>1098</v>
      </c>
      <c r="B1229" s="7">
        <v>44306</v>
      </c>
      <c r="C1229" t="s">
        <v>1648</v>
      </c>
      <c r="D1229" s="6">
        <v>2016</v>
      </c>
      <c r="E1229" s="8">
        <v>14453</v>
      </c>
      <c r="F1229" s="8">
        <v>18000</v>
      </c>
      <c r="G1229" s="8">
        <f t="shared" si="76"/>
        <v>3547</v>
      </c>
      <c r="H1229" s="6">
        <v>40000</v>
      </c>
      <c r="I1229" t="s">
        <v>1647</v>
      </c>
      <c r="J1229" t="s">
        <v>35</v>
      </c>
      <c r="K1229" t="s">
        <v>36</v>
      </c>
      <c r="L1229" t="s">
        <v>73</v>
      </c>
      <c r="M1229" t="s">
        <v>90</v>
      </c>
      <c r="N1229" s="6" t="s">
        <v>1647</v>
      </c>
      <c r="O1229" t="str">
        <f t="shared" si="77"/>
        <v>Normal</v>
      </c>
      <c r="P1229" t="str">
        <f t="shared" si="78"/>
        <v>Duplicate ID</v>
      </c>
      <c r="Q1229" t="str">
        <f t="shared" si="79"/>
        <v>10,000-14,999</v>
      </c>
      <c r="R1229" s="6">
        <f>IF(COUNTIF($A$2:A1229,A1229)=1,1,0)</f>
        <v>0</v>
      </c>
    </row>
    <row r="1230" spans="1:18" x14ac:dyDescent="0.25">
      <c r="A1230" s="6">
        <v>1138</v>
      </c>
      <c r="B1230" s="7">
        <v>44665</v>
      </c>
      <c r="C1230" t="s">
        <v>57</v>
      </c>
      <c r="D1230" s="6"/>
      <c r="E1230" s="8">
        <v>15956</v>
      </c>
      <c r="F1230" s="8">
        <v>18000</v>
      </c>
      <c r="G1230" s="8">
        <f t="shared" si="76"/>
        <v>2044</v>
      </c>
      <c r="H1230" s="6">
        <v>80000</v>
      </c>
      <c r="I1230" t="s">
        <v>69</v>
      </c>
      <c r="J1230" t="s">
        <v>72</v>
      </c>
      <c r="K1230" t="s">
        <v>96</v>
      </c>
      <c r="L1230" t="s">
        <v>54</v>
      </c>
      <c r="M1230" t="s">
        <v>90</v>
      </c>
      <c r="N1230" s="6">
        <v>1</v>
      </c>
      <c r="O1230" t="str">
        <f t="shared" si="77"/>
        <v>Normal</v>
      </c>
      <c r="P1230" t="str">
        <f t="shared" si="78"/>
        <v>Duplicate ID</v>
      </c>
      <c r="Q1230" t="str">
        <f t="shared" si="79"/>
        <v>15,000-19,999</v>
      </c>
      <c r="R1230" s="6">
        <f>IF(COUNTIF($A$2:A1230,A1230)=1,1,0)</f>
        <v>0</v>
      </c>
    </row>
    <row r="1231" spans="1:18" x14ac:dyDescent="0.25">
      <c r="A1231" s="6">
        <v>1010</v>
      </c>
      <c r="B1231" s="7">
        <v>44598</v>
      </c>
      <c r="C1231" t="s">
        <v>32</v>
      </c>
      <c r="D1231" s="6">
        <v>2015</v>
      </c>
      <c r="E1231" s="8">
        <v>20271</v>
      </c>
      <c r="F1231" s="8">
        <v>26000</v>
      </c>
      <c r="G1231" s="8">
        <f t="shared" si="76"/>
        <v>5729</v>
      </c>
      <c r="H1231" s="6">
        <v>40000</v>
      </c>
      <c r="I1231" t="s">
        <v>58</v>
      </c>
      <c r="J1231" t="s">
        <v>35</v>
      </c>
      <c r="K1231" t="s">
        <v>36</v>
      </c>
      <c r="L1231" t="s">
        <v>73</v>
      </c>
      <c r="M1231" t="s">
        <v>45</v>
      </c>
      <c r="N1231" s="6">
        <v>1</v>
      </c>
      <c r="O1231" t="str">
        <f t="shared" si="77"/>
        <v>Normal</v>
      </c>
      <c r="P1231" t="str">
        <f t="shared" si="78"/>
        <v>Duplicate ID</v>
      </c>
      <c r="Q1231" t="str">
        <f t="shared" si="79"/>
        <v>20,000-24,999</v>
      </c>
      <c r="R1231" s="6">
        <f>IF(COUNTIF($A$2:A1231,A1231)=1,1,0)</f>
        <v>1</v>
      </c>
    </row>
    <row r="1232" spans="1:18" x14ac:dyDescent="0.25">
      <c r="A1232" s="6">
        <v>1367</v>
      </c>
      <c r="B1232" s="7">
        <v>45216</v>
      </c>
      <c r="C1232" t="s">
        <v>119</v>
      </c>
      <c r="D1232" s="6">
        <v>2016</v>
      </c>
      <c r="E1232" s="8">
        <v>7405</v>
      </c>
      <c r="F1232" s="8">
        <v>12000</v>
      </c>
      <c r="G1232" s="8">
        <f t="shared" si="76"/>
        <v>4595</v>
      </c>
      <c r="H1232" s="6">
        <v>120000</v>
      </c>
      <c r="I1232" t="s">
        <v>58</v>
      </c>
      <c r="J1232" t="s">
        <v>72</v>
      </c>
      <c r="K1232" t="s">
        <v>36</v>
      </c>
      <c r="L1232" t="s">
        <v>73</v>
      </c>
      <c r="M1232" t="s">
        <v>90</v>
      </c>
      <c r="N1232" s="6" t="s">
        <v>1647</v>
      </c>
      <c r="O1232" t="str">
        <f t="shared" si="77"/>
        <v>Normal</v>
      </c>
      <c r="P1232" t="str">
        <f t="shared" si="78"/>
        <v>Duplicate ID</v>
      </c>
      <c r="Q1232" t="str">
        <f t="shared" si="79"/>
        <v>5,000-9,999</v>
      </c>
      <c r="R1232" s="6">
        <f>IF(COUNTIF($A$2:A1232,A1232)=1,1,0)</f>
        <v>0</v>
      </c>
    </row>
    <row r="1233" spans="1:18" x14ac:dyDescent="0.25">
      <c r="A1233" s="6">
        <v>1405</v>
      </c>
      <c r="B1233" s="7">
        <v>44716</v>
      </c>
      <c r="C1233" t="s">
        <v>40</v>
      </c>
      <c r="D1233" s="6">
        <v>2020</v>
      </c>
      <c r="E1233" s="8">
        <v>17665</v>
      </c>
      <c r="F1233" s="8">
        <v>22000</v>
      </c>
      <c r="G1233" s="8">
        <f t="shared" si="76"/>
        <v>4335</v>
      </c>
      <c r="H1233" s="6">
        <v>15000</v>
      </c>
      <c r="I1233" t="s">
        <v>69</v>
      </c>
      <c r="J1233" t="s">
        <v>1647</v>
      </c>
      <c r="K1233" t="s">
        <v>36</v>
      </c>
      <c r="L1233" t="s">
        <v>48</v>
      </c>
      <c r="M1233" t="s">
        <v>98</v>
      </c>
      <c r="N1233" s="6">
        <v>3</v>
      </c>
      <c r="O1233" t="str">
        <f t="shared" si="77"/>
        <v>Normal</v>
      </c>
      <c r="P1233" t="str">
        <f t="shared" si="78"/>
        <v>Duplicate ID</v>
      </c>
      <c r="Q1233" t="str">
        <f t="shared" si="79"/>
        <v>15,000-19,999</v>
      </c>
      <c r="R1233" s="6">
        <f>IF(COUNTIF($A$2:A1233,A1233)=1,1,0)</f>
        <v>0</v>
      </c>
    </row>
    <row r="1234" spans="1:18" x14ac:dyDescent="0.25">
      <c r="A1234" s="6">
        <v>1135</v>
      </c>
      <c r="B1234" s="7">
        <v>44656</v>
      </c>
      <c r="C1234" t="s">
        <v>79</v>
      </c>
      <c r="D1234" s="6">
        <v>2020</v>
      </c>
      <c r="E1234" s="8">
        <v>3599</v>
      </c>
      <c r="F1234" s="8">
        <v>9000</v>
      </c>
      <c r="G1234" s="8">
        <f t="shared" si="76"/>
        <v>5401</v>
      </c>
      <c r="H1234" s="6">
        <v>80000</v>
      </c>
      <c r="I1234" t="s">
        <v>41</v>
      </c>
      <c r="J1234" t="s">
        <v>72</v>
      </c>
      <c r="K1234" t="s">
        <v>36</v>
      </c>
      <c r="L1234" t="s">
        <v>48</v>
      </c>
      <c r="M1234" t="s">
        <v>45</v>
      </c>
      <c r="N1234" s="6">
        <v>3</v>
      </c>
      <c r="O1234" t="str">
        <f t="shared" si="77"/>
        <v>Normal</v>
      </c>
      <c r="P1234" t="str">
        <f t="shared" si="78"/>
        <v>Duplicate ID</v>
      </c>
      <c r="Q1234" t="str">
        <f t="shared" si="79"/>
        <v>0-4,999</v>
      </c>
      <c r="R1234" s="6">
        <f>IF(COUNTIF($A$2:A1234,A1234)=1,1,0)</f>
        <v>0</v>
      </c>
    </row>
    <row r="1235" spans="1:18" x14ac:dyDescent="0.25">
      <c r="A1235" s="6">
        <v>1253</v>
      </c>
      <c r="B1235" s="7">
        <v>44736</v>
      </c>
      <c r="C1235" t="s">
        <v>40</v>
      </c>
      <c r="D1235" s="6">
        <v>2016</v>
      </c>
      <c r="E1235" s="8">
        <v>13762</v>
      </c>
      <c r="F1235" s="8">
        <v>15000</v>
      </c>
      <c r="G1235" s="8">
        <f t="shared" si="76"/>
        <v>1238</v>
      </c>
      <c r="H1235" s="6">
        <v>15000</v>
      </c>
      <c r="I1235" t="s">
        <v>41</v>
      </c>
      <c r="J1235" t="s">
        <v>1647</v>
      </c>
      <c r="K1235" t="s">
        <v>96</v>
      </c>
      <c r="L1235" t="s">
        <v>48</v>
      </c>
      <c r="M1235" t="s">
        <v>90</v>
      </c>
      <c r="N1235" s="6">
        <v>1</v>
      </c>
      <c r="O1235" t="str">
        <f t="shared" si="77"/>
        <v>Normal</v>
      </c>
      <c r="P1235" t="str">
        <f t="shared" si="78"/>
        <v>Duplicate ID</v>
      </c>
      <c r="Q1235" t="str">
        <f t="shared" si="79"/>
        <v>10,000-14,999</v>
      </c>
      <c r="R1235" s="6">
        <f>IF(COUNTIF($A$2:A1235,A1235)=1,1,0)</f>
        <v>0</v>
      </c>
    </row>
    <row r="1236" spans="1:18" x14ac:dyDescent="0.25">
      <c r="A1236" s="6">
        <v>1513</v>
      </c>
      <c r="B1236" s="7">
        <v>44225</v>
      </c>
      <c r="C1236" t="s">
        <v>40</v>
      </c>
      <c r="D1236" s="6">
        <v>2017</v>
      </c>
      <c r="E1236" s="8">
        <v>4012</v>
      </c>
      <c r="F1236" s="8">
        <v>9000</v>
      </c>
      <c r="G1236" s="8">
        <f t="shared" si="76"/>
        <v>4988</v>
      </c>
      <c r="H1236" s="6">
        <v>60000</v>
      </c>
      <c r="I1236" t="s">
        <v>34</v>
      </c>
      <c r="J1236" t="s">
        <v>72</v>
      </c>
      <c r="K1236" t="s">
        <v>96</v>
      </c>
      <c r="L1236" t="s">
        <v>73</v>
      </c>
      <c r="M1236" t="s">
        <v>98</v>
      </c>
      <c r="N1236" s="6">
        <v>1</v>
      </c>
      <c r="O1236" t="str">
        <f t="shared" si="77"/>
        <v>Normal</v>
      </c>
      <c r="P1236" t="str">
        <f t="shared" si="78"/>
        <v>Duplicate ID</v>
      </c>
      <c r="Q1236" t="str">
        <f t="shared" si="79"/>
        <v>0-4,999</v>
      </c>
      <c r="R1236" s="6">
        <f>IF(COUNTIF($A$2:A1236,A1236)=1,1,0)</f>
        <v>1</v>
      </c>
    </row>
    <row r="1237" spans="1:18" x14ac:dyDescent="0.25">
      <c r="A1237" s="6">
        <v>1370</v>
      </c>
      <c r="B1237" s="7">
        <v>45003</v>
      </c>
      <c r="C1237" t="s">
        <v>79</v>
      </c>
      <c r="D1237" s="6">
        <v>2016</v>
      </c>
      <c r="E1237" s="8">
        <v>3805</v>
      </c>
      <c r="F1237" s="8">
        <v>9000</v>
      </c>
      <c r="G1237" s="8">
        <f t="shared" si="76"/>
        <v>5195</v>
      </c>
      <c r="H1237" s="6">
        <v>80000</v>
      </c>
      <c r="I1237" t="s">
        <v>69</v>
      </c>
      <c r="J1237" t="s">
        <v>72</v>
      </c>
      <c r="K1237" t="s">
        <v>36</v>
      </c>
      <c r="L1237" t="s">
        <v>48</v>
      </c>
      <c r="M1237" t="s">
        <v>98</v>
      </c>
      <c r="N1237" s="6">
        <v>3</v>
      </c>
      <c r="O1237" t="str">
        <f t="shared" si="77"/>
        <v>Normal</v>
      </c>
      <c r="P1237" t="str">
        <f t="shared" si="78"/>
        <v>Duplicate ID</v>
      </c>
      <c r="Q1237" t="str">
        <f t="shared" si="79"/>
        <v>0-4,999</v>
      </c>
      <c r="R1237" s="6">
        <f>IF(COUNTIF($A$2:A1237,A1237)=1,1,0)</f>
        <v>0</v>
      </c>
    </row>
    <row r="1238" spans="1:18" x14ac:dyDescent="0.25">
      <c r="A1238" s="6">
        <v>1581</v>
      </c>
      <c r="B1238" s="7">
        <v>44657</v>
      </c>
      <c r="C1238" t="s">
        <v>57</v>
      </c>
      <c r="D1238" s="6">
        <v>2018</v>
      </c>
      <c r="E1238" s="8">
        <v>15456</v>
      </c>
      <c r="F1238" s="8">
        <v>18000</v>
      </c>
      <c r="G1238" s="8">
        <f t="shared" si="76"/>
        <v>2544</v>
      </c>
      <c r="H1238" s="6">
        <v>80000</v>
      </c>
      <c r="I1238" t="s">
        <v>34</v>
      </c>
      <c r="J1238" t="s">
        <v>35</v>
      </c>
      <c r="K1238" t="s">
        <v>96</v>
      </c>
      <c r="L1238" t="s">
        <v>100</v>
      </c>
      <c r="M1238" t="s">
        <v>90</v>
      </c>
      <c r="N1238" s="6">
        <v>1</v>
      </c>
      <c r="O1238" t="str">
        <f t="shared" si="77"/>
        <v>Normal</v>
      </c>
      <c r="P1238" t="str">
        <f t="shared" si="78"/>
        <v>Duplicate ID</v>
      </c>
      <c r="Q1238" t="str">
        <f t="shared" si="79"/>
        <v>15,000-19,999</v>
      </c>
      <c r="R1238" s="6">
        <f>IF(COUNTIF($A$2:A1238,A1238)=1,1,0)</f>
        <v>0</v>
      </c>
    </row>
    <row r="1239" spans="1:18" x14ac:dyDescent="0.25">
      <c r="A1239" s="6">
        <v>1150</v>
      </c>
      <c r="B1239" s="7">
        <v>44802</v>
      </c>
      <c r="C1239" t="s">
        <v>79</v>
      </c>
      <c r="D1239" s="6">
        <v>2016</v>
      </c>
      <c r="E1239" s="8">
        <v>24276</v>
      </c>
      <c r="F1239" s="8">
        <v>26000</v>
      </c>
      <c r="G1239" s="8">
        <f t="shared" si="76"/>
        <v>1724</v>
      </c>
      <c r="H1239" s="6">
        <v>15000</v>
      </c>
      <c r="I1239" t="s">
        <v>69</v>
      </c>
      <c r="J1239" t="s">
        <v>1647</v>
      </c>
      <c r="K1239" t="s">
        <v>96</v>
      </c>
      <c r="L1239" t="s">
        <v>54</v>
      </c>
      <c r="M1239" t="s">
        <v>90</v>
      </c>
      <c r="N1239" s="6">
        <v>0</v>
      </c>
      <c r="O1239" t="str">
        <f t="shared" si="77"/>
        <v>Normal</v>
      </c>
      <c r="P1239" t="str">
        <f t="shared" si="78"/>
        <v>Duplicate ID</v>
      </c>
      <c r="Q1239" t="str">
        <f t="shared" si="79"/>
        <v>20,000-24,999</v>
      </c>
      <c r="R1239" s="6">
        <f>IF(COUNTIF($A$2:A1239,A1239)=1,1,0)</f>
        <v>0</v>
      </c>
    </row>
    <row r="1240" spans="1:18" x14ac:dyDescent="0.25">
      <c r="A1240" s="6">
        <v>1417</v>
      </c>
      <c r="B1240" s="7">
        <v>44397</v>
      </c>
      <c r="C1240" t="s">
        <v>40</v>
      </c>
      <c r="D1240" s="6">
        <v>2022</v>
      </c>
      <c r="E1240" s="8">
        <v>24371</v>
      </c>
      <c r="F1240" s="8">
        <v>31000</v>
      </c>
      <c r="G1240" s="8">
        <f t="shared" si="76"/>
        <v>6629</v>
      </c>
      <c r="H1240" s="6">
        <v>80000</v>
      </c>
      <c r="I1240" t="s">
        <v>41</v>
      </c>
      <c r="J1240" t="s">
        <v>1647</v>
      </c>
      <c r="K1240" t="s">
        <v>1647</v>
      </c>
      <c r="L1240" t="s">
        <v>48</v>
      </c>
      <c r="M1240" t="s">
        <v>45</v>
      </c>
      <c r="N1240" s="6">
        <v>1</v>
      </c>
      <c r="O1240" t="str">
        <f t="shared" si="77"/>
        <v>Normal</v>
      </c>
      <c r="P1240" t="str">
        <f t="shared" si="78"/>
        <v>Duplicate ID</v>
      </c>
      <c r="Q1240" t="str">
        <f t="shared" si="79"/>
        <v>20,000-24,999</v>
      </c>
      <c r="R1240" s="6">
        <f>IF(COUNTIF($A$2:A1240,A1240)=1,1,0)</f>
        <v>0</v>
      </c>
    </row>
    <row r="1241" spans="1:18" x14ac:dyDescent="0.25">
      <c r="A1241" s="6">
        <v>1471</v>
      </c>
      <c r="B1241" s="7">
        <v>44773</v>
      </c>
      <c r="C1241" t="s">
        <v>57</v>
      </c>
      <c r="D1241" s="6">
        <v>2022</v>
      </c>
      <c r="E1241" s="8">
        <v>19903</v>
      </c>
      <c r="F1241" s="8">
        <v>22000</v>
      </c>
      <c r="G1241" s="8">
        <f t="shared" si="76"/>
        <v>2097</v>
      </c>
      <c r="H1241" s="6">
        <v>25000</v>
      </c>
      <c r="I1241" t="s">
        <v>41</v>
      </c>
      <c r="J1241" t="s">
        <v>72</v>
      </c>
      <c r="K1241" t="s">
        <v>1647</v>
      </c>
      <c r="L1241" t="s">
        <v>100</v>
      </c>
      <c r="M1241" t="s">
        <v>90</v>
      </c>
      <c r="N1241" s="6">
        <v>1</v>
      </c>
      <c r="O1241" t="str">
        <f t="shared" si="77"/>
        <v>Normal</v>
      </c>
      <c r="P1241" t="str">
        <f t="shared" si="78"/>
        <v>Duplicate ID</v>
      </c>
      <c r="Q1241" t="str">
        <f t="shared" si="79"/>
        <v>15,000-19,999</v>
      </c>
      <c r="R1241" s="6">
        <f>IF(COUNTIF($A$2:A1241,A1241)=1,1,0)</f>
        <v>0</v>
      </c>
    </row>
    <row r="1242" spans="1:18" x14ac:dyDescent="0.25">
      <c r="A1242" s="6">
        <v>1080</v>
      </c>
      <c r="B1242" s="7">
        <v>44355</v>
      </c>
      <c r="C1242" t="s">
        <v>119</v>
      </c>
      <c r="D1242" s="6">
        <v>2017</v>
      </c>
      <c r="E1242" s="8">
        <v>4027</v>
      </c>
      <c r="F1242" s="8">
        <v>7000</v>
      </c>
      <c r="G1242" s="8">
        <f t="shared" si="76"/>
        <v>2973</v>
      </c>
      <c r="H1242" s="6">
        <v>120000</v>
      </c>
      <c r="I1242" t="s">
        <v>1647</v>
      </c>
      <c r="J1242" t="s">
        <v>72</v>
      </c>
      <c r="K1242" t="s">
        <v>36</v>
      </c>
      <c r="L1242" t="s">
        <v>54</v>
      </c>
      <c r="M1242" t="s">
        <v>45</v>
      </c>
      <c r="N1242" s="6">
        <v>2</v>
      </c>
      <c r="O1242" t="str">
        <f t="shared" si="77"/>
        <v>Normal</v>
      </c>
      <c r="P1242" t="str">
        <f t="shared" si="78"/>
        <v>Duplicate ID</v>
      </c>
      <c r="Q1242" t="str">
        <f t="shared" si="79"/>
        <v>0-4,999</v>
      </c>
      <c r="R1242" s="6">
        <f>IF(COUNTIF($A$2:A1242,A1242)=1,1,0)</f>
        <v>0</v>
      </c>
    </row>
    <row r="1243" spans="1:18" x14ac:dyDescent="0.25">
      <c r="A1243" s="6">
        <v>1411</v>
      </c>
      <c r="B1243" s="7">
        <v>45125</v>
      </c>
      <c r="C1243" t="s">
        <v>1648</v>
      </c>
      <c r="D1243" s="6">
        <v>2020</v>
      </c>
      <c r="E1243" s="8">
        <v>14290</v>
      </c>
      <c r="F1243" s="8">
        <v>18000</v>
      </c>
      <c r="G1243" s="8">
        <f t="shared" si="76"/>
        <v>3710</v>
      </c>
      <c r="H1243" s="6">
        <v>60000</v>
      </c>
      <c r="I1243" t="s">
        <v>69</v>
      </c>
      <c r="J1243" t="s">
        <v>72</v>
      </c>
      <c r="K1243" t="s">
        <v>36</v>
      </c>
      <c r="L1243" t="s">
        <v>54</v>
      </c>
      <c r="M1243" t="s">
        <v>90</v>
      </c>
      <c r="N1243" s="6">
        <v>3</v>
      </c>
      <c r="O1243" t="str">
        <f t="shared" si="77"/>
        <v>Normal</v>
      </c>
      <c r="P1243" t="str">
        <f t="shared" si="78"/>
        <v>Duplicate ID</v>
      </c>
      <c r="Q1243" t="str">
        <f t="shared" si="79"/>
        <v>10,000-14,999</v>
      </c>
      <c r="R1243" s="6">
        <f>IF(COUNTIF($A$2:A1243,A1243)=1,1,0)</f>
        <v>1</v>
      </c>
    </row>
    <row r="1244" spans="1:18" x14ac:dyDescent="0.25">
      <c r="A1244" s="6">
        <v>1514</v>
      </c>
      <c r="B1244" s="7">
        <v>44988</v>
      </c>
      <c r="C1244" t="s">
        <v>79</v>
      </c>
      <c r="D1244" s="6"/>
      <c r="E1244" s="8">
        <v>26781</v>
      </c>
      <c r="F1244" s="8">
        <v>31000</v>
      </c>
      <c r="G1244" s="8">
        <f t="shared" si="76"/>
        <v>4219</v>
      </c>
      <c r="H1244" s="6">
        <v>40000</v>
      </c>
      <c r="I1244" t="s">
        <v>69</v>
      </c>
      <c r="J1244" t="s">
        <v>35</v>
      </c>
      <c r="K1244" t="s">
        <v>36</v>
      </c>
      <c r="L1244" t="s">
        <v>100</v>
      </c>
      <c r="M1244" t="s">
        <v>45</v>
      </c>
      <c r="N1244" s="6">
        <v>2</v>
      </c>
      <c r="O1244" t="str">
        <f t="shared" si="77"/>
        <v>Normal</v>
      </c>
      <c r="P1244" t="str">
        <f t="shared" si="78"/>
        <v>Duplicate ID</v>
      </c>
      <c r="Q1244" t="str">
        <f t="shared" si="79"/>
        <v>25,000-30,000</v>
      </c>
      <c r="R1244" s="6">
        <f>IF(COUNTIF($A$2:A1244,A1244)=1,1,0)</f>
        <v>0</v>
      </c>
    </row>
    <row r="1245" spans="1:18" x14ac:dyDescent="0.25">
      <c r="A1245" s="6">
        <v>1520</v>
      </c>
      <c r="B1245" s="7">
        <v>44824</v>
      </c>
      <c r="C1245" t="s">
        <v>79</v>
      </c>
      <c r="D1245" s="6">
        <v>2014</v>
      </c>
      <c r="E1245" s="8">
        <v>3280</v>
      </c>
      <c r="F1245" s="8">
        <v>7000</v>
      </c>
      <c r="G1245" s="8">
        <f t="shared" si="76"/>
        <v>3720</v>
      </c>
      <c r="H1245" s="6">
        <v>80000</v>
      </c>
      <c r="I1245" t="s">
        <v>58</v>
      </c>
      <c r="J1245" t="s">
        <v>72</v>
      </c>
      <c r="K1245" t="s">
        <v>96</v>
      </c>
      <c r="L1245" t="s">
        <v>48</v>
      </c>
      <c r="M1245" t="s">
        <v>98</v>
      </c>
      <c r="N1245" s="6">
        <v>2</v>
      </c>
      <c r="O1245" t="str">
        <f t="shared" si="77"/>
        <v>Normal</v>
      </c>
      <c r="P1245" t="str">
        <f t="shared" si="78"/>
        <v>Duplicate ID</v>
      </c>
      <c r="Q1245" t="str">
        <f t="shared" si="79"/>
        <v>0-4,999</v>
      </c>
      <c r="R1245" s="6">
        <f>IF(COUNTIF($A$2:A1245,A1245)=1,1,0)</f>
        <v>0</v>
      </c>
    </row>
    <row r="1246" spans="1:18" x14ac:dyDescent="0.25">
      <c r="A1246" s="6">
        <v>1282</v>
      </c>
      <c r="B1246" s="7">
        <v>45125</v>
      </c>
      <c r="C1246" t="s">
        <v>1648</v>
      </c>
      <c r="D1246" s="6">
        <v>2016</v>
      </c>
      <c r="E1246" s="8">
        <v>7890</v>
      </c>
      <c r="F1246" s="8">
        <v>9000</v>
      </c>
      <c r="G1246" s="8">
        <f t="shared" si="76"/>
        <v>1110</v>
      </c>
      <c r="H1246" s="6">
        <v>25000</v>
      </c>
      <c r="I1246" t="s">
        <v>41</v>
      </c>
      <c r="J1246" t="s">
        <v>72</v>
      </c>
      <c r="K1246" t="s">
        <v>36</v>
      </c>
      <c r="L1246" t="s">
        <v>48</v>
      </c>
      <c r="M1246" t="s">
        <v>126</v>
      </c>
      <c r="N1246" s="6">
        <v>2</v>
      </c>
      <c r="O1246" t="str">
        <f t="shared" si="77"/>
        <v>Normal</v>
      </c>
      <c r="P1246" t="str">
        <f t="shared" si="78"/>
        <v>Duplicate ID</v>
      </c>
      <c r="Q1246" t="str">
        <f t="shared" si="79"/>
        <v>5,000-9,999</v>
      </c>
      <c r="R1246" s="6">
        <f>IF(COUNTIF($A$2:A1246,A1246)=1,1,0)</f>
        <v>0</v>
      </c>
    </row>
    <row r="1247" spans="1:18" x14ac:dyDescent="0.25">
      <c r="A1247" s="6">
        <v>1200</v>
      </c>
      <c r="B1247" s="7">
        <v>45392</v>
      </c>
      <c r="C1247" t="s">
        <v>40</v>
      </c>
      <c r="D1247" s="6">
        <v>2018</v>
      </c>
      <c r="E1247" s="8">
        <v>12540</v>
      </c>
      <c r="F1247" s="8">
        <v>18000</v>
      </c>
      <c r="G1247" s="8">
        <f t="shared" si="76"/>
        <v>5460</v>
      </c>
      <c r="H1247" s="6">
        <v>120000</v>
      </c>
      <c r="I1247" t="s">
        <v>41</v>
      </c>
      <c r="J1247" t="s">
        <v>72</v>
      </c>
      <c r="K1247" t="s">
        <v>96</v>
      </c>
      <c r="L1247" t="s">
        <v>54</v>
      </c>
      <c r="M1247" t="s">
        <v>90</v>
      </c>
      <c r="N1247" s="6">
        <v>0</v>
      </c>
      <c r="O1247" t="str">
        <f t="shared" si="77"/>
        <v>Normal</v>
      </c>
      <c r="P1247" t="str">
        <f t="shared" si="78"/>
        <v>Duplicate ID</v>
      </c>
      <c r="Q1247" t="str">
        <f t="shared" si="79"/>
        <v>10,000-14,999</v>
      </c>
      <c r="R1247" s="6">
        <f>IF(COUNTIF($A$2:A1247,A1247)=1,1,0)</f>
        <v>0</v>
      </c>
    </row>
    <row r="1248" spans="1:18" x14ac:dyDescent="0.25">
      <c r="A1248" s="6">
        <v>1231</v>
      </c>
      <c r="B1248" s="7">
        <v>45134</v>
      </c>
      <c r="C1248" t="s">
        <v>1648</v>
      </c>
      <c r="D1248" s="6"/>
      <c r="E1248" s="8">
        <v>19612</v>
      </c>
      <c r="F1248" s="8">
        <v>26000</v>
      </c>
      <c r="G1248" s="8">
        <f t="shared" si="76"/>
        <v>6388</v>
      </c>
      <c r="H1248" s="6">
        <v>25000</v>
      </c>
      <c r="I1248" t="s">
        <v>41</v>
      </c>
      <c r="J1248" t="s">
        <v>1647</v>
      </c>
      <c r="K1248" t="s">
        <v>36</v>
      </c>
      <c r="L1248" t="s">
        <v>48</v>
      </c>
      <c r="M1248" t="s">
        <v>1647</v>
      </c>
      <c r="N1248" s="6">
        <v>2</v>
      </c>
      <c r="O1248" t="str">
        <f t="shared" si="77"/>
        <v>Normal</v>
      </c>
      <c r="P1248" t="str">
        <f t="shared" si="78"/>
        <v>Duplicate ID</v>
      </c>
      <c r="Q1248" t="str">
        <f t="shared" si="79"/>
        <v>15,000-19,999</v>
      </c>
      <c r="R1248" s="6">
        <f>IF(COUNTIF($A$2:A1248,A1248)=1,1,0)</f>
        <v>0</v>
      </c>
    </row>
    <row r="1249" spans="1:18" x14ac:dyDescent="0.25">
      <c r="A1249" s="6">
        <v>1457</v>
      </c>
      <c r="B1249" s="7">
        <v>45321</v>
      </c>
      <c r="C1249" t="s">
        <v>57</v>
      </c>
      <c r="D1249" s="6">
        <v>2016</v>
      </c>
      <c r="E1249" s="8">
        <v>4983</v>
      </c>
      <c r="F1249" s="8">
        <v>9000</v>
      </c>
      <c r="G1249" s="8">
        <f t="shared" si="76"/>
        <v>4017</v>
      </c>
      <c r="H1249" s="6">
        <v>15000</v>
      </c>
      <c r="I1249" t="s">
        <v>58</v>
      </c>
      <c r="J1249" t="s">
        <v>35</v>
      </c>
      <c r="K1249" t="s">
        <v>96</v>
      </c>
      <c r="L1249" t="s">
        <v>54</v>
      </c>
      <c r="M1249" t="s">
        <v>90</v>
      </c>
      <c r="N1249" s="6">
        <v>3</v>
      </c>
      <c r="O1249" t="str">
        <f t="shared" si="77"/>
        <v>Normal</v>
      </c>
      <c r="P1249" t="str">
        <f t="shared" si="78"/>
        <v>Duplicate ID</v>
      </c>
      <c r="Q1249" t="str">
        <f t="shared" si="79"/>
        <v>0-4,999</v>
      </c>
      <c r="R1249" s="6">
        <f>IF(COUNTIF($A$2:A1249,A1249)=1,1,0)</f>
        <v>0</v>
      </c>
    </row>
    <row r="1250" spans="1:18" x14ac:dyDescent="0.25">
      <c r="A1250" s="6">
        <v>1049</v>
      </c>
      <c r="B1250" s="7">
        <v>45217</v>
      </c>
      <c r="C1250" t="s">
        <v>1648</v>
      </c>
      <c r="D1250" s="6">
        <v>2018</v>
      </c>
      <c r="E1250" s="8">
        <v>11672</v>
      </c>
      <c r="F1250" s="8">
        <v>18000</v>
      </c>
      <c r="G1250" s="8">
        <f t="shared" si="76"/>
        <v>6328</v>
      </c>
      <c r="H1250" s="6">
        <v>120000</v>
      </c>
      <c r="I1250" t="s">
        <v>41</v>
      </c>
      <c r="J1250" t="s">
        <v>1647</v>
      </c>
      <c r="K1250" t="s">
        <v>96</v>
      </c>
      <c r="L1250" t="s">
        <v>54</v>
      </c>
      <c r="M1250" t="s">
        <v>90</v>
      </c>
      <c r="N1250" s="6">
        <v>1</v>
      </c>
      <c r="O1250" t="str">
        <f t="shared" si="77"/>
        <v>Normal</v>
      </c>
      <c r="P1250" t="str">
        <f t="shared" si="78"/>
        <v>Duplicate ID</v>
      </c>
      <c r="Q1250" t="str">
        <f t="shared" si="79"/>
        <v>10,000-14,999</v>
      </c>
      <c r="R1250" s="6">
        <f>IF(COUNTIF($A$2:A1250,A1250)=1,1,0)</f>
        <v>0</v>
      </c>
    </row>
    <row r="1251" spans="1:18" x14ac:dyDescent="0.25">
      <c r="A1251" s="6">
        <v>1409</v>
      </c>
      <c r="B1251" s="7">
        <v>45077</v>
      </c>
      <c r="C1251" t="s">
        <v>1648</v>
      </c>
      <c r="D1251" s="6">
        <v>2021</v>
      </c>
      <c r="E1251" s="8">
        <v>25271</v>
      </c>
      <c r="F1251" s="8">
        <v>31000</v>
      </c>
      <c r="G1251" s="8">
        <f t="shared" si="76"/>
        <v>5729</v>
      </c>
      <c r="H1251" s="6">
        <v>25000</v>
      </c>
      <c r="I1251" t="s">
        <v>41</v>
      </c>
      <c r="J1251" t="s">
        <v>35</v>
      </c>
      <c r="K1251" t="s">
        <v>96</v>
      </c>
      <c r="L1251" t="s">
        <v>73</v>
      </c>
      <c r="M1251" t="s">
        <v>126</v>
      </c>
      <c r="N1251" s="6">
        <v>2</v>
      </c>
      <c r="O1251" t="str">
        <f t="shared" si="77"/>
        <v>Normal</v>
      </c>
      <c r="P1251" t="str">
        <f t="shared" si="78"/>
        <v>Duplicate ID</v>
      </c>
      <c r="Q1251" t="str">
        <f t="shared" si="79"/>
        <v>25,000-30,000</v>
      </c>
      <c r="R1251" s="6">
        <f>IF(COUNTIF($A$2:A1251,A1251)=1,1,0)</f>
        <v>0</v>
      </c>
    </row>
    <row r="1252" spans="1:18" x14ac:dyDescent="0.25">
      <c r="A1252" s="6">
        <v>1531</v>
      </c>
      <c r="B1252" s="7">
        <v>44863</v>
      </c>
      <c r="C1252" t="s">
        <v>32</v>
      </c>
      <c r="D1252" s="6">
        <v>2021</v>
      </c>
      <c r="E1252" s="8">
        <v>4990</v>
      </c>
      <c r="F1252" s="8">
        <v>9000</v>
      </c>
      <c r="G1252" s="8">
        <f t="shared" si="76"/>
        <v>4010</v>
      </c>
      <c r="H1252" s="6">
        <v>15000</v>
      </c>
      <c r="I1252" t="s">
        <v>58</v>
      </c>
      <c r="J1252" t="s">
        <v>72</v>
      </c>
      <c r="K1252" t="s">
        <v>36</v>
      </c>
      <c r="L1252" t="s">
        <v>100</v>
      </c>
      <c r="M1252" t="s">
        <v>126</v>
      </c>
      <c r="N1252" s="6">
        <v>2</v>
      </c>
      <c r="O1252" t="str">
        <f t="shared" si="77"/>
        <v>Normal</v>
      </c>
      <c r="P1252" t="str">
        <f t="shared" si="78"/>
        <v>Duplicate ID</v>
      </c>
      <c r="Q1252" t="str">
        <f t="shared" si="79"/>
        <v>0-4,999</v>
      </c>
      <c r="R1252" s="6">
        <f>IF(COUNTIF($A$2:A1252,A1252)=1,1,0)</f>
        <v>0</v>
      </c>
    </row>
    <row r="1253" spans="1:18" x14ac:dyDescent="0.25">
      <c r="A1253" s="6">
        <v>1435</v>
      </c>
      <c r="B1253" s="7">
        <v>44442</v>
      </c>
      <c r="C1253" t="s">
        <v>57</v>
      </c>
      <c r="D1253" s="6">
        <v>2019</v>
      </c>
      <c r="E1253" s="8">
        <v>28404</v>
      </c>
      <c r="F1253" s="8">
        <v>31000</v>
      </c>
      <c r="G1253" s="8">
        <f t="shared" si="76"/>
        <v>2596</v>
      </c>
      <c r="H1253" s="6">
        <v>120000</v>
      </c>
      <c r="I1253" t="s">
        <v>41</v>
      </c>
      <c r="J1253" t="s">
        <v>35</v>
      </c>
      <c r="K1253" t="s">
        <v>96</v>
      </c>
      <c r="L1253" t="s">
        <v>1647</v>
      </c>
      <c r="M1253" t="s">
        <v>126</v>
      </c>
      <c r="N1253" s="6">
        <v>3</v>
      </c>
      <c r="O1253" t="str">
        <f t="shared" si="77"/>
        <v>Normal</v>
      </c>
      <c r="P1253" t="str">
        <f t="shared" si="78"/>
        <v>Duplicate ID</v>
      </c>
      <c r="Q1253" t="str">
        <f t="shared" si="79"/>
        <v>25,000-30,000</v>
      </c>
      <c r="R1253" s="6">
        <f>IF(COUNTIF($A$2:A1253,A1253)=1,1,0)</f>
        <v>0</v>
      </c>
    </row>
    <row r="1254" spans="1:18" x14ac:dyDescent="0.25">
      <c r="A1254" s="6">
        <v>1354</v>
      </c>
      <c r="B1254" s="7">
        <v>44971</v>
      </c>
      <c r="C1254" t="s">
        <v>57</v>
      </c>
      <c r="D1254" s="6">
        <v>2014</v>
      </c>
      <c r="E1254" s="8">
        <v>12378</v>
      </c>
      <c r="F1254" s="8">
        <v>15000</v>
      </c>
      <c r="G1254" s="8">
        <f t="shared" si="76"/>
        <v>2622</v>
      </c>
      <c r="H1254" s="6">
        <v>15000</v>
      </c>
      <c r="I1254" t="s">
        <v>58</v>
      </c>
      <c r="J1254" t="s">
        <v>35</v>
      </c>
      <c r="K1254" t="s">
        <v>1647</v>
      </c>
      <c r="L1254" t="s">
        <v>100</v>
      </c>
      <c r="M1254" t="s">
        <v>98</v>
      </c>
      <c r="N1254" s="6">
        <v>1</v>
      </c>
      <c r="O1254" t="str">
        <f t="shared" si="77"/>
        <v>Normal</v>
      </c>
      <c r="P1254" t="str">
        <f t="shared" si="78"/>
        <v>Duplicate ID</v>
      </c>
      <c r="Q1254" t="str">
        <f t="shared" si="79"/>
        <v>10,000-14,999</v>
      </c>
      <c r="R1254" s="6">
        <f>IF(COUNTIF($A$2:A1254,A1254)=1,1,0)</f>
        <v>0</v>
      </c>
    </row>
    <row r="1255" spans="1:18" x14ac:dyDescent="0.25">
      <c r="A1255" s="6">
        <v>1240</v>
      </c>
      <c r="B1255" s="7">
        <v>44633</v>
      </c>
      <c r="C1255" t="s">
        <v>79</v>
      </c>
      <c r="D1255" s="6">
        <v>2016</v>
      </c>
      <c r="E1255" s="8">
        <v>18115</v>
      </c>
      <c r="F1255" s="8">
        <v>22000</v>
      </c>
      <c r="G1255" s="8">
        <f t="shared" si="76"/>
        <v>3885</v>
      </c>
      <c r="H1255" s="6">
        <v>80000</v>
      </c>
      <c r="I1255" t="s">
        <v>1647</v>
      </c>
      <c r="J1255" t="s">
        <v>35</v>
      </c>
      <c r="K1255" t="s">
        <v>1647</v>
      </c>
      <c r="L1255" t="s">
        <v>100</v>
      </c>
      <c r="M1255" t="s">
        <v>1647</v>
      </c>
      <c r="N1255" s="6" t="s">
        <v>1647</v>
      </c>
      <c r="O1255" t="str">
        <f t="shared" si="77"/>
        <v>Normal</v>
      </c>
      <c r="P1255" t="str">
        <f t="shared" si="78"/>
        <v>Duplicate ID</v>
      </c>
      <c r="Q1255" t="str">
        <f t="shared" si="79"/>
        <v>15,000-19,999</v>
      </c>
      <c r="R1255" s="6">
        <f>IF(COUNTIF($A$2:A1255,A1255)=1,1,0)</f>
        <v>0</v>
      </c>
    </row>
    <row r="1256" spans="1:18" x14ac:dyDescent="0.25">
      <c r="A1256" s="6">
        <v>1362</v>
      </c>
      <c r="B1256" s="7">
        <v>44651</v>
      </c>
      <c r="C1256" t="s">
        <v>57</v>
      </c>
      <c r="D1256" s="6">
        <v>2014</v>
      </c>
      <c r="E1256" s="8">
        <v>13120</v>
      </c>
      <c r="F1256" s="8">
        <v>18000</v>
      </c>
      <c r="G1256" s="8">
        <f t="shared" si="76"/>
        <v>4880</v>
      </c>
      <c r="H1256" s="6">
        <v>40000</v>
      </c>
      <c r="I1256" t="s">
        <v>69</v>
      </c>
      <c r="J1256" t="s">
        <v>35</v>
      </c>
      <c r="K1256" t="s">
        <v>96</v>
      </c>
      <c r="L1256" t="s">
        <v>48</v>
      </c>
      <c r="M1256" t="s">
        <v>126</v>
      </c>
      <c r="N1256" s="6">
        <v>0</v>
      </c>
      <c r="O1256" t="str">
        <f t="shared" si="77"/>
        <v>Normal</v>
      </c>
      <c r="P1256" t="str">
        <f t="shared" si="78"/>
        <v>Duplicate ID</v>
      </c>
      <c r="Q1256" t="str">
        <f t="shared" si="79"/>
        <v>10,000-14,999</v>
      </c>
      <c r="R1256" s="6">
        <f>IF(COUNTIF($A$2:A1256,A1256)=1,1,0)</f>
        <v>1</v>
      </c>
    </row>
    <row r="1257" spans="1:18" x14ac:dyDescent="0.25">
      <c r="A1257" s="6">
        <v>1123</v>
      </c>
      <c r="B1257" s="7">
        <v>45216</v>
      </c>
      <c r="C1257" t="s">
        <v>1648</v>
      </c>
      <c r="D1257" s="6">
        <v>2014</v>
      </c>
      <c r="E1257" s="8">
        <v>6027</v>
      </c>
      <c r="F1257" s="8">
        <v>12000</v>
      </c>
      <c r="G1257" s="8">
        <f t="shared" si="76"/>
        <v>5973</v>
      </c>
      <c r="H1257" s="6">
        <v>60000</v>
      </c>
      <c r="I1257" t="s">
        <v>58</v>
      </c>
      <c r="J1257" t="s">
        <v>72</v>
      </c>
      <c r="K1257" t="s">
        <v>36</v>
      </c>
      <c r="L1257" t="s">
        <v>73</v>
      </c>
      <c r="M1257" t="s">
        <v>126</v>
      </c>
      <c r="N1257" s="6">
        <v>3</v>
      </c>
      <c r="O1257" t="str">
        <f t="shared" si="77"/>
        <v>Normal</v>
      </c>
      <c r="P1257" t="str">
        <f t="shared" si="78"/>
        <v>Duplicate ID</v>
      </c>
      <c r="Q1257" t="str">
        <f t="shared" si="79"/>
        <v>5,000-9,999</v>
      </c>
      <c r="R1257" s="6">
        <f>IF(COUNTIF($A$2:A1257,A1257)=1,1,0)</f>
        <v>0</v>
      </c>
    </row>
    <row r="1258" spans="1:18" x14ac:dyDescent="0.25">
      <c r="A1258" s="6">
        <v>1227</v>
      </c>
      <c r="B1258" s="7">
        <v>45330</v>
      </c>
      <c r="C1258" t="s">
        <v>32</v>
      </c>
      <c r="D1258" s="6">
        <v>2016</v>
      </c>
      <c r="E1258" s="8">
        <v>22099</v>
      </c>
      <c r="F1258" s="8">
        <v>26000</v>
      </c>
      <c r="G1258" s="8">
        <f t="shared" si="76"/>
        <v>3901</v>
      </c>
      <c r="H1258" s="6">
        <v>15000</v>
      </c>
      <c r="I1258" t="s">
        <v>58</v>
      </c>
      <c r="J1258" t="s">
        <v>35</v>
      </c>
      <c r="K1258" t="s">
        <v>96</v>
      </c>
      <c r="L1258" t="s">
        <v>48</v>
      </c>
      <c r="M1258" t="s">
        <v>45</v>
      </c>
      <c r="N1258" s="6" t="s">
        <v>1647</v>
      </c>
      <c r="O1258" t="str">
        <f t="shared" si="77"/>
        <v>Normal</v>
      </c>
      <c r="P1258" t="str">
        <f t="shared" si="78"/>
        <v>Duplicate ID</v>
      </c>
      <c r="Q1258" t="str">
        <f t="shared" si="79"/>
        <v>20,000-24,999</v>
      </c>
      <c r="R1258" s="6">
        <f>IF(COUNTIF($A$2:A1258,A1258)=1,1,0)</f>
        <v>0</v>
      </c>
    </row>
    <row r="1259" spans="1:18" x14ac:dyDescent="0.25">
      <c r="A1259" s="6">
        <v>1268</v>
      </c>
      <c r="B1259" s="7">
        <v>45103</v>
      </c>
      <c r="C1259" t="s">
        <v>119</v>
      </c>
      <c r="D1259" s="6">
        <v>2020</v>
      </c>
      <c r="E1259" s="8">
        <v>27344</v>
      </c>
      <c r="F1259" s="8">
        <v>31000</v>
      </c>
      <c r="G1259" s="8">
        <f t="shared" si="76"/>
        <v>3656</v>
      </c>
      <c r="H1259" s="6">
        <v>25000</v>
      </c>
      <c r="I1259" t="s">
        <v>58</v>
      </c>
      <c r="J1259" t="s">
        <v>35</v>
      </c>
      <c r="K1259" t="s">
        <v>36</v>
      </c>
      <c r="L1259" t="s">
        <v>100</v>
      </c>
      <c r="M1259" t="s">
        <v>1647</v>
      </c>
      <c r="N1259" s="6">
        <v>0</v>
      </c>
      <c r="O1259" t="str">
        <f t="shared" si="77"/>
        <v>Normal</v>
      </c>
      <c r="P1259" t="str">
        <f t="shared" si="78"/>
        <v>Duplicate ID</v>
      </c>
      <c r="Q1259" t="str">
        <f t="shared" si="79"/>
        <v>25,000-30,000</v>
      </c>
      <c r="R1259" s="6">
        <f>IF(COUNTIF($A$2:A1259,A1259)=1,1,0)</f>
        <v>1</v>
      </c>
    </row>
    <row r="1260" spans="1:18" x14ac:dyDescent="0.25">
      <c r="A1260" s="6">
        <v>1573</v>
      </c>
      <c r="B1260" s="7">
        <v>44905</v>
      </c>
      <c r="C1260" t="s">
        <v>32</v>
      </c>
      <c r="D1260" s="6"/>
      <c r="E1260" s="8">
        <v>15739</v>
      </c>
      <c r="F1260" s="8">
        <v>18000</v>
      </c>
      <c r="G1260" s="8">
        <f t="shared" si="76"/>
        <v>2261</v>
      </c>
      <c r="H1260" s="6">
        <v>40000</v>
      </c>
      <c r="I1260" t="s">
        <v>58</v>
      </c>
      <c r="J1260" t="s">
        <v>35</v>
      </c>
      <c r="K1260" t="s">
        <v>96</v>
      </c>
      <c r="L1260" t="s">
        <v>48</v>
      </c>
      <c r="M1260" t="s">
        <v>126</v>
      </c>
      <c r="N1260" s="6">
        <v>3</v>
      </c>
      <c r="O1260" t="str">
        <f t="shared" si="77"/>
        <v>Normal</v>
      </c>
      <c r="P1260" t="str">
        <f t="shared" si="78"/>
        <v>Duplicate ID</v>
      </c>
      <c r="Q1260" t="str">
        <f t="shared" si="79"/>
        <v>15,000-19,999</v>
      </c>
      <c r="R1260" s="6">
        <f>IF(COUNTIF($A$2:A1260,A1260)=1,1,0)</f>
        <v>1</v>
      </c>
    </row>
    <row r="1261" spans="1:18" x14ac:dyDescent="0.25">
      <c r="A1261" s="6">
        <v>1398</v>
      </c>
      <c r="B1261" s="7">
        <v>44297</v>
      </c>
      <c r="C1261" t="s">
        <v>57</v>
      </c>
      <c r="D1261" s="6"/>
      <c r="E1261" s="8">
        <v>17956</v>
      </c>
      <c r="F1261" s="8">
        <v>22000</v>
      </c>
      <c r="G1261" s="8">
        <f t="shared" si="76"/>
        <v>4044</v>
      </c>
      <c r="H1261" s="6">
        <v>25000</v>
      </c>
      <c r="I1261" t="s">
        <v>1647</v>
      </c>
      <c r="J1261" t="s">
        <v>35</v>
      </c>
      <c r="K1261" t="s">
        <v>36</v>
      </c>
      <c r="L1261" t="s">
        <v>73</v>
      </c>
      <c r="M1261" t="s">
        <v>1647</v>
      </c>
      <c r="N1261" s="6">
        <v>0</v>
      </c>
      <c r="O1261" t="str">
        <f t="shared" si="77"/>
        <v>Normal</v>
      </c>
      <c r="P1261" t="str">
        <f t="shared" si="78"/>
        <v>Duplicate ID</v>
      </c>
      <c r="Q1261" t="str">
        <f t="shared" si="79"/>
        <v>15,000-19,999</v>
      </c>
      <c r="R1261" s="6">
        <f>IF(COUNTIF($A$2:A1261,A1261)=1,1,0)</f>
        <v>1</v>
      </c>
    </row>
    <row r="1262" spans="1:18" x14ac:dyDescent="0.25">
      <c r="A1262" s="6">
        <v>1006</v>
      </c>
      <c r="B1262" s="7">
        <v>44680</v>
      </c>
      <c r="C1262" t="s">
        <v>119</v>
      </c>
      <c r="D1262" s="6">
        <v>2020</v>
      </c>
      <c r="E1262" s="8">
        <v>29144</v>
      </c>
      <c r="F1262" s="8">
        <v>31000</v>
      </c>
      <c r="G1262" s="8">
        <f t="shared" si="76"/>
        <v>1856</v>
      </c>
      <c r="H1262" s="6">
        <v>40000</v>
      </c>
      <c r="I1262" t="s">
        <v>69</v>
      </c>
      <c r="J1262" t="s">
        <v>35</v>
      </c>
      <c r="K1262" t="s">
        <v>1647</v>
      </c>
      <c r="L1262" t="s">
        <v>54</v>
      </c>
      <c r="M1262" t="s">
        <v>90</v>
      </c>
      <c r="N1262" s="6">
        <v>0</v>
      </c>
      <c r="O1262" t="str">
        <f t="shared" si="77"/>
        <v>Normal</v>
      </c>
      <c r="P1262" t="str">
        <f t="shared" si="78"/>
        <v>Duplicate ID</v>
      </c>
      <c r="Q1262" t="str">
        <f t="shared" si="79"/>
        <v>25,000-30,000</v>
      </c>
      <c r="R1262" s="6">
        <f>IF(COUNTIF($A$2:A1262,A1262)=1,1,0)</f>
        <v>0</v>
      </c>
    </row>
    <row r="1263" spans="1:18" x14ac:dyDescent="0.25">
      <c r="A1263" s="6">
        <v>1520</v>
      </c>
      <c r="B1263" s="7">
        <v>44314</v>
      </c>
      <c r="C1263" t="s">
        <v>40</v>
      </c>
      <c r="D1263" s="6">
        <v>2017</v>
      </c>
      <c r="E1263" s="8">
        <v>21713</v>
      </c>
      <c r="F1263" s="8">
        <v>26000</v>
      </c>
      <c r="G1263" s="8">
        <f t="shared" si="76"/>
        <v>4287</v>
      </c>
      <c r="H1263" s="6">
        <v>25000</v>
      </c>
      <c r="I1263" t="s">
        <v>1647</v>
      </c>
      <c r="J1263" t="s">
        <v>72</v>
      </c>
      <c r="K1263" t="s">
        <v>96</v>
      </c>
      <c r="L1263" t="s">
        <v>73</v>
      </c>
      <c r="M1263" t="s">
        <v>45</v>
      </c>
      <c r="N1263" s="6">
        <v>2</v>
      </c>
      <c r="O1263" t="str">
        <f t="shared" si="77"/>
        <v>Normal</v>
      </c>
      <c r="P1263" t="str">
        <f t="shared" si="78"/>
        <v>Duplicate ID</v>
      </c>
      <c r="Q1263" t="str">
        <f t="shared" si="79"/>
        <v>20,000-24,999</v>
      </c>
      <c r="R1263" s="6">
        <f>IF(COUNTIF($A$2:A1263,A1263)=1,1,0)</f>
        <v>0</v>
      </c>
    </row>
    <row r="1264" spans="1:18" x14ac:dyDescent="0.25">
      <c r="A1264" s="6">
        <v>1074</v>
      </c>
      <c r="B1264" s="7">
        <v>45361</v>
      </c>
      <c r="C1264" t="s">
        <v>1648</v>
      </c>
      <c r="D1264" s="6">
        <v>2014</v>
      </c>
      <c r="E1264" s="8">
        <v>18941</v>
      </c>
      <c r="F1264" s="8">
        <v>22000</v>
      </c>
      <c r="G1264" s="8">
        <f t="shared" si="76"/>
        <v>3059</v>
      </c>
      <c r="H1264" s="6">
        <v>40000</v>
      </c>
      <c r="I1264" t="s">
        <v>69</v>
      </c>
      <c r="J1264" t="s">
        <v>35</v>
      </c>
      <c r="K1264" t="s">
        <v>96</v>
      </c>
      <c r="L1264" t="s">
        <v>54</v>
      </c>
      <c r="M1264" t="s">
        <v>126</v>
      </c>
      <c r="N1264" s="6">
        <v>0</v>
      </c>
      <c r="O1264" t="str">
        <f t="shared" si="77"/>
        <v>Normal</v>
      </c>
      <c r="P1264" t="str">
        <f t="shared" si="78"/>
        <v>Duplicate ID</v>
      </c>
      <c r="Q1264" t="str">
        <f t="shared" si="79"/>
        <v>15,000-19,999</v>
      </c>
      <c r="R1264" s="6">
        <f>IF(COUNTIF($A$2:A1264,A1264)=1,1,0)</f>
        <v>0</v>
      </c>
    </row>
    <row r="1265" spans="1:18" x14ac:dyDescent="0.25">
      <c r="A1265" s="6">
        <v>1093</v>
      </c>
      <c r="B1265" s="7">
        <v>45363</v>
      </c>
      <c r="C1265" t="s">
        <v>51</v>
      </c>
      <c r="D1265" s="6">
        <v>2019</v>
      </c>
      <c r="E1265" s="8">
        <v>24862</v>
      </c>
      <c r="F1265" s="8">
        <v>26000</v>
      </c>
      <c r="G1265" s="8">
        <f t="shared" si="76"/>
        <v>1138</v>
      </c>
      <c r="H1265" s="6">
        <v>40000</v>
      </c>
      <c r="I1265" t="s">
        <v>69</v>
      </c>
      <c r="J1265" t="s">
        <v>72</v>
      </c>
      <c r="K1265" t="s">
        <v>1647</v>
      </c>
      <c r="L1265" t="s">
        <v>48</v>
      </c>
      <c r="M1265" t="s">
        <v>45</v>
      </c>
      <c r="N1265" s="6">
        <v>1</v>
      </c>
      <c r="O1265" t="str">
        <f t="shared" si="77"/>
        <v>Normal</v>
      </c>
      <c r="P1265" t="str">
        <f t="shared" si="78"/>
        <v>Duplicate ID</v>
      </c>
      <c r="Q1265" t="str">
        <f t="shared" si="79"/>
        <v>20,000-24,999</v>
      </c>
      <c r="R1265" s="6">
        <f>IF(COUNTIF($A$2:A1265,A1265)=1,1,0)</f>
        <v>0</v>
      </c>
    </row>
    <row r="1266" spans="1:18" x14ac:dyDescent="0.25">
      <c r="A1266" s="6">
        <v>1172</v>
      </c>
      <c r="B1266" s="7">
        <v>44716</v>
      </c>
      <c r="C1266" t="s">
        <v>40</v>
      </c>
      <c r="D1266" s="6">
        <v>2021</v>
      </c>
      <c r="E1266" s="8">
        <v>5852</v>
      </c>
      <c r="F1266" s="8">
        <v>7000</v>
      </c>
      <c r="G1266" s="8">
        <f t="shared" si="76"/>
        <v>1148</v>
      </c>
      <c r="H1266" s="6">
        <v>25000</v>
      </c>
      <c r="I1266" t="s">
        <v>1647</v>
      </c>
      <c r="J1266" t="s">
        <v>35</v>
      </c>
      <c r="K1266" t="s">
        <v>36</v>
      </c>
      <c r="L1266" t="s">
        <v>73</v>
      </c>
      <c r="M1266" t="s">
        <v>90</v>
      </c>
      <c r="N1266" s="6">
        <v>2</v>
      </c>
      <c r="O1266" t="str">
        <f t="shared" si="77"/>
        <v>Normal</v>
      </c>
      <c r="P1266" t="str">
        <f t="shared" si="78"/>
        <v>Duplicate ID</v>
      </c>
      <c r="Q1266" t="str">
        <f t="shared" si="79"/>
        <v>5,000-9,999</v>
      </c>
      <c r="R1266" s="6">
        <f>IF(COUNTIF($A$2:A1266,A1266)=1,1,0)</f>
        <v>0</v>
      </c>
    </row>
    <row r="1267" spans="1:18" x14ac:dyDescent="0.25">
      <c r="A1267" s="6">
        <v>1473</v>
      </c>
      <c r="B1267" s="7">
        <v>45023</v>
      </c>
      <c r="C1267" t="s">
        <v>40</v>
      </c>
      <c r="D1267" s="6">
        <v>2017</v>
      </c>
      <c r="E1267" s="8">
        <v>10478</v>
      </c>
      <c r="F1267" s="8">
        <v>15000</v>
      </c>
      <c r="G1267" s="8">
        <f t="shared" si="76"/>
        <v>4522</v>
      </c>
      <c r="H1267" s="6">
        <v>120000</v>
      </c>
      <c r="I1267" t="s">
        <v>1647</v>
      </c>
      <c r="J1267" t="s">
        <v>35</v>
      </c>
      <c r="K1267" t="s">
        <v>36</v>
      </c>
      <c r="L1267" t="s">
        <v>100</v>
      </c>
      <c r="M1267" t="s">
        <v>98</v>
      </c>
      <c r="N1267" s="6">
        <v>3</v>
      </c>
      <c r="O1267" t="str">
        <f t="shared" si="77"/>
        <v>Normal</v>
      </c>
      <c r="P1267" t="str">
        <f t="shared" si="78"/>
        <v>Duplicate ID</v>
      </c>
      <c r="Q1267" t="str">
        <f t="shared" si="79"/>
        <v>10,000-14,999</v>
      </c>
      <c r="R1267" s="6">
        <f>IF(COUNTIF($A$2:A1267,A1267)=1,1,0)</f>
        <v>0</v>
      </c>
    </row>
    <row r="1268" spans="1:18" x14ac:dyDescent="0.25">
      <c r="A1268" s="6">
        <v>1448</v>
      </c>
      <c r="B1268" s="7">
        <v>44467</v>
      </c>
      <c r="C1268" t="s">
        <v>1648</v>
      </c>
      <c r="D1268" s="6">
        <v>2017</v>
      </c>
      <c r="E1268" s="8">
        <v>6482</v>
      </c>
      <c r="F1268" s="8">
        <v>9000</v>
      </c>
      <c r="G1268" s="8">
        <f t="shared" si="76"/>
        <v>2518</v>
      </c>
      <c r="H1268" s="6">
        <v>80000</v>
      </c>
      <c r="I1268" t="s">
        <v>69</v>
      </c>
      <c r="J1268" t="s">
        <v>1647</v>
      </c>
      <c r="K1268" t="s">
        <v>1647</v>
      </c>
      <c r="L1268" t="s">
        <v>1647</v>
      </c>
      <c r="M1268" t="s">
        <v>98</v>
      </c>
      <c r="N1268" s="6" t="s">
        <v>1647</v>
      </c>
      <c r="O1268" t="str">
        <f t="shared" si="77"/>
        <v>Normal</v>
      </c>
      <c r="P1268" t="str">
        <f t="shared" si="78"/>
        <v>Duplicate ID</v>
      </c>
      <c r="Q1268" t="str">
        <f t="shared" si="79"/>
        <v>5,000-9,999</v>
      </c>
      <c r="R1268" s="6">
        <f>IF(COUNTIF($A$2:A1268,A1268)=1,1,0)</f>
        <v>0</v>
      </c>
    </row>
    <row r="1269" spans="1:18" x14ac:dyDescent="0.25">
      <c r="A1269" s="6">
        <v>1316</v>
      </c>
      <c r="B1269" s="7">
        <v>45367</v>
      </c>
      <c r="C1269" t="s">
        <v>1648</v>
      </c>
      <c r="D1269" s="6">
        <v>2019</v>
      </c>
      <c r="E1269" s="8">
        <v>12297</v>
      </c>
      <c r="F1269" s="8">
        <v>15000</v>
      </c>
      <c r="G1269" s="8">
        <f t="shared" si="76"/>
        <v>2703</v>
      </c>
      <c r="H1269" s="6">
        <v>120000</v>
      </c>
      <c r="I1269" t="s">
        <v>34</v>
      </c>
      <c r="J1269" t="s">
        <v>72</v>
      </c>
      <c r="K1269" t="s">
        <v>96</v>
      </c>
      <c r="L1269" t="s">
        <v>100</v>
      </c>
      <c r="M1269" t="s">
        <v>126</v>
      </c>
      <c r="N1269" s="6" t="s">
        <v>1647</v>
      </c>
      <c r="O1269" t="str">
        <f t="shared" si="77"/>
        <v>Normal</v>
      </c>
      <c r="P1269" t="str">
        <f t="shared" si="78"/>
        <v>Duplicate ID</v>
      </c>
      <c r="Q1269" t="str">
        <f t="shared" si="79"/>
        <v>10,000-14,999</v>
      </c>
      <c r="R1269" s="6">
        <f>IF(COUNTIF($A$2:A1269,A1269)=1,1,0)</f>
        <v>0</v>
      </c>
    </row>
    <row r="1270" spans="1:18" x14ac:dyDescent="0.25">
      <c r="A1270" s="6">
        <v>1162</v>
      </c>
      <c r="B1270" s="7">
        <v>44290</v>
      </c>
      <c r="C1270" t="s">
        <v>51</v>
      </c>
      <c r="D1270" s="6">
        <v>2016</v>
      </c>
      <c r="E1270" s="8">
        <v>12815</v>
      </c>
      <c r="F1270" s="8">
        <v>15000</v>
      </c>
      <c r="G1270" s="8">
        <f t="shared" si="76"/>
        <v>2185</v>
      </c>
      <c r="H1270" s="6">
        <v>15000</v>
      </c>
      <c r="I1270" t="s">
        <v>69</v>
      </c>
      <c r="J1270" t="s">
        <v>72</v>
      </c>
      <c r="K1270" t="s">
        <v>96</v>
      </c>
      <c r="L1270" t="s">
        <v>54</v>
      </c>
      <c r="M1270" t="s">
        <v>45</v>
      </c>
      <c r="N1270" s="6" t="s">
        <v>1647</v>
      </c>
      <c r="O1270" t="str">
        <f t="shared" si="77"/>
        <v>Normal</v>
      </c>
      <c r="P1270" t="str">
        <f t="shared" si="78"/>
        <v>Duplicate ID</v>
      </c>
      <c r="Q1270" t="str">
        <f t="shared" si="79"/>
        <v>10,000-14,999</v>
      </c>
      <c r="R1270" s="6">
        <f>IF(COUNTIF($A$2:A1270,A1270)=1,1,0)</f>
        <v>0</v>
      </c>
    </row>
    <row r="1271" spans="1:18" x14ac:dyDescent="0.25">
      <c r="A1271" s="6">
        <v>1001</v>
      </c>
      <c r="B1271" s="7">
        <v>44299</v>
      </c>
      <c r="C1271" t="s">
        <v>1648</v>
      </c>
      <c r="D1271" s="6">
        <v>2018</v>
      </c>
      <c r="E1271" s="8">
        <v>24176</v>
      </c>
      <c r="F1271" s="8">
        <v>31000</v>
      </c>
      <c r="G1271" s="8">
        <f t="shared" si="76"/>
        <v>6824</v>
      </c>
      <c r="H1271" s="6">
        <v>15000</v>
      </c>
      <c r="I1271" t="s">
        <v>69</v>
      </c>
      <c r="J1271" t="s">
        <v>72</v>
      </c>
      <c r="K1271" t="s">
        <v>1647</v>
      </c>
      <c r="L1271" t="s">
        <v>48</v>
      </c>
      <c r="M1271" t="s">
        <v>98</v>
      </c>
      <c r="N1271" s="6">
        <v>3</v>
      </c>
      <c r="O1271" t="str">
        <f t="shared" si="77"/>
        <v>Normal</v>
      </c>
      <c r="P1271" t="str">
        <f t="shared" si="78"/>
        <v>Duplicate ID</v>
      </c>
      <c r="Q1271" t="str">
        <f t="shared" si="79"/>
        <v>20,000-24,999</v>
      </c>
      <c r="R1271" s="6">
        <f>IF(COUNTIF($A$2:A1271,A1271)=1,1,0)</f>
        <v>0</v>
      </c>
    </row>
    <row r="1272" spans="1:18" x14ac:dyDescent="0.25">
      <c r="A1272" s="6">
        <v>1091</v>
      </c>
      <c r="B1272" s="7">
        <v>44830</v>
      </c>
      <c r="C1272" t="s">
        <v>51</v>
      </c>
      <c r="D1272" s="6"/>
      <c r="E1272" s="8">
        <v>26313</v>
      </c>
      <c r="F1272" s="8">
        <v>31000</v>
      </c>
      <c r="G1272" s="8">
        <f t="shared" si="76"/>
        <v>4687</v>
      </c>
      <c r="H1272" s="6">
        <v>80000</v>
      </c>
      <c r="I1272" t="s">
        <v>34</v>
      </c>
      <c r="J1272" t="s">
        <v>35</v>
      </c>
      <c r="K1272" t="s">
        <v>96</v>
      </c>
      <c r="L1272" t="s">
        <v>54</v>
      </c>
      <c r="M1272" t="s">
        <v>126</v>
      </c>
      <c r="N1272" s="6">
        <v>0</v>
      </c>
      <c r="O1272" t="str">
        <f t="shared" si="77"/>
        <v>Normal</v>
      </c>
      <c r="P1272" t="str">
        <f t="shared" si="78"/>
        <v>Duplicate ID</v>
      </c>
      <c r="Q1272" t="str">
        <f t="shared" si="79"/>
        <v>25,000-30,000</v>
      </c>
      <c r="R1272" s="6">
        <f>IF(COUNTIF($A$2:A1272,A1272)=1,1,0)</f>
        <v>0</v>
      </c>
    </row>
    <row r="1273" spans="1:18" x14ac:dyDescent="0.25">
      <c r="A1273" s="6">
        <v>1481</v>
      </c>
      <c r="B1273" s="7">
        <v>44648</v>
      </c>
      <c r="C1273" t="s">
        <v>1648</v>
      </c>
      <c r="D1273" s="6">
        <v>2017</v>
      </c>
      <c r="E1273" s="8">
        <v>15274</v>
      </c>
      <c r="F1273" s="8">
        <v>22000</v>
      </c>
      <c r="G1273" s="8">
        <f t="shared" si="76"/>
        <v>6726</v>
      </c>
      <c r="H1273" s="6">
        <v>40000</v>
      </c>
      <c r="I1273" t="s">
        <v>69</v>
      </c>
      <c r="J1273" t="s">
        <v>1647</v>
      </c>
      <c r="K1273" t="s">
        <v>96</v>
      </c>
      <c r="L1273" t="s">
        <v>100</v>
      </c>
      <c r="M1273" t="s">
        <v>98</v>
      </c>
      <c r="N1273" s="6">
        <v>3</v>
      </c>
      <c r="O1273" t="str">
        <f t="shared" si="77"/>
        <v>Normal</v>
      </c>
      <c r="P1273" t="str">
        <f t="shared" si="78"/>
        <v>Duplicate ID</v>
      </c>
      <c r="Q1273" t="str">
        <f t="shared" si="79"/>
        <v>15,000-19,999</v>
      </c>
      <c r="R1273" s="6">
        <f>IF(COUNTIF($A$2:A1273,A1273)=1,1,0)</f>
        <v>0</v>
      </c>
    </row>
    <row r="1274" spans="1:18" x14ac:dyDescent="0.25">
      <c r="A1274" s="6">
        <v>1228</v>
      </c>
      <c r="B1274" s="7">
        <v>44975</v>
      </c>
      <c r="C1274" t="s">
        <v>40</v>
      </c>
      <c r="D1274" s="6">
        <v>2015</v>
      </c>
      <c r="E1274" s="8">
        <v>16337</v>
      </c>
      <c r="F1274" s="8">
        <v>22000</v>
      </c>
      <c r="G1274" s="8">
        <f t="shared" si="76"/>
        <v>5663</v>
      </c>
      <c r="H1274" s="6">
        <v>25000</v>
      </c>
      <c r="I1274" t="s">
        <v>1647</v>
      </c>
      <c r="J1274" t="s">
        <v>35</v>
      </c>
      <c r="K1274" t="s">
        <v>36</v>
      </c>
      <c r="L1274" t="s">
        <v>54</v>
      </c>
      <c r="M1274" t="s">
        <v>45</v>
      </c>
      <c r="N1274" s="6">
        <v>0</v>
      </c>
      <c r="O1274" t="str">
        <f t="shared" si="77"/>
        <v>Normal</v>
      </c>
      <c r="P1274" t="str">
        <f t="shared" si="78"/>
        <v>Duplicate ID</v>
      </c>
      <c r="Q1274" t="str">
        <f t="shared" si="79"/>
        <v>15,000-19,999</v>
      </c>
      <c r="R1274" s="6">
        <f>IF(COUNTIF($A$2:A1274,A1274)=1,1,0)</f>
        <v>1</v>
      </c>
    </row>
    <row r="1275" spans="1:18" x14ac:dyDescent="0.25">
      <c r="A1275" s="6">
        <v>1436</v>
      </c>
      <c r="B1275" s="7">
        <v>44619</v>
      </c>
      <c r="C1275" t="s">
        <v>57</v>
      </c>
      <c r="D1275" s="6">
        <v>2022</v>
      </c>
      <c r="E1275" s="8">
        <v>7613</v>
      </c>
      <c r="F1275" s="8">
        <v>12000</v>
      </c>
      <c r="G1275" s="8">
        <f t="shared" si="76"/>
        <v>4387</v>
      </c>
      <c r="H1275" s="6">
        <v>60000</v>
      </c>
      <c r="I1275" t="s">
        <v>69</v>
      </c>
      <c r="J1275" t="s">
        <v>1647</v>
      </c>
      <c r="K1275" t="s">
        <v>1647</v>
      </c>
      <c r="L1275" t="s">
        <v>1647</v>
      </c>
      <c r="M1275" t="s">
        <v>45</v>
      </c>
      <c r="N1275" s="6" t="s">
        <v>1647</v>
      </c>
      <c r="O1275" t="str">
        <f t="shared" si="77"/>
        <v>Normal</v>
      </c>
      <c r="P1275" t="str">
        <f t="shared" si="78"/>
        <v>Duplicate ID</v>
      </c>
      <c r="Q1275" t="str">
        <f t="shared" si="79"/>
        <v>5,000-9,999</v>
      </c>
      <c r="R1275" s="6">
        <f>IF(COUNTIF($A$2:A1275,A1275)=1,1,0)</f>
        <v>0</v>
      </c>
    </row>
    <row r="1276" spans="1:18" x14ac:dyDescent="0.25">
      <c r="A1276" s="6">
        <v>1253</v>
      </c>
      <c r="B1276" s="7">
        <v>45087</v>
      </c>
      <c r="C1276" t="s">
        <v>79</v>
      </c>
      <c r="D1276" s="6">
        <v>2019</v>
      </c>
      <c r="E1276" s="8">
        <v>11615</v>
      </c>
      <c r="F1276" s="8">
        <v>18000</v>
      </c>
      <c r="G1276" s="8">
        <f t="shared" si="76"/>
        <v>6385</v>
      </c>
      <c r="H1276" s="6">
        <v>60000</v>
      </c>
      <c r="I1276" t="s">
        <v>69</v>
      </c>
      <c r="J1276" t="s">
        <v>35</v>
      </c>
      <c r="K1276" t="s">
        <v>96</v>
      </c>
      <c r="L1276" t="s">
        <v>54</v>
      </c>
      <c r="M1276" t="s">
        <v>126</v>
      </c>
      <c r="N1276" s="6">
        <v>2</v>
      </c>
      <c r="O1276" t="str">
        <f t="shared" si="77"/>
        <v>Normal</v>
      </c>
      <c r="P1276" t="str">
        <f t="shared" si="78"/>
        <v>Duplicate ID</v>
      </c>
      <c r="Q1276" t="str">
        <f t="shared" si="79"/>
        <v>10,000-14,999</v>
      </c>
      <c r="R1276" s="6">
        <f>IF(COUNTIF($A$2:A1276,A1276)=1,1,0)</f>
        <v>0</v>
      </c>
    </row>
    <row r="1277" spans="1:18" x14ac:dyDescent="0.25">
      <c r="A1277" s="6">
        <v>1282</v>
      </c>
      <c r="B1277" s="7">
        <v>44726</v>
      </c>
      <c r="C1277" t="s">
        <v>32</v>
      </c>
      <c r="D1277" s="6">
        <v>2020</v>
      </c>
      <c r="E1277" s="8">
        <v>12014</v>
      </c>
      <c r="F1277" s="8">
        <v>15000</v>
      </c>
      <c r="G1277" s="8">
        <f t="shared" si="76"/>
        <v>2986</v>
      </c>
      <c r="H1277" s="6">
        <v>80000</v>
      </c>
      <c r="I1277" t="s">
        <v>69</v>
      </c>
      <c r="J1277" t="s">
        <v>72</v>
      </c>
      <c r="K1277" t="s">
        <v>96</v>
      </c>
      <c r="L1277" t="s">
        <v>73</v>
      </c>
      <c r="M1277" t="s">
        <v>1647</v>
      </c>
      <c r="N1277" s="6" t="s">
        <v>1647</v>
      </c>
      <c r="O1277" t="str">
        <f t="shared" si="77"/>
        <v>Normal</v>
      </c>
      <c r="P1277" t="str">
        <f t="shared" si="78"/>
        <v>Duplicate ID</v>
      </c>
      <c r="Q1277" t="str">
        <f t="shared" si="79"/>
        <v>10,000-14,999</v>
      </c>
      <c r="R1277" s="6">
        <f>IF(COUNTIF($A$2:A1277,A1277)=1,1,0)</f>
        <v>0</v>
      </c>
    </row>
    <row r="1278" spans="1:18" x14ac:dyDescent="0.25">
      <c r="A1278" s="6">
        <v>1512</v>
      </c>
      <c r="B1278" s="7">
        <v>44869</v>
      </c>
      <c r="C1278" t="s">
        <v>57</v>
      </c>
      <c r="D1278" s="6">
        <v>2016</v>
      </c>
      <c r="E1278" s="8">
        <v>9140</v>
      </c>
      <c r="F1278" s="8">
        <v>15000</v>
      </c>
      <c r="G1278" s="8">
        <f t="shared" si="76"/>
        <v>5860</v>
      </c>
      <c r="H1278" s="6">
        <v>15000</v>
      </c>
      <c r="I1278" t="s">
        <v>58</v>
      </c>
      <c r="J1278" t="s">
        <v>1647</v>
      </c>
      <c r="K1278" t="s">
        <v>1647</v>
      </c>
      <c r="L1278" t="s">
        <v>1647</v>
      </c>
      <c r="M1278" t="s">
        <v>45</v>
      </c>
      <c r="N1278" s="6">
        <v>0</v>
      </c>
      <c r="O1278" t="str">
        <f t="shared" si="77"/>
        <v>Normal</v>
      </c>
      <c r="P1278" t="str">
        <f t="shared" si="78"/>
        <v>Duplicate ID</v>
      </c>
      <c r="Q1278" t="str">
        <f t="shared" si="79"/>
        <v>5,000-9,999</v>
      </c>
      <c r="R1278" s="6">
        <f>IF(COUNTIF($A$2:A1278,A1278)=1,1,0)</f>
        <v>1</v>
      </c>
    </row>
    <row r="1279" spans="1:18" x14ac:dyDescent="0.25">
      <c r="A1279" s="6">
        <v>1132</v>
      </c>
      <c r="B1279" s="7">
        <v>45109</v>
      </c>
      <c r="C1279" t="s">
        <v>119</v>
      </c>
      <c r="D1279" s="6">
        <v>2016</v>
      </c>
      <c r="E1279" s="8">
        <v>3323</v>
      </c>
      <c r="F1279" s="8">
        <v>9000</v>
      </c>
      <c r="G1279" s="8">
        <f t="shared" si="76"/>
        <v>5677</v>
      </c>
      <c r="H1279" s="6">
        <v>15000</v>
      </c>
      <c r="I1279" t="s">
        <v>41</v>
      </c>
      <c r="J1279" t="s">
        <v>72</v>
      </c>
      <c r="K1279" t="s">
        <v>96</v>
      </c>
      <c r="L1279" t="s">
        <v>54</v>
      </c>
      <c r="M1279" t="s">
        <v>1647</v>
      </c>
      <c r="N1279" s="6">
        <v>2</v>
      </c>
      <c r="O1279" t="str">
        <f t="shared" si="77"/>
        <v>Normal</v>
      </c>
      <c r="P1279" t="str">
        <f t="shared" si="78"/>
        <v>Duplicate ID</v>
      </c>
      <c r="Q1279" t="str">
        <f t="shared" si="79"/>
        <v>0-4,999</v>
      </c>
      <c r="R1279" s="6">
        <f>IF(COUNTIF($A$2:A1279,A1279)=1,1,0)</f>
        <v>0</v>
      </c>
    </row>
    <row r="1280" spans="1:18" x14ac:dyDescent="0.25">
      <c r="A1280" s="6">
        <v>1599</v>
      </c>
      <c r="B1280" s="7">
        <v>45164</v>
      </c>
      <c r="C1280" t="s">
        <v>57</v>
      </c>
      <c r="D1280" s="6">
        <v>2018</v>
      </c>
      <c r="E1280" s="8">
        <v>22242</v>
      </c>
      <c r="F1280" s="8">
        <v>26000</v>
      </c>
      <c r="G1280" s="8">
        <f t="shared" si="76"/>
        <v>3758</v>
      </c>
      <c r="H1280" s="6">
        <v>40000</v>
      </c>
      <c r="I1280" t="s">
        <v>41</v>
      </c>
      <c r="J1280" t="s">
        <v>35</v>
      </c>
      <c r="K1280" t="s">
        <v>96</v>
      </c>
      <c r="L1280" t="s">
        <v>54</v>
      </c>
      <c r="M1280" t="s">
        <v>98</v>
      </c>
      <c r="N1280" s="6">
        <v>2</v>
      </c>
      <c r="O1280" t="str">
        <f t="shared" si="77"/>
        <v>Normal</v>
      </c>
      <c r="P1280" t="str">
        <f t="shared" si="78"/>
        <v>Duplicate ID</v>
      </c>
      <c r="Q1280" t="str">
        <f t="shared" si="79"/>
        <v>20,000-24,999</v>
      </c>
      <c r="R1280" s="6">
        <f>IF(COUNTIF($A$2:A1280,A1280)=1,1,0)</f>
        <v>0</v>
      </c>
    </row>
    <row r="1281" spans="1:18" x14ac:dyDescent="0.25">
      <c r="A1281" s="6">
        <v>1580</v>
      </c>
      <c r="B1281" s="7">
        <v>44654</v>
      </c>
      <c r="C1281" t="s">
        <v>79</v>
      </c>
      <c r="D1281" s="6">
        <v>2015</v>
      </c>
      <c r="E1281" s="8">
        <v>5996</v>
      </c>
      <c r="F1281" s="8">
        <v>12000</v>
      </c>
      <c r="G1281" s="8">
        <f t="shared" si="76"/>
        <v>6004</v>
      </c>
      <c r="H1281" s="6">
        <v>120000</v>
      </c>
      <c r="I1281" t="s">
        <v>69</v>
      </c>
      <c r="J1281" t="s">
        <v>35</v>
      </c>
      <c r="K1281" t="s">
        <v>36</v>
      </c>
      <c r="L1281" t="s">
        <v>73</v>
      </c>
      <c r="M1281" t="s">
        <v>90</v>
      </c>
      <c r="N1281" s="6">
        <v>3</v>
      </c>
      <c r="O1281" t="str">
        <f t="shared" si="77"/>
        <v>Normal</v>
      </c>
      <c r="P1281" t="str">
        <f t="shared" si="78"/>
        <v>Duplicate ID</v>
      </c>
      <c r="Q1281" t="str">
        <f t="shared" si="79"/>
        <v>5,000-9,999</v>
      </c>
      <c r="R1281" s="6">
        <f>IF(COUNTIF($A$2:A1281,A1281)=1,1,0)</f>
        <v>0</v>
      </c>
    </row>
    <row r="1282" spans="1:18" x14ac:dyDescent="0.25">
      <c r="A1282" s="6">
        <v>1194</v>
      </c>
      <c r="B1282" s="7">
        <v>44999</v>
      </c>
      <c r="C1282" t="s">
        <v>51</v>
      </c>
      <c r="D1282" s="6">
        <v>2020</v>
      </c>
      <c r="E1282" s="8">
        <v>15209</v>
      </c>
      <c r="F1282" s="8">
        <v>22000</v>
      </c>
      <c r="G1282" s="8">
        <f t="shared" ref="G1282:G1345" si="80">IF(OR(F1282="",E1282=""),"",F1282-E1282)</f>
        <v>6791</v>
      </c>
      <c r="H1282" s="6">
        <v>80000</v>
      </c>
      <c r="I1282" t="s">
        <v>1647</v>
      </c>
      <c r="J1282" t="s">
        <v>35</v>
      </c>
      <c r="K1282" t="s">
        <v>1647</v>
      </c>
      <c r="L1282" t="s">
        <v>48</v>
      </c>
      <c r="M1282" t="s">
        <v>126</v>
      </c>
      <c r="N1282" s="6" t="s">
        <v>1647</v>
      </c>
      <c r="O1282" t="str">
        <f t="shared" ref="O1282:O1345" si="81">IF(E1282&lt;1000,"Outlier","Normal")</f>
        <v>Normal</v>
      </c>
      <c r="P1282" t="str">
        <f t="shared" ref="P1282:P1345" si="82">IF(COUNTIF($A$2:$A$2501,A1282)&gt;1,"Duplicate ID","Unique ID")</f>
        <v>Duplicate ID</v>
      </c>
      <c r="Q1282" t="str">
        <f t="shared" ref="Q1282:Q1345" si="83">IF(E1282&lt;5000,"0-4,999",IF(E1282&lt;10000,"5,000-9,999",IF(E1282&lt;15000,"10,000-14,999",IF(E1282&lt;20000,"15,000-19,999",IF(E1282&lt;25000,"20,000-24,999","25,000-30,000")))))</f>
        <v>15,000-19,999</v>
      </c>
      <c r="R1282" s="6">
        <f>IF(COUNTIF($A$2:A1282,A1282)=1,1,0)</f>
        <v>0</v>
      </c>
    </row>
    <row r="1283" spans="1:18" x14ac:dyDescent="0.25">
      <c r="A1283" s="6">
        <v>1305</v>
      </c>
      <c r="B1283" s="7">
        <v>45328</v>
      </c>
      <c r="C1283" t="s">
        <v>57</v>
      </c>
      <c r="D1283" s="6">
        <v>2015</v>
      </c>
      <c r="E1283" s="8">
        <v>14047</v>
      </c>
      <c r="F1283" s="8">
        <v>18000</v>
      </c>
      <c r="G1283" s="8">
        <f t="shared" si="80"/>
        <v>3953</v>
      </c>
      <c r="H1283" s="6">
        <v>120000</v>
      </c>
      <c r="I1283" t="s">
        <v>58</v>
      </c>
      <c r="J1283" t="s">
        <v>35</v>
      </c>
      <c r="K1283" t="s">
        <v>36</v>
      </c>
      <c r="L1283" t="s">
        <v>100</v>
      </c>
      <c r="M1283" t="s">
        <v>1647</v>
      </c>
      <c r="N1283" s="6" t="s">
        <v>1647</v>
      </c>
      <c r="O1283" t="str">
        <f t="shared" si="81"/>
        <v>Normal</v>
      </c>
      <c r="P1283" t="str">
        <f t="shared" si="82"/>
        <v>Duplicate ID</v>
      </c>
      <c r="Q1283" t="str">
        <f t="shared" si="83"/>
        <v>10,000-14,999</v>
      </c>
      <c r="R1283" s="6">
        <f>IF(COUNTIF($A$2:A1283,A1283)=1,1,0)</f>
        <v>1</v>
      </c>
    </row>
    <row r="1284" spans="1:18" x14ac:dyDescent="0.25">
      <c r="A1284" s="6">
        <v>1417</v>
      </c>
      <c r="B1284" s="7">
        <v>44587</v>
      </c>
      <c r="C1284" t="s">
        <v>79</v>
      </c>
      <c r="D1284" s="6">
        <v>2014</v>
      </c>
      <c r="E1284" s="8">
        <v>12497</v>
      </c>
      <c r="F1284" s="8">
        <v>15000</v>
      </c>
      <c r="G1284" s="8">
        <f t="shared" si="80"/>
        <v>2503</v>
      </c>
      <c r="H1284" s="6">
        <v>40000</v>
      </c>
      <c r="I1284" t="s">
        <v>58</v>
      </c>
      <c r="J1284" t="s">
        <v>35</v>
      </c>
      <c r="K1284" t="s">
        <v>96</v>
      </c>
      <c r="L1284" t="s">
        <v>48</v>
      </c>
      <c r="M1284" t="s">
        <v>45</v>
      </c>
      <c r="N1284" s="6">
        <v>1</v>
      </c>
      <c r="O1284" t="str">
        <f t="shared" si="81"/>
        <v>Normal</v>
      </c>
      <c r="P1284" t="str">
        <f t="shared" si="82"/>
        <v>Duplicate ID</v>
      </c>
      <c r="Q1284" t="str">
        <f t="shared" si="83"/>
        <v>10,000-14,999</v>
      </c>
      <c r="R1284" s="6">
        <f>IF(COUNTIF($A$2:A1284,A1284)=1,1,0)</f>
        <v>0</v>
      </c>
    </row>
    <row r="1285" spans="1:18" x14ac:dyDescent="0.25">
      <c r="A1285" s="6">
        <v>1308</v>
      </c>
      <c r="B1285" s="7">
        <v>44235</v>
      </c>
      <c r="C1285" t="s">
        <v>119</v>
      </c>
      <c r="D1285" s="6">
        <v>2020</v>
      </c>
      <c r="E1285" s="8">
        <v>13118</v>
      </c>
      <c r="F1285" s="8">
        <v>15000</v>
      </c>
      <c r="G1285" s="8">
        <f t="shared" si="80"/>
        <v>1882</v>
      </c>
      <c r="H1285" s="6">
        <v>120000</v>
      </c>
      <c r="I1285" t="s">
        <v>34</v>
      </c>
      <c r="J1285" t="s">
        <v>1647</v>
      </c>
      <c r="K1285" t="s">
        <v>36</v>
      </c>
      <c r="L1285" t="s">
        <v>73</v>
      </c>
      <c r="M1285" t="s">
        <v>1647</v>
      </c>
      <c r="N1285" s="6">
        <v>2</v>
      </c>
      <c r="O1285" t="str">
        <f t="shared" si="81"/>
        <v>Normal</v>
      </c>
      <c r="P1285" t="str">
        <f t="shared" si="82"/>
        <v>Duplicate ID</v>
      </c>
      <c r="Q1285" t="str">
        <f t="shared" si="83"/>
        <v>10,000-14,999</v>
      </c>
      <c r="R1285" s="6">
        <f>IF(COUNTIF($A$2:A1285,A1285)=1,1,0)</f>
        <v>0</v>
      </c>
    </row>
    <row r="1286" spans="1:18" x14ac:dyDescent="0.25">
      <c r="A1286" s="6">
        <v>1156</v>
      </c>
      <c r="B1286" s="7">
        <v>44299</v>
      </c>
      <c r="C1286" t="s">
        <v>32</v>
      </c>
      <c r="D1286" s="6"/>
      <c r="E1286" s="8">
        <v>12228</v>
      </c>
      <c r="F1286" s="8">
        <v>18000</v>
      </c>
      <c r="G1286" s="8">
        <f t="shared" si="80"/>
        <v>5772</v>
      </c>
      <c r="H1286" s="6">
        <v>60000</v>
      </c>
      <c r="I1286" t="s">
        <v>1647</v>
      </c>
      <c r="J1286" t="s">
        <v>72</v>
      </c>
      <c r="K1286" t="s">
        <v>96</v>
      </c>
      <c r="L1286" t="s">
        <v>73</v>
      </c>
      <c r="M1286" t="s">
        <v>98</v>
      </c>
      <c r="N1286" s="6">
        <v>2</v>
      </c>
      <c r="O1286" t="str">
        <f t="shared" si="81"/>
        <v>Normal</v>
      </c>
      <c r="P1286" t="str">
        <f t="shared" si="82"/>
        <v>Duplicate ID</v>
      </c>
      <c r="Q1286" t="str">
        <f t="shared" si="83"/>
        <v>10,000-14,999</v>
      </c>
      <c r="R1286" s="6">
        <f>IF(COUNTIF($A$2:A1286,A1286)=1,1,0)</f>
        <v>0</v>
      </c>
    </row>
    <row r="1287" spans="1:18" x14ac:dyDescent="0.25">
      <c r="A1287" s="6">
        <v>1158</v>
      </c>
      <c r="B1287" s="7">
        <v>44316</v>
      </c>
      <c r="C1287" t="s">
        <v>57</v>
      </c>
      <c r="D1287" s="6">
        <v>2014</v>
      </c>
      <c r="E1287" s="8">
        <v>14391</v>
      </c>
      <c r="F1287" s="8">
        <v>18000</v>
      </c>
      <c r="G1287" s="8">
        <f t="shared" si="80"/>
        <v>3609</v>
      </c>
      <c r="H1287" s="6">
        <v>25000</v>
      </c>
      <c r="I1287" t="s">
        <v>41</v>
      </c>
      <c r="J1287" t="s">
        <v>35</v>
      </c>
      <c r="K1287" t="s">
        <v>36</v>
      </c>
      <c r="L1287" t="s">
        <v>1647</v>
      </c>
      <c r="M1287" t="s">
        <v>45</v>
      </c>
      <c r="N1287" s="6">
        <v>3</v>
      </c>
      <c r="O1287" t="str">
        <f t="shared" si="81"/>
        <v>Normal</v>
      </c>
      <c r="P1287" t="str">
        <f t="shared" si="82"/>
        <v>Duplicate ID</v>
      </c>
      <c r="Q1287" t="str">
        <f t="shared" si="83"/>
        <v>10,000-14,999</v>
      </c>
      <c r="R1287" s="6">
        <f>IF(COUNTIF($A$2:A1287,A1287)=1,1,0)</f>
        <v>0</v>
      </c>
    </row>
    <row r="1288" spans="1:18" x14ac:dyDescent="0.25">
      <c r="A1288" s="6">
        <v>1203</v>
      </c>
      <c r="B1288" s="7">
        <v>44523</v>
      </c>
      <c r="C1288" t="s">
        <v>79</v>
      </c>
      <c r="D1288" s="6">
        <v>2019</v>
      </c>
      <c r="E1288" s="8">
        <v>8242</v>
      </c>
      <c r="F1288" s="8">
        <v>12000</v>
      </c>
      <c r="G1288" s="8">
        <f t="shared" si="80"/>
        <v>3758</v>
      </c>
      <c r="H1288" s="6">
        <v>60000</v>
      </c>
      <c r="I1288" t="s">
        <v>58</v>
      </c>
      <c r="J1288" t="s">
        <v>35</v>
      </c>
      <c r="K1288" t="s">
        <v>36</v>
      </c>
      <c r="L1288" t="s">
        <v>73</v>
      </c>
      <c r="M1288" t="s">
        <v>90</v>
      </c>
      <c r="N1288" s="6">
        <v>2</v>
      </c>
      <c r="O1288" t="str">
        <f t="shared" si="81"/>
        <v>Normal</v>
      </c>
      <c r="P1288" t="str">
        <f t="shared" si="82"/>
        <v>Duplicate ID</v>
      </c>
      <c r="Q1288" t="str">
        <f t="shared" si="83"/>
        <v>5,000-9,999</v>
      </c>
      <c r="R1288" s="6">
        <f>IF(COUNTIF($A$2:A1288,A1288)=1,1,0)</f>
        <v>0</v>
      </c>
    </row>
    <row r="1289" spans="1:18" x14ac:dyDescent="0.25">
      <c r="A1289" s="6">
        <v>1235</v>
      </c>
      <c r="B1289" s="7">
        <v>44217</v>
      </c>
      <c r="C1289" t="s">
        <v>79</v>
      </c>
      <c r="D1289" s="6"/>
      <c r="E1289" s="8">
        <v>6326</v>
      </c>
      <c r="F1289" s="8">
        <v>9000</v>
      </c>
      <c r="G1289" s="8">
        <f t="shared" si="80"/>
        <v>2674</v>
      </c>
      <c r="H1289" s="6">
        <v>25000</v>
      </c>
      <c r="I1289" t="s">
        <v>1647</v>
      </c>
      <c r="J1289" t="s">
        <v>35</v>
      </c>
      <c r="K1289" t="s">
        <v>36</v>
      </c>
      <c r="L1289" t="s">
        <v>48</v>
      </c>
      <c r="M1289" t="s">
        <v>98</v>
      </c>
      <c r="N1289" s="6">
        <v>2</v>
      </c>
      <c r="O1289" t="str">
        <f t="shared" si="81"/>
        <v>Normal</v>
      </c>
      <c r="P1289" t="str">
        <f t="shared" si="82"/>
        <v>Duplicate ID</v>
      </c>
      <c r="Q1289" t="str">
        <f t="shared" si="83"/>
        <v>5,000-9,999</v>
      </c>
      <c r="R1289" s="6">
        <f>IF(COUNTIF($A$2:A1289,A1289)=1,1,0)</f>
        <v>0</v>
      </c>
    </row>
    <row r="1290" spans="1:18" x14ac:dyDescent="0.25">
      <c r="A1290" s="6">
        <v>1322</v>
      </c>
      <c r="B1290" s="7">
        <v>44908</v>
      </c>
      <c r="C1290" t="s">
        <v>40</v>
      </c>
      <c r="D1290" s="6">
        <v>2021</v>
      </c>
      <c r="E1290" s="8">
        <v>21082</v>
      </c>
      <c r="F1290" s="8">
        <v>26000</v>
      </c>
      <c r="G1290" s="8">
        <f t="shared" si="80"/>
        <v>4918</v>
      </c>
      <c r="H1290" s="6">
        <v>25000</v>
      </c>
      <c r="I1290" t="s">
        <v>69</v>
      </c>
      <c r="J1290" t="s">
        <v>35</v>
      </c>
      <c r="K1290" t="s">
        <v>36</v>
      </c>
      <c r="L1290" t="s">
        <v>73</v>
      </c>
      <c r="M1290" t="s">
        <v>90</v>
      </c>
      <c r="N1290" s="6">
        <v>1</v>
      </c>
      <c r="O1290" t="str">
        <f t="shared" si="81"/>
        <v>Normal</v>
      </c>
      <c r="P1290" t="str">
        <f t="shared" si="82"/>
        <v>Duplicate ID</v>
      </c>
      <c r="Q1290" t="str">
        <f t="shared" si="83"/>
        <v>20,000-24,999</v>
      </c>
      <c r="R1290" s="6">
        <f>IF(COUNTIF($A$2:A1290,A1290)=1,1,0)</f>
        <v>0</v>
      </c>
    </row>
    <row r="1291" spans="1:18" x14ac:dyDescent="0.25">
      <c r="A1291" s="6">
        <v>1277</v>
      </c>
      <c r="B1291" s="7">
        <v>44640</v>
      </c>
      <c r="C1291" t="s">
        <v>119</v>
      </c>
      <c r="D1291" s="6">
        <v>2021</v>
      </c>
      <c r="E1291" s="8">
        <v>10763</v>
      </c>
      <c r="F1291" s="8">
        <v>12000</v>
      </c>
      <c r="G1291" s="8">
        <f t="shared" si="80"/>
        <v>1237</v>
      </c>
      <c r="H1291" s="6">
        <v>25000</v>
      </c>
      <c r="I1291" t="s">
        <v>58</v>
      </c>
      <c r="J1291" t="s">
        <v>1647</v>
      </c>
      <c r="K1291" t="s">
        <v>96</v>
      </c>
      <c r="L1291" t="s">
        <v>48</v>
      </c>
      <c r="M1291" t="s">
        <v>126</v>
      </c>
      <c r="N1291" s="6" t="s">
        <v>1647</v>
      </c>
      <c r="O1291" t="str">
        <f t="shared" si="81"/>
        <v>Normal</v>
      </c>
      <c r="P1291" t="str">
        <f t="shared" si="82"/>
        <v>Duplicate ID</v>
      </c>
      <c r="Q1291" t="str">
        <f t="shared" si="83"/>
        <v>10,000-14,999</v>
      </c>
      <c r="R1291" s="6">
        <f>IF(COUNTIF($A$2:A1291,A1291)=1,1,0)</f>
        <v>0</v>
      </c>
    </row>
    <row r="1292" spans="1:18" x14ac:dyDescent="0.25">
      <c r="A1292" s="6">
        <v>1135</v>
      </c>
      <c r="B1292" s="7">
        <v>44531</v>
      </c>
      <c r="C1292" t="s">
        <v>40</v>
      </c>
      <c r="D1292" s="6">
        <v>2015</v>
      </c>
      <c r="E1292" s="8">
        <v>28665</v>
      </c>
      <c r="F1292" s="8">
        <v>31000</v>
      </c>
      <c r="G1292" s="8">
        <f t="shared" si="80"/>
        <v>2335</v>
      </c>
      <c r="H1292" s="6">
        <v>120000</v>
      </c>
      <c r="I1292" t="s">
        <v>34</v>
      </c>
      <c r="J1292" t="s">
        <v>72</v>
      </c>
      <c r="K1292" t="s">
        <v>1647</v>
      </c>
      <c r="L1292" t="s">
        <v>48</v>
      </c>
      <c r="M1292" t="s">
        <v>126</v>
      </c>
      <c r="N1292" s="6">
        <v>3</v>
      </c>
      <c r="O1292" t="str">
        <f t="shared" si="81"/>
        <v>Normal</v>
      </c>
      <c r="P1292" t="str">
        <f t="shared" si="82"/>
        <v>Duplicate ID</v>
      </c>
      <c r="Q1292" t="str">
        <f t="shared" si="83"/>
        <v>25,000-30,000</v>
      </c>
      <c r="R1292" s="6">
        <f>IF(COUNTIF($A$2:A1292,A1292)=1,1,0)</f>
        <v>0</v>
      </c>
    </row>
    <row r="1293" spans="1:18" x14ac:dyDescent="0.25">
      <c r="A1293" s="6">
        <v>1270</v>
      </c>
      <c r="B1293" s="7">
        <v>44571</v>
      </c>
      <c r="C1293" t="s">
        <v>1648</v>
      </c>
      <c r="D1293" s="6">
        <v>2019</v>
      </c>
      <c r="E1293" s="8">
        <v>16133</v>
      </c>
      <c r="F1293" s="8">
        <v>18000</v>
      </c>
      <c r="G1293" s="8">
        <f t="shared" si="80"/>
        <v>1867</v>
      </c>
      <c r="H1293" s="6">
        <v>60000</v>
      </c>
      <c r="I1293" t="s">
        <v>1647</v>
      </c>
      <c r="J1293" t="s">
        <v>35</v>
      </c>
      <c r="K1293" t="s">
        <v>96</v>
      </c>
      <c r="L1293" t="s">
        <v>100</v>
      </c>
      <c r="M1293" t="s">
        <v>45</v>
      </c>
      <c r="N1293" s="6" t="s">
        <v>1647</v>
      </c>
      <c r="O1293" t="str">
        <f t="shared" si="81"/>
        <v>Normal</v>
      </c>
      <c r="P1293" t="str">
        <f t="shared" si="82"/>
        <v>Duplicate ID</v>
      </c>
      <c r="Q1293" t="str">
        <f t="shared" si="83"/>
        <v>15,000-19,999</v>
      </c>
      <c r="R1293" s="6">
        <f>IF(COUNTIF($A$2:A1293,A1293)=1,1,0)</f>
        <v>0</v>
      </c>
    </row>
    <row r="1294" spans="1:18" x14ac:dyDescent="0.25">
      <c r="A1294" s="6">
        <v>1598</v>
      </c>
      <c r="B1294" s="7">
        <v>44279</v>
      </c>
      <c r="C1294" t="s">
        <v>40</v>
      </c>
      <c r="D1294" s="6">
        <v>2016</v>
      </c>
      <c r="E1294" s="8">
        <v>6095</v>
      </c>
      <c r="F1294" s="8">
        <v>12000</v>
      </c>
      <c r="G1294" s="8">
        <f t="shared" si="80"/>
        <v>5905</v>
      </c>
      <c r="H1294" s="6">
        <v>40000</v>
      </c>
      <c r="I1294" t="s">
        <v>69</v>
      </c>
      <c r="J1294" t="s">
        <v>72</v>
      </c>
      <c r="K1294" t="s">
        <v>1647</v>
      </c>
      <c r="L1294" t="s">
        <v>100</v>
      </c>
      <c r="M1294" t="s">
        <v>90</v>
      </c>
      <c r="N1294" s="6">
        <v>3</v>
      </c>
      <c r="O1294" t="str">
        <f t="shared" si="81"/>
        <v>Normal</v>
      </c>
      <c r="P1294" t="str">
        <f t="shared" si="82"/>
        <v>Duplicate ID</v>
      </c>
      <c r="Q1294" t="str">
        <f t="shared" si="83"/>
        <v>5,000-9,999</v>
      </c>
      <c r="R1294" s="6">
        <f>IF(COUNTIF($A$2:A1294,A1294)=1,1,0)</f>
        <v>0</v>
      </c>
    </row>
    <row r="1295" spans="1:18" x14ac:dyDescent="0.25">
      <c r="A1295" s="6">
        <v>1190</v>
      </c>
      <c r="B1295" s="7">
        <v>44353</v>
      </c>
      <c r="C1295" t="s">
        <v>119</v>
      </c>
      <c r="D1295" s="6">
        <v>2018</v>
      </c>
      <c r="E1295" s="8">
        <v>9303</v>
      </c>
      <c r="F1295" s="8">
        <v>15000</v>
      </c>
      <c r="G1295" s="8">
        <f t="shared" si="80"/>
        <v>5697</v>
      </c>
      <c r="H1295" s="6">
        <v>60000</v>
      </c>
      <c r="I1295" t="s">
        <v>41</v>
      </c>
      <c r="J1295" t="s">
        <v>1647</v>
      </c>
      <c r="K1295" t="s">
        <v>96</v>
      </c>
      <c r="L1295" t="s">
        <v>1647</v>
      </c>
      <c r="M1295" t="s">
        <v>126</v>
      </c>
      <c r="N1295" s="6">
        <v>1</v>
      </c>
      <c r="O1295" t="str">
        <f t="shared" si="81"/>
        <v>Normal</v>
      </c>
      <c r="P1295" t="str">
        <f t="shared" si="82"/>
        <v>Duplicate ID</v>
      </c>
      <c r="Q1295" t="str">
        <f t="shared" si="83"/>
        <v>5,000-9,999</v>
      </c>
      <c r="R1295" s="6">
        <f>IF(COUNTIF($A$2:A1295,A1295)=1,1,0)</f>
        <v>0</v>
      </c>
    </row>
    <row r="1296" spans="1:18" x14ac:dyDescent="0.25">
      <c r="A1296" s="6">
        <v>1075</v>
      </c>
      <c r="B1296" s="7">
        <v>44299</v>
      </c>
      <c r="C1296" t="s">
        <v>79</v>
      </c>
      <c r="D1296" s="6">
        <v>2022</v>
      </c>
      <c r="E1296" s="8">
        <v>19969</v>
      </c>
      <c r="F1296" s="8">
        <v>26000</v>
      </c>
      <c r="G1296" s="8">
        <f t="shared" si="80"/>
        <v>6031</v>
      </c>
      <c r="H1296" s="6">
        <v>120000</v>
      </c>
      <c r="I1296" t="s">
        <v>69</v>
      </c>
      <c r="J1296" t="s">
        <v>35</v>
      </c>
      <c r="K1296" t="s">
        <v>36</v>
      </c>
      <c r="L1296" t="s">
        <v>100</v>
      </c>
      <c r="M1296" t="s">
        <v>45</v>
      </c>
      <c r="N1296" s="6">
        <v>0</v>
      </c>
      <c r="O1296" t="str">
        <f t="shared" si="81"/>
        <v>Normal</v>
      </c>
      <c r="P1296" t="str">
        <f t="shared" si="82"/>
        <v>Unique ID</v>
      </c>
      <c r="Q1296" t="str">
        <f t="shared" si="83"/>
        <v>15,000-19,999</v>
      </c>
      <c r="R1296" s="6">
        <f>IF(COUNTIF($A$2:A1296,A1296)=1,1,0)</f>
        <v>1</v>
      </c>
    </row>
    <row r="1297" spans="1:18" x14ac:dyDescent="0.25">
      <c r="A1297" s="6">
        <v>1505</v>
      </c>
      <c r="B1297" s="7">
        <v>44421</v>
      </c>
      <c r="C1297" t="s">
        <v>119</v>
      </c>
      <c r="D1297" s="6">
        <v>2019</v>
      </c>
      <c r="E1297" s="8">
        <v>8393</v>
      </c>
      <c r="F1297" s="8">
        <v>12000</v>
      </c>
      <c r="G1297" s="8">
        <f t="shared" si="80"/>
        <v>3607</v>
      </c>
      <c r="H1297" s="6">
        <v>80000</v>
      </c>
      <c r="I1297" t="s">
        <v>34</v>
      </c>
      <c r="J1297" t="s">
        <v>72</v>
      </c>
      <c r="K1297" t="s">
        <v>36</v>
      </c>
      <c r="L1297" t="s">
        <v>100</v>
      </c>
      <c r="M1297" t="s">
        <v>1647</v>
      </c>
      <c r="N1297" s="6">
        <v>3</v>
      </c>
      <c r="O1297" t="str">
        <f t="shared" si="81"/>
        <v>Normal</v>
      </c>
      <c r="P1297" t="str">
        <f t="shared" si="82"/>
        <v>Duplicate ID</v>
      </c>
      <c r="Q1297" t="str">
        <f t="shared" si="83"/>
        <v>5,000-9,999</v>
      </c>
      <c r="R1297" s="6">
        <f>IF(COUNTIF($A$2:A1297,A1297)=1,1,0)</f>
        <v>0</v>
      </c>
    </row>
    <row r="1298" spans="1:18" x14ac:dyDescent="0.25">
      <c r="A1298" s="6">
        <v>1147</v>
      </c>
      <c r="B1298" s="7">
        <v>44503</v>
      </c>
      <c r="C1298" t="s">
        <v>57</v>
      </c>
      <c r="D1298" s="6">
        <v>2016</v>
      </c>
      <c r="E1298" s="8">
        <v>3631</v>
      </c>
      <c r="F1298" s="8">
        <v>7000</v>
      </c>
      <c r="G1298" s="8">
        <f t="shared" si="80"/>
        <v>3369</v>
      </c>
      <c r="H1298" s="6">
        <v>40000</v>
      </c>
      <c r="I1298" t="s">
        <v>69</v>
      </c>
      <c r="J1298" t="s">
        <v>1647</v>
      </c>
      <c r="K1298" t="s">
        <v>96</v>
      </c>
      <c r="L1298" t="s">
        <v>100</v>
      </c>
      <c r="M1298" t="s">
        <v>90</v>
      </c>
      <c r="N1298" s="6">
        <v>0</v>
      </c>
      <c r="O1298" t="str">
        <f t="shared" si="81"/>
        <v>Normal</v>
      </c>
      <c r="P1298" t="str">
        <f t="shared" si="82"/>
        <v>Duplicate ID</v>
      </c>
      <c r="Q1298" t="str">
        <f t="shared" si="83"/>
        <v>0-4,999</v>
      </c>
      <c r="R1298" s="6">
        <f>IF(COUNTIF($A$2:A1298,A1298)=1,1,0)</f>
        <v>0</v>
      </c>
    </row>
    <row r="1299" spans="1:18" x14ac:dyDescent="0.25">
      <c r="A1299" s="6">
        <v>1018</v>
      </c>
      <c r="B1299" s="7">
        <v>45103</v>
      </c>
      <c r="C1299" t="s">
        <v>57</v>
      </c>
      <c r="D1299" s="6">
        <v>2017</v>
      </c>
      <c r="E1299" s="8">
        <v>14526</v>
      </c>
      <c r="F1299" s="8">
        <v>18000</v>
      </c>
      <c r="G1299" s="8">
        <f t="shared" si="80"/>
        <v>3474</v>
      </c>
      <c r="H1299" s="6">
        <v>40000</v>
      </c>
      <c r="I1299" t="s">
        <v>69</v>
      </c>
      <c r="J1299" t="s">
        <v>35</v>
      </c>
      <c r="K1299" t="s">
        <v>96</v>
      </c>
      <c r="L1299" t="s">
        <v>48</v>
      </c>
      <c r="M1299" t="s">
        <v>126</v>
      </c>
      <c r="N1299" s="6">
        <v>1</v>
      </c>
      <c r="O1299" t="str">
        <f t="shared" si="81"/>
        <v>Normal</v>
      </c>
      <c r="P1299" t="str">
        <f t="shared" si="82"/>
        <v>Duplicate ID</v>
      </c>
      <c r="Q1299" t="str">
        <f t="shared" si="83"/>
        <v>10,000-14,999</v>
      </c>
      <c r="R1299" s="6">
        <f>IF(COUNTIF($A$2:A1299,A1299)=1,1,0)</f>
        <v>0</v>
      </c>
    </row>
    <row r="1300" spans="1:18" x14ac:dyDescent="0.25">
      <c r="A1300" s="6">
        <v>1073</v>
      </c>
      <c r="B1300" s="7">
        <v>44912</v>
      </c>
      <c r="C1300" t="s">
        <v>40</v>
      </c>
      <c r="D1300" s="6">
        <v>2019</v>
      </c>
      <c r="E1300" s="8">
        <v>19394</v>
      </c>
      <c r="F1300" s="8">
        <v>26000</v>
      </c>
      <c r="G1300" s="8">
        <f t="shared" si="80"/>
        <v>6606</v>
      </c>
      <c r="H1300" s="6">
        <v>80000</v>
      </c>
      <c r="I1300" t="s">
        <v>1647</v>
      </c>
      <c r="J1300" t="s">
        <v>72</v>
      </c>
      <c r="K1300" t="s">
        <v>96</v>
      </c>
      <c r="L1300" t="s">
        <v>100</v>
      </c>
      <c r="M1300" t="s">
        <v>98</v>
      </c>
      <c r="N1300" s="6">
        <v>3</v>
      </c>
      <c r="O1300" t="str">
        <f t="shared" si="81"/>
        <v>Normal</v>
      </c>
      <c r="P1300" t="str">
        <f t="shared" si="82"/>
        <v>Duplicate ID</v>
      </c>
      <c r="Q1300" t="str">
        <f t="shared" si="83"/>
        <v>15,000-19,999</v>
      </c>
      <c r="R1300" s="6">
        <f>IF(COUNTIF($A$2:A1300,A1300)=1,1,0)</f>
        <v>0</v>
      </c>
    </row>
    <row r="1301" spans="1:18" x14ac:dyDescent="0.25">
      <c r="A1301" s="6">
        <v>1189</v>
      </c>
      <c r="B1301" s="7">
        <v>44745</v>
      </c>
      <c r="C1301" t="s">
        <v>57</v>
      </c>
      <c r="D1301" s="6">
        <v>2016</v>
      </c>
      <c r="E1301" s="8">
        <v>19090</v>
      </c>
      <c r="F1301" s="8">
        <v>22000</v>
      </c>
      <c r="G1301" s="8">
        <f t="shared" si="80"/>
        <v>2910</v>
      </c>
      <c r="H1301" s="6">
        <v>60000</v>
      </c>
      <c r="I1301" t="s">
        <v>58</v>
      </c>
      <c r="J1301" t="s">
        <v>35</v>
      </c>
      <c r="K1301" t="s">
        <v>96</v>
      </c>
      <c r="L1301" t="s">
        <v>100</v>
      </c>
      <c r="M1301" t="s">
        <v>126</v>
      </c>
      <c r="N1301" s="6">
        <v>3</v>
      </c>
      <c r="O1301" t="str">
        <f t="shared" si="81"/>
        <v>Normal</v>
      </c>
      <c r="P1301" t="str">
        <f t="shared" si="82"/>
        <v>Duplicate ID</v>
      </c>
      <c r="Q1301" t="str">
        <f t="shared" si="83"/>
        <v>15,000-19,999</v>
      </c>
      <c r="R1301" s="6">
        <f>IF(COUNTIF($A$2:A1301,A1301)=1,1,0)</f>
        <v>0</v>
      </c>
    </row>
    <row r="1302" spans="1:18" x14ac:dyDescent="0.25">
      <c r="A1302" s="6">
        <v>1137</v>
      </c>
      <c r="B1302" s="7">
        <v>44487</v>
      </c>
      <c r="C1302" t="s">
        <v>40</v>
      </c>
      <c r="D1302" s="6">
        <v>2020</v>
      </c>
      <c r="E1302" s="8">
        <v>20315</v>
      </c>
      <c r="F1302" s="8">
        <v>22000</v>
      </c>
      <c r="G1302" s="8">
        <f t="shared" si="80"/>
        <v>1685</v>
      </c>
      <c r="H1302" s="6">
        <v>80000</v>
      </c>
      <c r="I1302" t="s">
        <v>58</v>
      </c>
      <c r="J1302" t="s">
        <v>35</v>
      </c>
      <c r="K1302" t="s">
        <v>1647</v>
      </c>
      <c r="L1302" t="s">
        <v>54</v>
      </c>
      <c r="M1302" t="s">
        <v>126</v>
      </c>
      <c r="N1302" s="6">
        <v>0</v>
      </c>
      <c r="O1302" t="str">
        <f t="shared" si="81"/>
        <v>Normal</v>
      </c>
      <c r="P1302" t="str">
        <f t="shared" si="82"/>
        <v>Duplicate ID</v>
      </c>
      <c r="Q1302" t="str">
        <f t="shared" si="83"/>
        <v>20,000-24,999</v>
      </c>
      <c r="R1302" s="6">
        <f>IF(COUNTIF($A$2:A1302,A1302)=1,1,0)</f>
        <v>0</v>
      </c>
    </row>
    <row r="1303" spans="1:18" x14ac:dyDescent="0.25">
      <c r="A1303" s="6">
        <v>1323</v>
      </c>
      <c r="B1303" s="7">
        <v>44847</v>
      </c>
      <c r="C1303" t="s">
        <v>51</v>
      </c>
      <c r="D1303" s="6">
        <v>2020</v>
      </c>
      <c r="E1303" s="8">
        <v>12758</v>
      </c>
      <c r="F1303" s="8">
        <v>15000</v>
      </c>
      <c r="G1303" s="8">
        <f t="shared" si="80"/>
        <v>2242</v>
      </c>
      <c r="H1303" s="6">
        <v>15000</v>
      </c>
      <c r="I1303" t="s">
        <v>34</v>
      </c>
      <c r="J1303" t="s">
        <v>35</v>
      </c>
      <c r="K1303" t="s">
        <v>96</v>
      </c>
      <c r="L1303" t="s">
        <v>100</v>
      </c>
      <c r="M1303" t="s">
        <v>98</v>
      </c>
      <c r="N1303" s="6">
        <v>1</v>
      </c>
      <c r="O1303" t="str">
        <f t="shared" si="81"/>
        <v>Normal</v>
      </c>
      <c r="P1303" t="str">
        <f t="shared" si="82"/>
        <v>Duplicate ID</v>
      </c>
      <c r="Q1303" t="str">
        <f t="shared" si="83"/>
        <v>10,000-14,999</v>
      </c>
      <c r="R1303" s="6">
        <f>IF(COUNTIF($A$2:A1303,A1303)=1,1,0)</f>
        <v>0</v>
      </c>
    </row>
    <row r="1304" spans="1:18" x14ac:dyDescent="0.25">
      <c r="A1304" s="6">
        <v>1077</v>
      </c>
      <c r="B1304" s="7">
        <v>44969</v>
      </c>
      <c r="C1304" t="s">
        <v>51</v>
      </c>
      <c r="D1304" s="6">
        <v>2018</v>
      </c>
      <c r="E1304" s="8">
        <v>7466</v>
      </c>
      <c r="F1304" s="8">
        <v>12000</v>
      </c>
      <c r="G1304" s="8">
        <f t="shared" si="80"/>
        <v>4534</v>
      </c>
      <c r="H1304" s="6">
        <v>15000</v>
      </c>
      <c r="I1304" t="s">
        <v>69</v>
      </c>
      <c r="J1304" t="s">
        <v>35</v>
      </c>
      <c r="K1304" t="s">
        <v>36</v>
      </c>
      <c r="L1304" t="s">
        <v>100</v>
      </c>
      <c r="M1304" t="s">
        <v>126</v>
      </c>
      <c r="N1304" s="6">
        <v>1</v>
      </c>
      <c r="O1304" t="str">
        <f t="shared" si="81"/>
        <v>Normal</v>
      </c>
      <c r="P1304" t="str">
        <f t="shared" si="82"/>
        <v>Duplicate ID</v>
      </c>
      <c r="Q1304" t="str">
        <f t="shared" si="83"/>
        <v>5,000-9,999</v>
      </c>
      <c r="R1304" s="6">
        <f>IF(COUNTIF($A$2:A1304,A1304)=1,1,0)</f>
        <v>1</v>
      </c>
    </row>
    <row r="1305" spans="1:18" x14ac:dyDescent="0.25">
      <c r="A1305" s="6">
        <v>1160</v>
      </c>
      <c r="B1305" s="7">
        <v>44656</v>
      </c>
      <c r="C1305" t="s">
        <v>40</v>
      </c>
      <c r="D1305" s="6">
        <v>2014</v>
      </c>
      <c r="E1305" s="8">
        <v>12622</v>
      </c>
      <c r="F1305" s="8">
        <v>18000</v>
      </c>
      <c r="G1305" s="8">
        <f t="shared" si="80"/>
        <v>5378</v>
      </c>
      <c r="H1305" s="6">
        <v>80000</v>
      </c>
      <c r="I1305" t="s">
        <v>58</v>
      </c>
      <c r="J1305" t="s">
        <v>35</v>
      </c>
      <c r="K1305" t="s">
        <v>36</v>
      </c>
      <c r="L1305" t="s">
        <v>73</v>
      </c>
      <c r="M1305" t="s">
        <v>45</v>
      </c>
      <c r="N1305" s="6">
        <v>2</v>
      </c>
      <c r="O1305" t="str">
        <f t="shared" si="81"/>
        <v>Normal</v>
      </c>
      <c r="P1305" t="str">
        <f t="shared" si="82"/>
        <v>Duplicate ID</v>
      </c>
      <c r="Q1305" t="str">
        <f t="shared" si="83"/>
        <v>10,000-14,999</v>
      </c>
      <c r="R1305" s="6">
        <f>IF(COUNTIF($A$2:A1305,A1305)=1,1,0)</f>
        <v>0</v>
      </c>
    </row>
    <row r="1306" spans="1:18" x14ac:dyDescent="0.25">
      <c r="A1306" s="6">
        <v>1548</v>
      </c>
      <c r="B1306" s="7">
        <v>45051</v>
      </c>
      <c r="C1306" t="s">
        <v>32</v>
      </c>
      <c r="D1306" s="6">
        <v>2019</v>
      </c>
      <c r="E1306" s="8">
        <v>6549</v>
      </c>
      <c r="F1306" s="8">
        <v>12000</v>
      </c>
      <c r="G1306" s="8">
        <f t="shared" si="80"/>
        <v>5451</v>
      </c>
      <c r="H1306" s="6">
        <v>60000</v>
      </c>
      <c r="I1306" t="s">
        <v>41</v>
      </c>
      <c r="J1306" t="s">
        <v>1647</v>
      </c>
      <c r="K1306" t="s">
        <v>36</v>
      </c>
      <c r="L1306" t="s">
        <v>1647</v>
      </c>
      <c r="M1306" t="s">
        <v>45</v>
      </c>
      <c r="N1306" s="6">
        <v>2</v>
      </c>
      <c r="O1306" t="str">
        <f t="shared" si="81"/>
        <v>Normal</v>
      </c>
      <c r="P1306" t="str">
        <f t="shared" si="82"/>
        <v>Duplicate ID</v>
      </c>
      <c r="Q1306" t="str">
        <f t="shared" si="83"/>
        <v>5,000-9,999</v>
      </c>
      <c r="R1306" s="6">
        <f>IF(COUNTIF($A$2:A1306,A1306)=1,1,0)</f>
        <v>0</v>
      </c>
    </row>
    <row r="1307" spans="1:18" x14ac:dyDescent="0.25">
      <c r="A1307" s="6">
        <v>1043</v>
      </c>
      <c r="B1307" s="7">
        <v>44198</v>
      </c>
      <c r="C1307" t="s">
        <v>40</v>
      </c>
      <c r="D1307" s="6">
        <v>2020</v>
      </c>
      <c r="E1307" s="8">
        <v>15906</v>
      </c>
      <c r="F1307" s="8">
        <v>18000</v>
      </c>
      <c r="G1307" s="8">
        <f t="shared" si="80"/>
        <v>2094</v>
      </c>
      <c r="H1307" s="6">
        <v>40000</v>
      </c>
      <c r="I1307" t="s">
        <v>1647</v>
      </c>
      <c r="J1307" t="s">
        <v>72</v>
      </c>
      <c r="K1307" t="s">
        <v>1647</v>
      </c>
      <c r="L1307" t="s">
        <v>48</v>
      </c>
      <c r="M1307" t="s">
        <v>90</v>
      </c>
      <c r="N1307" s="6">
        <v>2</v>
      </c>
      <c r="O1307" t="str">
        <f t="shared" si="81"/>
        <v>Normal</v>
      </c>
      <c r="P1307" t="str">
        <f t="shared" si="82"/>
        <v>Duplicate ID</v>
      </c>
      <c r="Q1307" t="str">
        <f t="shared" si="83"/>
        <v>15,000-19,999</v>
      </c>
      <c r="R1307" s="6">
        <f>IF(COUNTIF($A$2:A1307,A1307)=1,1,0)</f>
        <v>0</v>
      </c>
    </row>
    <row r="1308" spans="1:18" x14ac:dyDescent="0.25">
      <c r="A1308" s="6">
        <v>1121</v>
      </c>
      <c r="B1308" s="7">
        <v>44833</v>
      </c>
      <c r="C1308" t="s">
        <v>51</v>
      </c>
      <c r="D1308" s="6">
        <v>2020</v>
      </c>
      <c r="E1308" s="8">
        <v>21729</v>
      </c>
      <c r="F1308" s="8">
        <v>26000</v>
      </c>
      <c r="G1308" s="8">
        <f t="shared" si="80"/>
        <v>4271</v>
      </c>
      <c r="H1308" s="6">
        <v>40000</v>
      </c>
      <c r="I1308" t="s">
        <v>58</v>
      </c>
      <c r="J1308" t="s">
        <v>35</v>
      </c>
      <c r="K1308" t="s">
        <v>1647</v>
      </c>
      <c r="L1308" t="s">
        <v>100</v>
      </c>
      <c r="M1308" t="s">
        <v>98</v>
      </c>
      <c r="N1308" s="6">
        <v>1</v>
      </c>
      <c r="O1308" t="str">
        <f t="shared" si="81"/>
        <v>Normal</v>
      </c>
      <c r="P1308" t="str">
        <f t="shared" si="82"/>
        <v>Duplicate ID</v>
      </c>
      <c r="Q1308" t="str">
        <f t="shared" si="83"/>
        <v>20,000-24,999</v>
      </c>
      <c r="R1308" s="6">
        <f>IF(COUNTIF($A$2:A1308,A1308)=1,1,0)</f>
        <v>0</v>
      </c>
    </row>
    <row r="1309" spans="1:18" x14ac:dyDescent="0.25">
      <c r="A1309" s="6">
        <v>1065</v>
      </c>
      <c r="B1309" s="7">
        <v>44822</v>
      </c>
      <c r="C1309" t="s">
        <v>57</v>
      </c>
      <c r="D1309" s="6">
        <v>2015</v>
      </c>
      <c r="E1309" s="8">
        <v>13860</v>
      </c>
      <c r="F1309" s="8">
        <v>15000</v>
      </c>
      <c r="G1309" s="8">
        <f t="shared" si="80"/>
        <v>1140</v>
      </c>
      <c r="H1309" s="6">
        <v>25000</v>
      </c>
      <c r="I1309" t="s">
        <v>58</v>
      </c>
      <c r="J1309" t="s">
        <v>35</v>
      </c>
      <c r="K1309" t="s">
        <v>96</v>
      </c>
      <c r="L1309" t="s">
        <v>48</v>
      </c>
      <c r="M1309" t="s">
        <v>1647</v>
      </c>
      <c r="N1309" s="6" t="s">
        <v>1647</v>
      </c>
      <c r="O1309" t="str">
        <f t="shared" si="81"/>
        <v>Normal</v>
      </c>
      <c r="P1309" t="str">
        <f t="shared" si="82"/>
        <v>Duplicate ID</v>
      </c>
      <c r="Q1309" t="str">
        <f t="shared" si="83"/>
        <v>10,000-14,999</v>
      </c>
      <c r="R1309" s="6">
        <f>IF(COUNTIF($A$2:A1309,A1309)=1,1,0)</f>
        <v>0</v>
      </c>
    </row>
    <row r="1310" spans="1:18" x14ac:dyDescent="0.25">
      <c r="A1310" s="6">
        <v>1416</v>
      </c>
      <c r="B1310" s="7">
        <v>44511</v>
      </c>
      <c r="C1310" t="s">
        <v>32</v>
      </c>
      <c r="D1310" s="6">
        <v>2015</v>
      </c>
      <c r="E1310" s="8">
        <v>26343</v>
      </c>
      <c r="F1310" s="8">
        <v>31000</v>
      </c>
      <c r="G1310" s="8">
        <f t="shared" si="80"/>
        <v>4657</v>
      </c>
      <c r="H1310" s="6">
        <v>80000</v>
      </c>
      <c r="I1310" t="s">
        <v>41</v>
      </c>
      <c r="J1310" t="s">
        <v>35</v>
      </c>
      <c r="K1310" t="s">
        <v>1647</v>
      </c>
      <c r="L1310" t="s">
        <v>100</v>
      </c>
      <c r="M1310" t="s">
        <v>126</v>
      </c>
      <c r="N1310" s="6" t="s">
        <v>1647</v>
      </c>
      <c r="O1310" t="str">
        <f t="shared" si="81"/>
        <v>Normal</v>
      </c>
      <c r="P1310" t="str">
        <f t="shared" si="82"/>
        <v>Duplicate ID</v>
      </c>
      <c r="Q1310" t="str">
        <f t="shared" si="83"/>
        <v>25,000-30,000</v>
      </c>
      <c r="R1310" s="6">
        <f>IF(COUNTIF($A$2:A1310,A1310)=1,1,0)</f>
        <v>0</v>
      </c>
    </row>
    <row r="1311" spans="1:18" x14ac:dyDescent="0.25">
      <c r="A1311" s="6">
        <v>1021</v>
      </c>
      <c r="B1311" s="7">
        <v>45036</v>
      </c>
      <c r="C1311" t="s">
        <v>40</v>
      </c>
      <c r="D1311" s="6">
        <v>2014</v>
      </c>
      <c r="E1311" s="8">
        <v>10541</v>
      </c>
      <c r="F1311" s="8">
        <v>15000</v>
      </c>
      <c r="G1311" s="8">
        <f t="shared" si="80"/>
        <v>4459</v>
      </c>
      <c r="H1311" s="6">
        <v>60000</v>
      </c>
      <c r="I1311" t="s">
        <v>41</v>
      </c>
      <c r="J1311" t="s">
        <v>35</v>
      </c>
      <c r="K1311" t="s">
        <v>96</v>
      </c>
      <c r="L1311" t="s">
        <v>100</v>
      </c>
      <c r="M1311" t="s">
        <v>90</v>
      </c>
      <c r="N1311" s="6" t="s">
        <v>1647</v>
      </c>
      <c r="O1311" t="str">
        <f t="shared" si="81"/>
        <v>Normal</v>
      </c>
      <c r="P1311" t="str">
        <f t="shared" si="82"/>
        <v>Duplicate ID</v>
      </c>
      <c r="Q1311" t="str">
        <f t="shared" si="83"/>
        <v>10,000-14,999</v>
      </c>
      <c r="R1311" s="6">
        <f>IF(COUNTIF($A$2:A1311,A1311)=1,1,0)</f>
        <v>0</v>
      </c>
    </row>
    <row r="1312" spans="1:18" x14ac:dyDescent="0.25">
      <c r="A1312" s="6">
        <v>1329</v>
      </c>
      <c r="B1312" s="7">
        <v>44204</v>
      </c>
      <c r="C1312" t="s">
        <v>51</v>
      </c>
      <c r="D1312" s="6">
        <v>2017</v>
      </c>
      <c r="E1312" s="8">
        <v>24211</v>
      </c>
      <c r="F1312" s="8">
        <v>26000</v>
      </c>
      <c r="G1312" s="8">
        <f t="shared" si="80"/>
        <v>1789</v>
      </c>
      <c r="H1312" s="6">
        <v>25000</v>
      </c>
      <c r="I1312" t="s">
        <v>58</v>
      </c>
      <c r="J1312" t="s">
        <v>1647</v>
      </c>
      <c r="K1312" t="s">
        <v>36</v>
      </c>
      <c r="L1312" t="s">
        <v>1647</v>
      </c>
      <c r="M1312" t="s">
        <v>126</v>
      </c>
      <c r="N1312" s="6">
        <v>2</v>
      </c>
      <c r="O1312" t="str">
        <f t="shared" si="81"/>
        <v>Normal</v>
      </c>
      <c r="P1312" t="str">
        <f t="shared" si="82"/>
        <v>Duplicate ID</v>
      </c>
      <c r="Q1312" t="str">
        <f t="shared" si="83"/>
        <v>20,000-24,999</v>
      </c>
      <c r="R1312" s="6">
        <f>IF(COUNTIF($A$2:A1312,A1312)=1,1,0)</f>
        <v>0</v>
      </c>
    </row>
    <row r="1313" spans="1:18" x14ac:dyDescent="0.25">
      <c r="A1313" s="6">
        <v>1061</v>
      </c>
      <c r="B1313" s="7">
        <v>44324</v>
      </c>
      <c r="C1313" t="s">
        <v>57</v>
      </c>
      <c r="D1313" s="6">
        <v>2020</v>
      </c>
      <c r="E1313" s="8">
        <v>6376</v>
      </c>
      <c r="F1313" s="8">
        <v>12000</v>
      </c>
      <c r="G1313" s="8">
        <f t="shared" si="80"/>
        <v>5624</v>
      </c>
      <c r="H1313" s="6">
        <v>120000</v>
      </c>
      <c r="I1313" t="s">
        <v>1647</v>
      </c>
      <c r="J1313" t="s">
        <v>72</v>
      </c>
      <c r="K1313" t="s">
        <v>36</v>
      </c>
      <c r="L1313" t="s">
        <v>100</v>
      </c>
      <c r="M1313" t="s">
        <v>90</v>
      </c>
      <c r="N1313" s="6" t="s">
        <v>1647</v>
      </c>
      <c r="O1313" t="str">
        <f t="shared" si="81"/>
        <v>Normal</v>
      </c>
      <c r="P1313" t="str">
        <f t="shared" si="82"/>
        <v>Duplicate ID</v>
      </c>
      <c r="Q1313" t="str">
        <f t="shared" si="83"/>
        <v>5,000-9,999</v>
      </c>
      <c r="R1313" s="6">
        <f>IF(COUNTIF($A$2:A1313,A1313)=1,1,0)</f>
        <v>0</v>
      </c>
    </row>
    <row r="1314" spans="1:18" x14ac:dyDescent="0.25">
      <c r="A1314" s="6">
        <v>1495</v>
      </c>
      <c r="B1314" s="7">
        <v>44636</v>
      </c>
      <c r="C1314" t="s">
        <v>57</v>
      </c>
      <c r="D1314" s="6">
        <v>2022</v>
      </c>
      <c r="E1314" s="8">
        <v>23331</v>
      </c>
      <c r="F1314" s="8">
        <v>26000</v>
      </c>
      <c r="G1314" s="8">
        <f t="shared" si="80"/>
        <v>2669</v>
      </c>
      <c r="H1314" s="6">
        <v>120000</v>
      </c>
      <c r="I1314" t="s">
        <v>41</v>
      </c>
      <c r="J1314" t="s">
        <v>1647</v>
      </c>
      <c r="K1314" t="s">
        <v>96</v>
      </c>
      <c r="L1314" t="s">
        <v>100</v>
      </c>
      <c r="M1314" t="s">
        <v>98</v>
      </c>
      <c r="N1314" s="6">
        <v>3</v>
      </c>
      <c r="O1314" t="str">
        <f t="shared" si="81"/>
        <v>Normal</v>
      </c>
      <c r="P1314" t="str">
        <f t="shared" si="82"/>
        <v>Duplicate ID</v>
      </c>
      <c r="Q1314" t="str">
        <f t="shared" si="83"/>
        <v>20,000-24,999</v>
      </c>
      <c r="R1314" s="6">
        <f>IF(COUNTIF($A$2:A1314,A1314)=1,1,0)</f>
        <v>0</v>
      </c>
    </row>
    <row r="1315" spans="1:18" x14ac:dyDescent="0.25">
      <c r="A1315" s="6">
        <v>1000</v>
      </c>
      <c r="B1315" s="7">
        <v>44419</v>
      </c>
      <c r="C1315" t="s">
        <v>32</v>
      </c>
      <c r="D1315" s="6">
        <v>2017</v>
      </c>
      <c r="E1315" s="8">
        <v>22504</v>
      </c>
      <c r="F1315" s="8">
        <v>26000</v>
      </c>
      <c r="G1315" s="8">
        <f t="shared" si="80"/>
        <v>3496</v>
      </c>
      <c r="H1315" s="6">
        <v>80000</v>
      </c>
      <c r="I1315" t="s">
        <v>58</v>
      </c>
      <c r="J1315" t="s">
        <v>35</v>
      </c>
      <c r="K1315" t="s">
        <v>36</v>
      </c>
      <c r="L1315" t="s">
        <v>100</v>
      </c>
      <c r="M1315" t="s">
        <v>126</v>
      </c>
      <c r="N1315" s="6" t="s">
        <v>1647</v>
      </c>
      <c r="O1315" t="str">
        <f t="shared" si="81"/>
        <v>Normal</v>
      </c>
      <c r="P1315" t="str">
        <f t="shared" si="82"/>
        <v>Duplicate ID</v>
      </c>
      <c r="Q1315" t="str">
        <f t="shared" si="83"/>
        <v>20,000-24,999</v>
      </c>
      <c r="R1315" s="6">
        <f>IF(COUNTIF($A$2:A1315,A1315)=1,1,0)</f>
        <v>0</v>
      </c>
    </row>
    <row r="1316" spans="1:18" x14ac:dyDescent="0.25">
      <c r="A1316" s="6">
        <v>1541</v>
      </c>
      <c r="B1316" s="7">
        <v>44326</v>
      </c>
      <c r="C1316" t="s">
        <v>119</v>
      </c>
      <c r="D1316" s="6">
        <v>2019</v>
      </c>
      <c r="E1316" s="8">
        <v>6085</v>
      </c>
      <c r="F1316" s="8">
        <v>12000</v>
      </c>
      <c r="G1316" s="8">
        <f t="shared" si="80"/>
        <v>5915</v>
      </c>
      <c r="H1316" s="6">
        <v>60000</v>
      </c>
      <c r="I1316" t="s">
        <v>41</v>
      </c>
      <c r="J1316" t="s">
        <v>72</v>
      </c>
      <c r="K1316" t="s">
        <v>96</v>
      </c>
      <c r="L1316" t="s">
        <v>48</v>
      </c>
      <c r="M1316" t="s">
        <v>98</v>
      </c>
      <c r="N1316" s="6">
        <v>0</v>
      </c>
      <c r="O1316" t="str">
        <f t="shared" si="81"/>
        <v>Normal</v>
      </c>
      <c r="P1316" t="str">
        <f t="shared" si="82"/>
        <v>Duplicate ID</v>
      </c>
      <c r="Q1316" t="str">
        <f t="shared" si="83"/>
        <v>5,000-9,999</v>
      </c>
      <c r="R1316" s="6">
        <f>IF(COUNTIF($A$2:A1316,A1316)=1,1,0)</f>
        <v>0</v>
      </c>
    </row>
    <row r="1317" spans="1:18" x14ac:dyDescent="0.25">
      <c r="A1317" s="6">
        <v>1551</v>
      </c>
      <c r="B1317" s="7">
        <v>44209</v>
      </c>
      <c r="C1317" t="s">
        <v>40</v>
      </c>
      <c r="D1317" s="6">
        <v>2020</v>
      </c>
      <c r="E1317" s="8">
        <v>19632</v>
      </c>
      <c r="F1317" s="8">
        <v>22000</v>
      </c>
      <c r="G1317" s="8">
        <f t="shared" si="80"/>
        <v>2368</v>
      </c>
      <c r="H1317" s="6">
        <v>80000</v>
      </c>
      <c r="I1317" t="s">
        <v>58</v>
      </c>
      <c r="J1317" t="s">
        <v>35</v>
      </c>
      <c r="K1317" t="s">
        <v>1647</v>
      </c>
      <c r="L1317" t="s">
        <v>100</v>
      </c>
      <c r="M1317" t="s">
        <v>98</v>
      </c>
      <c r="N1317" s="6" t="s">
        <v>1647</v>
      </c>
      <c r="O1317" t="str">
        <f t="shared" si="81"/>
        <v>Normal</v>
      </c>
      <c r="P1317" t="str">
        <f t="shared" si="82"/>
        <v>Duplicate ID</v>
      </c>
      <c r="Q1317" t="str">
        <f t="shared" si="83"/>
        <v>15,000-19,999</v>
      </c>
      <c r="R1317" s="6">
        <f>IF(COUNTIF($A$2:A1317,A1317)=1,1,0)</f>
        <v>0</v>
      </c>
    </row>
    <row r="1318" spans="1:18" x14ac:dyDescent="0.25">
      <c r="A1318" s="6">
        <v>1360</v>
      </c>
      <c r="B1318" s="7">
        <v>44423</v>
      </c>
      <c r="C1318" t="s">
        <v>1648</v>
      </c>
      <c r="D1318" s="6">
        <v>2020</v>
      </c>
      <c r="E1318" s="8">
        <v>3879</v>
      </c>
      <c r="F1318" s="8">
        <v>9000</v>
      </c>
      <c r="G1318" s="8">
        <f t="shared" si="80"/>
        <v>5121</v>
      </c>
      <c r="H1318" s="6">
        <v>60000</v>
      </c>
      <c r="I1318" t="s">
        <v>58</v>
      </c>
      <c r="J1318" t="s">
        <v>1647</v>
      </c>
      <c r="K1318" t="s">
        <v>96</v>
      </c>
      <c r="L1318" t="s">
        <v>54</v>
      </c>
      <c r="M1318" t="s">
        <v>98</v>
      </c>
      <c r="N1318" s="6">
        <v>1</v>
      </c>
      <c r="O1318" t="str">
        <f t="shared" si="81"/>
        <v>Normal</v>
      </c>
      <c r="P1318" t="str">
        <f t="shared" si="82"/>
        <v>Duplicate ID</v>
      </c>
      <c r="Q1318" t="str">
        <f t="shared" si="83"/>
        <v>0-4,999</v>
      </c>
      <c r="R1318" s="6">
        <f>IF(COUNTIF($A$2:A1318,A1318)=1,1,0)</f>
        <v>0</v>
      </c>
    </row>
    <row r="1319" spans="1:18" x14ac:dyDescent="0.25">
      <c r="A1319" s="6">
        <v>1546</v>
      </c>
      <c r="B1319" s="7">
        <v>45014</v>
      </c>
      <c r="C1319" t="s">
        <v>40</v>
      </c>
      <c r="D1319" s="6">
        <v>2016</v>
      </c>
      <c r="E1319" s="8">
        <v>21981</v>
      </c>
      <c r="F1319" s="8">
        <v>26000</v>
      </c>
      <c r="G1319" s="8">
        <f t="shared" si="80"/>
        <v>4019</v>
      </c>
      <c r="H1319" s="6">
        <v>60000</v>
      </c>
      <c r="I1319" t="s">
        <v>41</v>
      </c>
      <c r="J1319" t="s">
        <v>35</v>
      </c>
      <c r="K1319" t="s">
        <v>96</v>
      </c>
      <c r="L1319" t="s">
        <v>48</v>
      </c>
      <c r="M1319" t="s">
        <v>90</v>
      </c>
      <c r="N1319" s="6">
        <v>2</v>
      </c>
      <c r="O1319" t="str">
        <f t="shared" si="81"/>
        <v>Normal</v>
      </c>
      <c r="P1319" t="str">
        <f t="shared" si="82"/>
        <v>Duplicate ID</v>
      </c>
      <c r="Q1319" t="str">
        <f t="shared" si="83"/>
        <v>20,000-24,999</v>
      </c>
      <c r="R1319" s="6">
        <f>IF(COUNTIF($A$2:A1319,A1319)=1,1,0)</f>
        <v>0</v>
      </c>
    </row>
    <row r="1320" spans="1:18" x14ac:dyDescent="0.25">
      <c r="A1320" s="6">
        <v>1445</v>
      </c>
      <c r="B1320" s="7">
        <v>44755</v>
      </c>
      <c r="C1320" t="s">
        <v>57</v>
      </c>
      <c r="D1320" s="6">
        <v>2019</v>
      </c>
      <c r="E1320" s="8">
        <v>16066</v>
      </c>
      <c r="F1320" s="8">
        <v>22000</v>
      </c>
      <c r="G1320" s="8">
        <f t="shared" si="80"/>
        <v>5934</v>
      </c>
      <c r="H1320" s="6">
        <v>25000</v>
      </c>
      <c r="I1320" t="s">
        <v>69</v>
      </c>
      <c r="J1320" t="s">
        <v>35</v>
      </c>
      <c r="K1320" t="s">
        <v>1647</v>
      </c>
      <c r="L1320" t="s">
        <v>73</v>
      </c>
      <c r="M1320" t="s">
        <v>98</v>
      </c>
      <c r="N1320" s="6">
        <v>2</v>
      </c>
      <c r="O1320" t="str">
        <f t="shared" si="81"/>
        <v>Normal</v>
      </c>
      <c r="P1320" t="str">
        <f t="shared" si="82"/>
        <v>Duplicate ID</v>
      </c>
      <c r="Q1320" t="str">
        <f t="shared" si="83"/>
        <v>15,000-19,999</v>
      </c>
      <c r="R1320" s="6">
        <f>IF(COUNTIF($A$2:A1320,A1320)=1,1,0)</f>
        <v>0</v>
      </c>
    </row>
    <row r="1321" spans="1:18" x14ac:dyDescent="0.25">
      <c r="A1321" s="6">
        <v>1064</v>
      </c>
      <c r="B1321" s="7">
        <v>44820</v>
      </c>
      <c r="C1321" t="s">
        <v>1648</v>
      </c>
      <c r="D1321" s="6">
        <v>2016</v>
      </c>
      <c r="E1321" s="8">
        <v>20165</v>
      </c>
      <c r="F1321" s="8">
        <v>26000</v>
      </c>
      <c r="G1321" s="8">
        <f t="shared" si="80"/>
        <v>5835</v>
      </c>
      <c r="H1321" s="6">
        <v>60000</v>
      </c>
      <c r="I1321" t="s">
        <v>41</v>
      </c>
      <c r="J1321" t="s">
        <v>1647</v>
      </c>
      <c r="K1321" t="s">
        <v>36</v>
      </c>
      <c r="L1321" t="s">
        <v>1647</v>
      </c>
      <c r="M1321" t="s">
        <v>98</v>
      </c>
      <c r="N1321" s="6">
        <v>2</v>
      </c>
      <c r="O1321" t="str">
        <f t="shared" si="81"/>
        <v>Normal</v>
      </c>
      <c r="P1321" t="str">
        <f t="shared" si="82"/>
        <v>Duplicate ID</v>
      </c>
      <c r="Q1321" t="str">
        <f t="shared" si="83"/>
        <v>20,000-24,999</v>
      </c>
      <c r="R1321" s="6">
        <f>IF(COUNTIF($A$2:A1321,A1321)=1,1,0)</f>
        <v>0</v>
      </c>
    </row>
    <row r="1322" spans="1:18" x14ac:dyDescent="0.25">
      <c r="A1322" s="6">
        <v>1291</v>
      </c>
      <c r="B1322" s="7">
        <v>45366</v>
      </c>
      <c r="C1322" t="s">
        <v>1648</v>
      </c>
      <c r="D1322" s="6">
        <v>2018</v>
      </c>
      <c r="E1322" s="8">
        <v>15939</v>
      </c>
      <c r="F1322" s="8">
        <v>22000</v>
      </c>
      <c r="G1322" s="8">
        <f t="shared" si="80"/>
        <v>6061</v>
      </c>
      <c r="H1322" s="6">
        <v>120000</v>
      </c>
      <c r="I1322" t="s">
        <v>69</v>
      </c>
      <c r="J1322" t="s">
        <v>35</v>
      </c>
      <c r="K1322" t="s">
        <v>96</v>
      </c>
      <c r="L1322" t="s">
        <v>48</v>
      </c>
      <c r="M1322" t="s">
        <v>90</v>
      </c>
      <c r="N1322" s="6">
        <v>2</v>
      </c>
      <c r="O1322" t="str">
        <f t="shared" si="81"/>
        <v>Normal</v>
      </c>
      <c r="P1322" t="str">
        <f t="shared" si="82"/>
        <v>Duplicate ID</v>
      </c>
      <c r="Q1322" t="str">
        <f t="shared" si="83"/>
        <v>15,000-19,999</v>
      </c>
      <c r="R1322" s="6">
        <f>IF(COUNTIF($A$2:A1322,A1322)=1,1,0)</f>
        <v>0</v>
      </c>
    </row>
    <row r="1323" spans="1:18" x14ac:dyDescent="0.25">
      <c r="A1323" s="6">
        <v>1549</v>
      </c>
      <c r="B1323" s="7">
        <v>45387</v>
      </c>
      <c r="C1323" t="s">
        <v>1648</v>
      </c>
      <c r="D1323" s="6">
        <v>2022</v>
      </c>
      <c r="E1323" s="8">
        <v>17735</v>
      </c>
      <c r="F1323" s="8">
        <v>22000</v>
      </c>
      <c r="G1323" s="8">
        <f t="shared" si="80"/>
        <v>4265</v>
      </c>
      <c r="H1323" s="6">
        <v>25000</v>
      </c>
      <c r="I1323" t="s">
        <v>41</v>
      </c>
      <c r="J1323" t="s">
        <v>72</v>
      </c>
      <c r="K1323" t="s">
        <v>96</v>
      </c>
      <c r="L1323" t="s">
        <v>54</v>
      </c>
      <c r="M1323" t="s">
        <v>126</v>
      </c>
      <c r="N1323" s="6" t="s">
        <v>1647</v>
      </c>
      <c r="O1323" t="str">
        <f t="shared" si="81"/>
        <v>Normal</v>
      </c>
      <c r="P1323" t="str">
        <f t="shared" si="82"/>
        <v>Duplicate ID</v>
      </c>
      <c r="Q1323" t="str">
        <f t="shared" si="83"/>
        <v>15,000-19,999</v>
      </c>
      <c r="R1323" s="6">
        <f>IF(COUNTIF($A$2:A1323,A1323)=1,1,0)</f>
        <v>0</v>
      </c>
    </row>
    <row r="1324" spans="1:18" x14ac:dyDescent="0.25">
      <c r="A1324" s="6">
        <v>1121</v>
      </c>
      <c r="B1324" s="7">
        <v>44547</v>
      </c>
      <c r="C1324" t="s">
        <v>57</v>
      </c>
      <c r="D1324" s="6">
        <v>2018</v>
      </c>
      <c r="E1324" s="8">
        <v>22324</v>
      </c>
      <c r="F1324" s="8">
        <v>26000</v>
      </c>
      <c r="G1324" s="8">
        <f t="shared" si="80"/>
        <v>3676</v>
      </c>
      <c r="H1324" s="6">
        <v>15000</v>
      </c>
      <c r="I1324" t="s">
        <v>58</v>
      </c>
      <c r="J1324" t="s">
        <v>72</v>
      </c>
      <c r="K1324" t="s">
        <v>36</v>
      </c>
      <c r="L1324" t="s">
        <v>48</v>
      </c>
      <c r="M1324" t="s">
        <v>98</v>
      </c>
      <c r="N1324" s="6">
        <v>2</v>
      </c>
      <c r="O1324" t="str">
        <f t="shared" si="81"/>
        <v>Normal</v>
      </c>
      <c r="P1324" t="str">
        <f t="shared" si="82"/>
        <v>Duplicate ID</v>
      </c>
      <c r="Q1324" t="str">
        <f t="shared" si="83"/>
        <v>20,000-24,999</v>
      </c>
      <c r="R1324" s="6">
        <f>IF(COUNTIF($A$2:A1324,A1324)=1,1,0)</f>
        <v>0</v>
      </c>
    </row>
    <row r="1325" spans="1:18" x14ac:dyDescent="0.25">
      <c r="A1325" s="6">
        <v>1367</v>
      </c>
      <c r="B1325" s="7">
        <v>44714</v>
      </c>
      <c r="C1325" t="s">
        <v>40</v>
      </c>
      <c r="D1325" s="6">
        <v>2014</v>
      </c>
      <c r="E1325" s="8">
        <v>6621</v>
      </c>
      <c r="F1325" s="8">
        <v>12000</v>
      </c>
      <c r="G1325" s="8">
        <f t="shared" si="80"/>
        <v>5379</v>
      </c>
      <c r="H1325" s="6">
        <v>40000</v>
      </c>
      <c r="I1325" t="s">
        <v>58</v>
      </c>
      <c r="J1325" t="s">
        <v>35</v>
      </c>
      <c r="K1325" t="s">
        <v>96</v>
      </c>
      <c r="L1325" t="s">
        <v>48</v>
      </c>
      <c r="M1325" t="s">
        <v>45</v>
      </c>
      <c r="N1325" s="6" t="s">
        <v>1647</v>
      </c>
      <c r="O1325" t="str">
        <f t="shared" si="81"/>
        <v>Normal</v>
      </c>
      <c r="P1325" t="str">
        <f t="shared" si="82"/>
        <v>Duplicate ID</v>
      </c>
      <c r="Q1325" t="str">
        <f t="shared" si="83"/>
        <v>5,000-9,999</v>
      </c>
      <c r="R1325" s="6">
        <f>IF(COUNTIF($A$2:A1325,A1325)=1,1,0)</f>
        <v>0</v>
      </c>
    </row>
    <row r="1326" spans="1:18" x14ac:dyDescent="0.25">
      <c r="A1326" s="6">
        <v>1355</v>
      </c>
      <c r="B1326" s="7">
        <v>45330</v>
      </c>
      <c r="C1326" t="s">
        <v>119</v>
      </c>
      <c r="D1326" s="6"/>
      <c r="E1326" s="8">
        <v>29132</v>
      </c>
      <c r="F1326" s="8">
        <v>31000</v>
      </c>
      <c r="G1326" s="8">
        <f t="shared" si="80"/>
        <v>1868</v>
      </c>
      <c r="H1326" s="6">
        <v>40000</v>
      </c>
      <c r="I1326" t="s">
        <v>1647</v>
      </c>
      <c r="J1326" t="s">
        <v>72</v>
      </c>
      <c r="K1326" t="s">
        <v>36</v>
      </c>
      <c r="L1326" t="s">
        <v>73</v>
      </c>
      <c r="M1326" t="s">
        <v>126</v>
      </c>
      <c r="N1326" s="6">
        <v>1</v>
      </c>
      <c r="O1326" t="str">
        <f t="shared" si="81"/>
        <v>Normal</v>
      </c>
      <c r="P1326" t="str">
        <f t="shared" si="82"/>
        <v>Duplicate ID</v>
      </c>
      <c r="Q1326" t="str">
        <f t="shared" si="83"/>
        <v>25,000-30,000</v>
      </c>
      <c r="R1326" s="6">
        <f>IF(COUNTIF($A$2:A1326,A1326)=1,1,0)</f>
        <v>0</v>
      </c>
    </row>
    <row r="1327" spans="1:18" x14ac:dyDescent="0.25">
      <c r="A1327" s="6">
        <v>1104</v>
      </c>
      <c r="B1327" s="7">
        <v>45022</v>
      </c>
      <c r="C1327" t="s">
        <v>40</v>
      </c>
      <c r="D1327" s="6">
        <v>2018</v>
      </c>
      <c r="E1327" s="8">
        <v>17803</v>
      </c>
      <c r="F1327" s="8">
        <v>22000</v>
      </c>
      <c r="G1327" s="8">
        <f t="shared" si="80"/>
        <v>4197</v>
      </c>
      <c r="H1327" s="6">
        <v>120000</v>
      </c>
      <c r="I1327" t="s">
        <v>58</v>
      </c>
      <c r="J1327" t="s">
        <v>35</v>
      </c>
      <c r="K1327" t="s">
        <v>96</v>
      </c>
      <c r="L1327" t="s">
        <v>48</v>
      </c>
      <c r="M1327" t="s">
        <v>45</v>
      </c>
      <c r="N1327" s="6">
        <v>0</v>
      </c>
      <c r="O1327" t="str">
        <f t="shared" si="81"/>
        <v>Normal</v>
      </c>
      <c r="P1327" t="str">
        <f t="shared" si="82"/>
        <v>Duplicate ID</v>
      </c>
      <c r="Q1327" t="str">
        <f t="shared" si="83"/>
        <v>15,000-19,999</v>
      </c>
      <c r="R1327" s="6">
        <f>IF(COUNTIF($A$2:A1327,A1327)=1,1,0)</f>
        <v>0</v>
      </c>
    </row>
    <row r="1328" spans="1:18" x14ac:dyDescent="0.25">
      <c r="A1328" s="6">
        <v>1442</v>
      </c>
      <c r="B1328" s="7">
        <v>44799</v>
      </c>
      <c r="C1328" t="s">
        <v>119</v>
      </c>
      <c r="D1328" s="6"/>
      <c r="E1328" s="8">
        <v>9566</v>
      </c>
      <c r="F1328" s="8">
        <v>15000</v>
      </c>
      <c r="G1328" s="8">
        <f t="shared" si="80"/>
        <v>5434</v>
      </c>
      <c r="H1328" s="6">
        <v>60000</v>
      </c>
      <c r="I1328" t="s">
        <v>41</v>
      </c>
      <c r="J1328" t="s">
        <v>35</v>
      </c>
      <c r="K1328" t="s">
        <v>1647</v>
      </c>
      <c r="L1328" t="s">
        <v>48</v>
      </c>
      <c r="M1328" t="s">
        <v>90</v>
      </c>
      <c r="N1328" s="6">
        <v>3</v>
      </c>
      <c r="O1328" t="str">
        <f t="shared" si="81"/>
        <v>Normal</v>
      </c>
      <c r="P1328" t="str">
        <f t="shared" si="82"/>
        <v>Duplicate ID</v>
      </c>
      <c r="Q1328" t="str">
        <f t="shared" si="83"/>
        <v>5,000-9,999</v>
      </c>
      <c r="R1328" s="6">
        <f>IF(COUNTIF($A$2:A1328,A1328)=1,1,0)</f>
        <v>0</v>
      </c>
    </row>
    <row r="1329" spans="1:18" x14ac:dyDescent="0.25">
      <c r="A1329" s="6">
        <v>1381</v>
      </c>
      <c r="B1329" s="7">
        <v>45072</v>
      </c>
      <c r="C1329" t="s">
        <v>40</v>
      </c>
      <c r="D1329" s="6">
        <v>2014</v>
      </c>
      <c r="E1329" s="8">
        <v>6329</v>
      </c>
      <c r="F1329" s="8">
        <v>9000</v>
      </c>
      <c r="G1329" s="8">
        <f t="shared" si="80"/>
        <v>2671</v>
      </c>
      <c r="H1329" s="6">
        <v>120000</v>
      </c>
      <c r="I1329" t="s">
        <v>69</v>
      </c>
      <c r="J1329" t="s">
        <v>72</v>
      </c>
      <c r="K1329" t="s">
        <v>96</v>
      </c>
      <c r="L1329" t="s">
        <v>100</v>
      </c>
      <c r="M1329" t="s">
        <v>126</v>
      </c>
      <c r="N1329" s="6">
        <v>3</v>
      </c>
      <c r="O1329" t="str">
        <f t="shared" si="81"/>
        <v>Normal</v>
      </c>
      <c r="P1329" t="str">
        <f t="shared" si="82"/>
        <v>Duplicate ID</v>
      </c>
      <c r="Q1329" t="str">
        <f t="shared" si="83"/>
        <v>5,000-9,999</v>
      </c>
      <c r="R1329" s="6">
        <f>IF(COUNTIF($A$2:A1329,A1329)=1,1,0)</f>
        <v>0</v>
      </c>
    </row>
    <row r="1330" spans="1:18" x14ac:dyDescent="0.25">
      <c r="A1330" s="6">
        <v>1383</v>
      </c>
      <c r="B1330" s="7">
        <v>45017</v>
      </c>
      <c r="C1330" t="s">
        <v>1648</v>
      </c>
      <c r="D1330" s="6">
        <v>2018</v>
      </c>
      <c r="E1330" s="8">
        <v>16424</v>
      </c>
      <c r="F1330" s="8">
        <v>22000</v>
      </c>
      <c r="G1330" s="8">
        <f t="shared" si="80"/>
        <v>5576</v>
      </c>
      <c r="H1330" s="6">
        <v>60000</v>
      </c>
      <c r="I1330" t="s">
        <v>58</v>
      </c>
      <c r="J1330" t="s">
        <v>35</v>
      </c>
      <c r="K1330" t="s">
        <v>96</v>
      </c>
      <c r="L1330" t="s">
        <v>54</v>
      </c>
      <c r="M1330" t="s">
        <v>98</v>
      </c>
      <c r="N1330" s="6">
        <v>3</v>
      </c>
      <c r="O1330" t="str">
        <f t="shared" si="81"/>
        <v>Normal</v>
      </c>
      <c r="P1330" t="str">
        <f t="shared" si="82"/>
        <v>Duplicate ID</v>
      </c>
      <c r="Q1330" t="str">
        <f t="shared" si="83"/>
        <v>15,000-19,999</v>
      </c>
      <c r="R1330" s="6">
        <f>IF(COUNTIF($A$2:A1330,A1330)=1,1,0)</f>
        <v>0</v>
      </c>
    </row>
    <row r="1331" spans="1:18" x14ac:dyDescent="0.25">
      <c r="A1331" s="6">
        <v>1127</v>
      </c>
      <c r="B1331" s="7">
        <v>44567</v>
      </c>
      <c r="C1331" t="s">
        <v>32</v>
      </c>
      <c r="D1331" s="6">
        <v>2019</v>
      </c>
      <c r="E1331" s="8">
        <v>23491</v>
      </c>
      <c r="F1331" s="8">
        <v>26000</v>
      </c>
      <c r="G1331" s="8">
        <f t="shared" si="80"/>
        <v>2509</v>
      </c>
      <c r="H1331" s="6">
        <v>25000</v>
      </c>
      <c r="I1331" t="s">
        <v>69</v>
      </c>
      <c r="J1331" t="s">
        <v>72</v>
      </c>
      <c r="K1331" t="s">
        <v>36</v>
      </c>
      <c r="L1331" t="s">
        <v>54</v>
      </c>
      <c r="M1331" t="s">
        <v>98</v>
      </c>
      <c r="N1331" s="6">
        <v>2</v>
      </c>
      <c r="O1331" t="str">
        <f t="shared" si="81"/>
        <v>Normal</v>
      </c>
      <c r="P1331" t="str">
        <f t="shared" si="82"/>
        <v>Duplicate ID</v>
      </c>
      <c r="Q1331" t="str">
        <f t="shared" si="83"/>
        <v>20,000-24,999</v>
      </c>
      <c r="R1331" s="6">
        <f>IF(COUNTIF($A$2:A1331,A1331)=1,1,0)</f>
        <v>0</v>
      </c>
    </row>
    <row r="1332" spans="1:18" x14ac:dyDescent="0.25">
      <c r="A1332" s="6">
        <v>1381</v>
      </c>
      <c r="B1332" s="7">
        <v>44863</v>
      </c>
      <c r="C1332" t="s">
        <v>1648</v>
      </c>
      <c r="D1332" s="6">
        <v>2020</v>
      </c>
      <c r="E1332" s="8">
        <v>14637</v>
      </c>
      <c r="F1332" s="8">
        <v>18000</v>
      </c>
      <c r="G1332" s="8">
        <f t="shared" si="80"/>
        <v>3363</v>
      </c>
      <c r="H1332" s="6">
        <v>80000</v>
      </c>
      <c r="I1332" t="s">
        <v>41</v>
      </c>
      <c r="J1332" t="s">
        <v>35</v>
      </c>
      <c r="K1332" t="s">
        <v>1647</v>
      </c>
      <c r="L1332" t="s">
        <v>100</v>
      </c>
      <c r="M1332" t="s">
        <v>45</v>
      </c>
      <c r="N1332" s="6">
        <v>0</v>
      </c>
      <c r="O1332" t="str">
        <f t="shared" si="81"/>
        <v>Normal</v>
      </c>
      <c r="P1332" t="str">
        <f t="shared" si="82"/>
        <v>Duplicate ID</v>
      </c>
      <c r="Q1332" t="str">
        <f t="shared" si="83"/>
        <v>10,000-14,999</v>
      </c>
      <c r="R1332" s="6">
        <f>IF(COUNTIF($A$2:A1332,A1332)=1,1,0)</f>
        <v>0</v>
      </c>
    </row>
    <row r="1333" spans="1:18" x14ac:dyDescent="0.25">
      <c r="A1333" s="6">
        <v>1223</v>
      </c>
      <c r="B1333" s="7">
        <v>44909</v>
      </c>
      <c r="C1333" t="s">
        <v>1648</v>
      </c>
      <c r="D1333" s="6">
        <v>2015</v>
      </c>
      <c r="E1333" s="8">
        <v>8272</v>
      </c>
      <c r="F1333" s="8">
        <v>12000</v>
      </c>
      <c r="G1333" s="8">
        <f t="shared" si="80"/>
        <v>3728</v>
      </c>
      <c r="H1333" s="6">
        <v>40000</v>
      </c>
      <c r="I1333" t="s">
        <v>41</v>
      </c>
      <c r="J1333" t="s">
        <v>35</v>
      </c>
      <c r="K1333" t="s">
        <v>36</v>
      </c>
      <c r="L1333" t="s">
        <v>48</v>
      </c>
      <c r="M1333" t="s">
        <v>90</v>
      </c>
      <c r="N1333" s="6">
        <v>1</v>
      </c>
      <c r="O1333" t="str">
        <f t="shared" si="81"/>
        <v>Normal</v>
      </c>
      <c r="P1333" t="str">
        <f t="shared" si="82"/>
        <v>Duplicate ID</v>
      </c>
      <c r="Q1333" t="str">
        <f t="shared" si="83"/>
        <v>5,000-9,999</v>
      </c>
      <c r="R1333" s="6">
        <f>IF(COUNTIF($A$2:A1333,A1333)=1,1,0)</f>
        <v>0</v>
      </c>
    </row>
    <row r="1334" spans="1:18" x14ac:dyDescent="0.25">
      <c r="A1334" s="6">
        <v>1474</v>
      </c>
      <c r="B1334" s="7">
        <v>44490</v>
      </c>
      <c r="C1334" t="s">
        <v>40</v>
      </c>
      <c r="D1334" s="6">
        <v>2015</v>
      </c>
      <c r="E1334" s="8">
        <v>24757</v>
      </c>
      <c r="F1334" s="8">
        <v>31000</v>
      </c>
      <c r="G1334" s="8">
        <f t="shared" si="80"/>
        <v>6243</v>
      </c>
      <c r="H1334" s="6">
        <v>25000</v>
      </c>
      <c r="I1334" t="s">
        <v>58</v>
      </c>
      <c r="J1334" t="s">
        <v>1647</v>
      </c>
      <c r="K1334" t="s">
        <v>96</v>
      </c>
      <c r="L1334" t="s">
        <v>1647</v>
      </c>
      <c r="M1334" t="s">
        <v>45</v>
      </c>
      <c r="N1334" s="6">
        <v>2</v>
      </c>
      <c r="O1334" t="str">
        <f t="shared" si="81"/>
        <v>Normal</v>
      </c>
      <c r="P1334" t="str">
        <f t="shared" si="82"/>
        <v>Duplicate ID</v>
      </c>
      <c r="Q1334" t="str">
        <f t="shared" si="83"/>
        <v>20,000-24,999</v>
      </c>
      <c r="R1334" s="6">
        <f>IF(COUNTIF($A$2:A1334,A1334)=1,1,0)</f>
        <v>0</v>
      </c>
    </row>
    <row r="1335" spans="1:18" x14ac:dyDescent="0.25">
      <c r="A1335" s="6">
        <v>1174</v>
      </c>
      <c r="B1335" s="7">
        <v>44822</v>
      </c>
      <c r="C1335" t="s">
        <v>51</v>
      </c>
      <c r="D1335" s="6">
        <v>2016</v>
      </c>
      <c r="E1335" s="8">
        <v>5523</v>
      </c>
      <c r="F1335" s="8">
        <v>12000</v>
      </c>
      <c r="G1335" s="8">
        <f t="shared" si="80"/>
        <v>6477</v>
      </c>
      <c r="H1335" s="6">
        <v>80000</v>
      </c>
      <c r="I1335" t="s">
        <v>69</v>
      </c>
      <c r="J1335" t="s">
        <v>35</v>
      </c>
      <c r="K1335" t="s">
        <v>96</v>
      </c>
      <c r="L1335" t="s">
        <v>73</v>
      </c>
      <c r="M1335" t="s">
        <v>1647</v>
      </c>
      <c r="N1335" s="6">
        <v>2</v>
      </c>
      <c r="O1335" t="str">
        <f t="shared" si="81"/>
        <v>Normal</v>
      </c>
      <c r="P1335" t="str">
        <f t="shared" si="82"/>
        <v>Duplicate ID</v>
      </c>
      <c r="Q1335" t="str">
        <f t="shared" si="83"/>
        <v>5,000-9,999</v>
      </c>
      <c r="R1335" s="6">
        <f>IF(COUNTIF($A$2:A1335,A1335)=1,1,0)</f>
        <v>0</v>
      </c>
    </row>
    <row r="1336" spans="1:18" x14ac:dyDescent="0.25">
      <c r="A1336" s="6">
        <v>1344</v>
      </c>
      <c r="B1336" s="7">
        <v>44309</v>
      </c>
      <c r="C1336" t="s">
        <v>1648</v>
      </c>
      <c r="D1336" s="6">
        <v>2019</v>
      </c>
      <c r="E1336" s="8">
        <v>7455</v>
      </c>
      <c r="F1336" s="8">
        <v>9000</v>
      </c>
      <c r="G1336" s="8">
        <f t="shared" si="80"/>
        <v>1545</v>
      </c>
      <c r="H1336" s="6">
        <v>60000</v>
      </c>
      <c r="I1336" t="s">
        <v>69</v>
      </c>
      <c r="J1336" t="s">
        <v>72</v>
      </c>
      <c r="K1336" t="s">
        <v>1647</v>
      </c>
      <c r="L1336" t="s">
        <v>73</v>
      </c>
      <c r="M1336" t="s">
        <v>45</v>
      </c>
      <c r="N1336" s="6">
        <v>3</v>
      </c>
      <c r="O1336" t="str">
        <f t="shared" si="81"/>
        <v>Normal</v>
      </c>
      <c r="P1336" t="str">
        <f t="shared" si="82"/>
        <v>Duplicate ID</v>
      </c>
      <c r="Q1336" t="str">
        <f t="shared" si="83"/>
        <v>5,000-9,999</v>
      </c>
      <c r="R1336" s="6">
        <f>IF(COUNTIF($A$2:A1336,A1336)=1,1,0)</f>
        <v>0</v>
      </c>
    </row>
    <row r="1337" spans="1:18" x14ac:dyDescent="0.25">
      <c r="A1337" s="6">
        <v>1219</v>
      </c>
      <c r="B1337" s="7">
        <v>44946</v>
      </c>
      <c r="C1337" t="s">
        <v>1648</v>
      </c>
      <c r="D1337" s="6">
        <v>2018</v>
      </c>
      <c r="E1337" s="8">
        <v>15114</v>
      </c>
      <c r="F1337" s="8">
        <v>18000</v>
      </c>
      <c r="G1337" s="8">
        <f t="shared" si="80"/>
        <v>2886</v>
      </c>
      <c r="H1337" s="6">
        <v>60000</v>
      </c>
      <c r="I1337" t="s">
        <v>69</v>
      </c>
      <c r="J1337" t="s">
        <v>35</v>
      </c>
      <c r="K1337" t="s">
        <v>96</v>
      </c>
      <c r="L1337" t="s">
        <v>73</v>
      </c>
      <c r="M1337" t="s">
        <v>45</v>
      </c>
      <c r="N1337" s="6" t="s">
        <v>1647</v>
      </c>
      <c r="O1337" t="str">
        <f t="shared" si="81"/>
        <v>Normal</v>
      </c>
      <c r="P1337" t="str">
        <f t="shared" si="82"/>
        <v>Duplicate ID</v>
      </c>
      <c r="Q1337" t="str">
        <f t="shared" si="83"/>
        <v>15,000-19,999</v>
      </c>
      <c r="R1337" s="6">
        <f>IF(COUNTIF($A$2:A1337,A1337)=1,1,0)</f>
        <v>0</v>
      </c>
    </row>
    <row r="1338" spans="1:18" x14ac:dyDescent="0.25">
      <c r="A1338" s="6">
        <v>1208</v>
      </c>
      <c r="B1338" s="7">
        <v>44789</v>
      </c>
      <c r="C1338" t="s">
        <v>51</v>
      </c>
      <c r="D1338" s="6"/>
      <c r="E1338" s="8">
        <v>27871</v>
      </c>
      <c r="F1338" s="8">
        <v>31000</v>
      </c>
      <c r="G1338" s="8">
        <f t="shared" si="80"/>
        <v>3129</v>
      </c>
      <c r="H1338" s="6">
        <v>25000</v>
      </c>
      <c r="I1338" t="s">
        <v>41</v>
      </c>
      <c r="J1338" t="s">
        <v>35</v>
      </c>
      <c r="K1338" t="s">
        <v>36</v>
      </c>
      <c r="L1338" t="s">
        <v>73</v>
      </c>
      <c r="M1338" t="s">
        <v>1647</v>
      </c>
      <c r="N1338" s="6">
        <v>1</v>
      </c>
      <c r="O1338" t="str">
        <f t="shared" si="81"/>
        <v>Normal</v>
      </c>
      <c r="P1338" t="str">
        <f t="shared" si="82"/>
        <v>Duplicate ID</v>
      </c>
      <c r="Q1338" t="str">
        <f t="shared" si="83"/>
        <v>25,000-30,000</v>
      </c>
      <c r="R1338" s="6">
        <f>IF(COUNTIF($A$2:A1338,A1338)=1,1,0)</f>
        <v>0</v>
      </c>
    </row>
    <row r="1339" spans="1:18" x14ac:dyDescent="0.25">
      <c r="A1339" s="6">
        <v>1533</v>
      </c>
      <c r="B1339" s="7">
        <v>44687</v>
      </c>
      <c r="C1339" t="s">
        <v>1648</v>
      </c>
      <c r="D1339" s="6">
        <v>2015</v>
      </c>
      <c r="E1339" s="8">
        <v>6354</v>
      </c>
      <c r="F1339" s="8">
        <v>9000</v>
      </c>
      <c r="G1339" s="8">
        <f t="shared" si="80"/>
        <v>2646</v>
      </c>
      <c r="H1339" s="6">
        <v>120000</v>
      </c>
      <c r="I1339" t="s">
        <v>41</v>
      </c>
      <c r="J1339" t="s">
        <v>1647</v>
      </c>
      <c r="K1339" t="s">
        <v>96</v>
      </c>
      <c r="L1339" t="s">
        <v>1647</v>
      </c>
      <c r="M1339" t="s">
        <v>1647</v>
      </c>
      <c r="N1339" s="6">
        <v>1</v>
      </c>
      <c r="O1339" t="str">
        <f t="shared" si="81"/>
        <v>Normal</v>
      </c>
      <c r="P1339" t="str">
        <f t="shared" si="82"/>
        <v>Duplicate ID</v>
      </c>
      <c r="Q1339" t="str">
        <f t="shared" si="83"/>
        <v>5,000-9,999</v>
      </c>
      <c r="R1339" s="6">
        <f>IF(COUNTIF($A$2:A1339,A1339)=1,1,0)</f>
        <v>0</v>
      </c>
    </row>
    <row r="1340" spans="1:18" x14ac:dyDescent="0.25">
      <c r="A1340" s="6">
        <v>1201</v>
      </c>
      <c r="B1340" s="7">
        <v>45170</v>
      </c>
      <c r="C1340" t="s">
        <v>40</v>
      </c>
      <c r="D1340" s="6">
        <v>2019</v>
      </c>
      <c r="E1340" s="8">
        <v>6550</v>
      </c>
      <c r="F1340" s="8">
        <v>12000</v>
      </c>
      <c r="G1340" s="8">
        <f t="shared" si="80"/>
        <v>5450</v>
      </c>
      <c r="H1340" s="6">
        <v>60000</v>
      </c>
      <c r="I1340" t="s">
        <v>69</v>
      </c>
      <c r="J1340" t="s">
        <v>35</v>
      </c>
      <c r="K1340" t="s">
        <v>96</v>
      </c>
      <c r="L1340" t="s">
        <v>100</v>
      </c>
      <c r="M1340" t="s">
        <v>126</v>
      </c>
      <c r="N1340" s="6">
        <v>3</v>
      </c>
      <c r="O1340" t="str">
        <f t="shared" si="81"/>
        <v>Normal</v>
      </c>
      <c r="P1340" t="str">
        <f t="shared" si="82"/>
        <v>Unique ID</v>
      </c>
      <c r="Q1340" t="str">
        <f t="shared" si="83"/>
        <v>5,000-9,999</v>
      </c>
      <c r="R1340" s="6">
        <f>IF(COUNTIF($A$2:A1340,A1340)=1,1,0)</f>
        <v>1</v>
      </c>
    </row>
    <row r="1341" spans="1:18" x14ac:dyDescent="0.25">
      <c r="A1341" s="6">
        <v>1231</v>
      </c>
      <c r="B1341" s="7">
        <v>44867</v>
      </c>
      <c r="C1341" t="s">
        <v>51</v>
      </c>
      <c r="D1341" s="6">
        <v>2020</v>
      </c>
      <c r="E1341" s="8">
        <v>19258</v>
      </c>
      <c r="F1341" s="8">
        <v>22000</v>
      </c>
      <c r="G1341" s="8">
        <f t="shared" si="80"/>
        <v>2742</v>
      </c>
      <c r="H1341" s="6">
        <v>120000</v>
      </c>
      <c r="I1341" t="s">
        <v>41</v>
      </c>
      <c r="J1341" t="s">
        <v>1647</v>
      </c>
      <c r="K1341" t="s">
        <v>1647</v>
      </c>
      <c r="L1341" t="s">
        <v>73</v>
      </c>
      <c r="M1341" t="s">
        <v>45</v>
      </c>
      <c r="N1341" s="6">
        <v>3</v>
      </c>
      <c r="O1341" t="str">
        <f t="shared" si="81"/>
        <v>Normal</v>
      </c>
      <c r="P1341" t="str">
        <f t="shared" si="82"/>
        <v>Duplicate ID</v>
      </c>
      <c r="Q1341" t="str">
        <f t="shared" si="83"/>
        <v>15,000-19,999</v>
      </c>
      <c r="R1341" s="6">
        <f>IF(COUNTIF($A$2:A1341,A1341)=1,1,0)</f>
        <v>0</v>
      </c>
    </row>
    <row r="1342" spans="1:18" x14ac:dyDescent="0.25">
      <c r="A1342" s="6">
        <v>1089</v>
      </c>
      <c r="B1342" s="7">
        <v>45213</v>
      </c>
      <c r="C1342" t="s">
        <v>1648</v>
      </c>
      <c r="D1342" s="6">
        <v>2017</v>
      </c>
      <c r="E1342" s="8">
        <v>13875</v>
      </c>
      <c r="F1342" s="8">
        <v>18000</v>
      </c>
      <c r="G1342" s="8">
        <f t="shared" si="80"/>
        <v>4125</v>
      </c>
      <c r="H1342" s="6">
        <v>40000</v>
      </c>
      <c r="I1342" t="s">
        <v>58</v>
      </c>
      <c r="J1342" t="s">
        <v>1647</v>
      </c>
      <c r="K1342" t="s">
        <v>96</v>
      </c>
      <c r="L1342" t="s">
        <v>73</v>
      </c>
      <c r="M1342" t="s">
        <v>45</v>
      </c>
      <c r="N1342" s="6">
        <v>1</v>
      </c>
      <c r="O1342" t="str">
        <f t="shared" si="81"/>
        <v>Normal</v>
      </c>
      <c r="P1342" t="str">
        <f t="shared" si="82"/>
        <v>Duplicate ID</v>
      </c>
      <c r="Q1342" t="str">
        <f t="shared" si="83"/>
        <v>10,000-14,999</v>
      </c>
      <c r="R1342" s="6">
        <f>IF(COUNTIF($A$2:A1342,A1342)=1,1,0)</f>
        <v>0</v>
      </c>
    </row>
    <row r="1343" spans="1:18" x14ac:dyDescent="0.25">
      <c r="A1343" s="6">
        <v>1263</v>
      </c>
      <c r="B1343" s="7">
        <v>45375</v>
      </c>
      <c r="C1343" t="s">
        <v>57</v>
      </c>
      <c r="D1343" s="6">
        <v>2020</v>
      </c>
      <c r="E1343" s="8">
        <v>6048</v>
      </c>
      <c r="F1343" s="8">
        <v>12000</v>
      </c>
      <c r="G1343" s="8">
        <f t="shared" si="80"/>
        <v>5952</v>
      </c>
      <c r="H1343" s="6">
        <v>80000</v>
      </c>
      <c r="I1343" t="s">
        <v>69</v>
      </c>
      <c r="J1343" t="s">
        <v>35</v>
      </c>
      <c r="K1343" t="s">
        <v>1647</v>
      </c>
      <c r="L1343" t="s">
        <v>73</v>
      </c>
      <c r="M1343" t="s">
        <v>126</v>
      </c>
      <c r="N1343" s="6">
        <v>0</v>
      </c>
      <c r="O1343" t="str">
        <f t="shared" si="81"/>
        <v>Normal</v>
      </c>
      <c r="P1343" t="str">
        <f t="shared" si="82"/>
        <v>Duplicate ID</v>
      </c>
      <c r="Q1343" t="str">
        <f t="shared" si="83"/>
        <v>5,000-9,999</v>
      </c>
      <c r="R1343" s="6">
        <f>IF(COUNTIF($A$2:A1343,A1343)=1,1,0)</f>
        <v>1</v>
      </c>
    </row>
    <row r="1344" spans="1:18" x14ac:dyDescent="0.25">
      <c r="A1344" s="6">
        <v>1017</v>
      </c>
      <c r="B1344" s="7">
        <v>45379</v>
      </c>
      <c r="C1344" t="s">
        <v>40</v>
      </c>
      <c r="D1344" s="6">
        <v>2022</v>
      </c>
      <c r="E1344" s="8">
        <v>19134</v>
      </c>
      <c r="F1344" s="8">
        <v>22000</v>
      </c>
      <c r="G1344" s="8">
        <f t="shared" si="80"/>
        <v>2866</v>
      </c>
      <c r="H1344" s="6">
        <v>60000</v>
      </c>
      <c r="I1344" t="s">
        <v>69</v>
      </c>
      <c r="J1344" t="s">
        <v>35</v>
      </c>
      <c r="K1344" t="s">
        <v>36</v>
      </c>
      <c r="L1344" t="s">
        <v>73</v>
      </c>
      <c r="M1344" t="s">
        <v>1647</v>
      </c>
      <c r="N1344" s="6" t="s">
        <v>1647</v>
      </c>
      <c r="O1344" t="str">
        <f t="shared" si="81"/>
        <v>Normal</v>
      </c>
      <c r="P1344" t="str">
        <f t="shared" si="82"/>
        <v>Duplicate ID</v>
      </c>
      <c r="Q1344" t="str">
        <f t="shared" si="83"/>
        <v>15,000-19,999</v>
      </c>
      <c r="R1344" s="6">
        <f>IF(COUNTIF($A$2:A1344,A1344)=1,1,0)</f>
        <v>0</v>
      </c>
    </row>
    <row r="1345" spans="1:18" x14ac:dyDescent="0.25">
      <c r="A1345" s="6">
        <v>1399</v>
      </c>
      <c r="B1345" s="7">
        <v>44800</v>
      </c>
      <c r="C1345" t="s">
        <v>1648</v>
      </c>
      <c r="D1345" s="6">
        <v>2018</v>
      </c>
      <c r="E1345" s="8">
        <v>15606</v>
      </c>
      <c r="F1345" s="8">
        <v>18000</v>
      </c>
      <c r="G1345" s="8">
        <f t="shared" si="80"/>
        <v>2394</v>
      </c>
      <c r="H1345" s="6">
        <v>40000</v>
      </c>
      <c r="I1345" t="s">
        <v>69</v>
      </c>
      <c r="J1345" t="s">
        <v>1647</v>
      </c>
      <c r="K1345" t="s">
        <v>1647</v>
      </c>
      <c r="L1345" t="s">
        <v>48</v>
      </c>
      <c r="M1345" t="s">
        <v>45</v>
      </c>
      <c r="N1345" s="6">
        <v>3</v>
      </c>
      <c r="O1345" t="str">
        <f t="shared" si="81"/>
        <v>Normal</v>
      </c>
      <c r="P1345" t="str">
        <f t="shared" si="82"/>
        <v>Duplicate ID</v>
      </c>
      <c r="Q1345" t="str">
        <f t="shared" si="83"/>
        <v>15,000-19,999</v>
      </c>
      <c r="R1345" s="6">
        <f>IF(COUNTIF($A$2:A1345,A1345)=1,1,0)</f>
        <v>0</v>
      </c>
    </row>
    <row r="1346" spans="1:18" x14ac:dyDescent="0.25">
      <c r="A1346" s="6">
        <v>1356</v>
      </c>
      <c r="B1346" s="7">
        <v>45366</v>
      </c>
      <c r="C1346" t="s">
        <v>57</v>
      </c>
      <c r="D1346" s="6">
        <v>2022</v>
      </c>
      <c r="E1346" s="8">
        <v>18309</v>
      </c>
      <c r="F1346" s="8">
        <v>22000</v>
      </c>
      <c r="G1346" s="8">
        <f t="shared" ref="G1346:G1409" si="84">IF(OR(F1346="",E1346=""),"",F1346-E1346)</f>
        <v>3691</v>
      </c>
      <c r="H1346" s="6">
        <v>60000</v>
      </c>
      <c r="I1346" t="s">
        <v>41</v>
      </c>
      <c r="J1346" t="s">
        <v>1647</v>
      </c>
      <c r="K1346" t="s">
        <v>36</v>
      </c>
      <c r="L1346" t="s">
        <v>100</v>
      </c>
      <c r="M1346" t="s">
        <v>90</v>
      </c>
      <c r="N1346" s="6">
        <v>0</v>
      </c>
      <c r="O1346" t="str">
        <f t="shared" ref="O1346:O1409" si="85">IF(E1346&lt;1000,"Outlier","Normal")</f>
        <v>Normal</v>
      </c>
      <c r="P1346" t="str">
        <f t="shared" ref="P1346:P1409" si="86">IF(COUNTIF($A$2:$A$2501,A1346)&gt;1,"Duplicate ID","Unique ID")</f>
        <v>Duplicate ID</v>
      </c>
      <c r="Q1346" t="str">
        <f t="shared" ref="Q1346:Q1409" si="87">IF(E1346&lt;5000,"0-4,999",IF(E1346&lt;10000,"5,000-9,999",IF(E1346&lt;15000,"10,000-14,999",IF(E1346&lt;20000,"15,000-19,999",IF(E1346&lt;25000,"20,000-24,999","25,000-30,000")))))</f>
        <v>15,000-19,999</v>
      </c>
      <c r="R1346" s="6">
        <f>IF(COUNTIF($A$2:A1346,A1346)=1,1,0)</f>
        <v>0</v>
      </c>
    </row>
    <row r="1347" spans="1:18" x14ac:dyDescent="0.25">
      <c r="A1347" s="6">
        <v>1140</v>
      </c>
      <c r="B1347" s="7">
        <v>44348</v>
      </c>
      <c r="C1347" t="s">
        <v>1648</v>
      </c>
      <c r="D1347" s="6"/>
      <c r="E1347" s="8">
        <v>25587</v>
      </c>
      <c r="F1347" s="8">
        <v>31000</v>
      </c>
      <c r="G1347" s="8">
        <f t="shared" si="84"/>
        <v>5413</v>
      </c>
      <c r="H1347" s="6">
        <v>120000</v>
      </c>
      <c r="I1347" t="s">
        <v>1647</v>
      </c>
      <c r="J1347" t="s">
        <v>35</v>
      </c>
      <c r="K1347" t="s">
        <v>96</v>
      </c>
      <c r="L1347" t="s">
        <v>73</v>
      </c>
      <c r="M1347" t="s">
        <v>45</v>
      </c>
      <c r="N1347" s="6" t="s">
        <v>1647</v>
      </c>
      <c r="O1347" t="str">
        <f t="shared" si="85"/>
        <v>Normal</v>
      </c>
      <c r="P1347" t="str">
        <f t="shared" si="86"/>
        <v>Duplicate ID</v>
      </c>
      <c r="Q1347" t="str">
        <f t="shared" si="87"/>
        <v>25,000-30,000</v>
      </c>
      <c r="R1347" s="6">
        <f>IF(COUNTIF($A$2:A1347,A1347)=1,1,0)</f>
        <v>1</v>
      </c>
    </row>
    <row r="1348" spans="1:18" x14ac:dyDescent="0.25">
      <c r="A1348" s="6">
        <v>1435</v>
      </c>
      <c r="B1348" s="7">
        <v>44619</v>
      </c>
      <c r="C1348" t="s">
        <v>51</v>
      </c>
      <c r="D1348" s="6">
        <v>2018</v>
      </c>
      <c r="E1348" s="8">
        <v>18822</v>
      </c>
      <c r="F1348" s="8">
        <v>22000</v>
      </c>
      <c r="G1348" s="8">
        <f t="shared" si="84"/>
        <v>3178</v>
      </c>
      <c r="H1348" s="6">
        <v>15000</v>
      </c>
      <c r="I1348" t="s">
        <v>34</v>
      </c>
      <c r="J1348" t="s">
        <v>1647</v>
      </c>
      <c r="K1348" t="s">
        <v>36</v>
      </c>
      <c r="L1348" t="s">
        <v>73</v>
      </c>
      <c r="M1348" t="s">
        <v>90</v>
      </c>
      <c r="N1348" s="6">
        <v>1</v>
      </c>
      <c r="O1348" t="str">
        <f t="shared" si="85"/>
        <v>Normal</v>
      </c>
      <c r="P1348" t="str">
        <f t="shared" si="86"/>
        <v>Duplicate ID</v>
      </c>
      <c r="Q1348" t="str">
        <f t="shared" si="87"/>
        <v>15,000-19,999</v>
      </c>
      <c r="R1348" s="6">
        <f>IF(COUNTIF($A$2:A1348,A1348)=1,1,0)</f>
        <v>0</v>
      </c>
    </row>
    <row r="1349" spans="1:18" x14ac:dyDescent="0.25">
      <c r="A1349" s="6">
        <v>1083</v>
      </c>
      <c r="B1349" s="7">
        <v>44430</v>
      </c>
      <c r="C1349" t="s">
        <v>40</v>
      </c>
      <c r="D1349" s="6">
        <v>2017</v>
      </c>
      <c r="E1349" s="8">
        <v>16607</v>
      </c>
      <c r="F1349" s="8">
        <v>22000</v>
      </c>
      <c r="G1349" s="8">
        <f t="shared" si="84"/>
        <v>5393</v>
      </c>
      <c r="H1349" s="6">
        <v>60000</v>
      </c>
      <c r="I1349" t="s">
        <v>41</v>
      </c>
      <c r="J1349" t="s">
        <v>72</v>
      </c>
      <c r="K1349" t="s">
        <v>96</v>
      </c>
      <c r="L1349" t="s">
        <v>73</v>
      </c>
      <c r="M1349" t="s">
        <v>126</v>
      </c>
      <c r="N1349" s="6" t="s">
        <v>1647</v>
      </c>
      <c r="O1349" t="str">
        <f t="shared" si="85"/>
        <v>Normal</v>
      </c>
      <c r="P1349" t="str">
        <f t="shared" si="86"/>
        <v>Duplicate ID</v>
      </c>
      <c r="Q1349" t="str">
        <f t="shared" si="87"/>
        <v>15,000-19,999</v>
      </c>
      <c r="R1349" s="6">
        <f>IF(COUNTIF($A$2:A1349,A1349)=1,1,0)</f>
        <v>0</v>
      </c>
    </row>
    <row r="1350" spans="1:18" x14ac:dyDescent="0.25">
      <c r="A1350" s="6">
        <v>1379</v>
      </c>
      <c r="B1350" s="7">
        <v>44293</v>
      </c>
      <c r="C1350" t="s">
        <v>57</v>
      </c>
      <c r="D1350" s="6">
        <v>2015</v>
      </c>
      <c r="E1350" s="8">
        <v>25273</v>
      </c>
      <c r="F1350" s="8">
        <v>31000</v>
      </c>
      <c r="G1350" s="8">
        <f t="shared" si="84"/>
        <v>5727</v>
      </c>
      <c r="H1350" s="6">
        <v>60000</v>
      </c>
      <c r="I1350" t="s">
        <v>34</v>
      </c>
      <c r="J1350" t="s">
        <v>1647</v>
      </c>
      <c r="K1350" t="s">
        <v>36</v>
      </c>
      <c r="L1350" t="s">
        <v>100</v>
      </c>
      <c r="M1350" t="s">
        <v>45</v>
      </c>
      <c r="N1350" s="6">
        <v>0</v>
      </c>
      <c r="O1350" t="str">
        <f t="shared" si="85"/>
        <v>Normal</v>
      </c>
      <c r="P1350" t="str">
        <f t="shared" si="86"/>
        <v>Duplicate ID</v>
      </c>
      <c r="Q1350" t="str">
        <f t="shared" si="87"/>
        <v>25,000-30,000</v>
      </c>
      <c r="R1350" s="6">
        <f>IF(COUNTIF($A$2:A1350,A1350)=1,1,0)</f>
        <v>0</v>
      </c>
    </row>
    <row r="1351" spans="1:18" x14ac:dyDescent="0.25">
      <c r="A1351" s="6">
        <v>1326</v>
      </c>
      <c r="B1351" s="7">
        <v>44221</v>
      </c>
      <c r="C1351" t="s">
        <v>51</v>
      </c>
      <c r="D1351" s="6">
        <v>2022</v>
      </c>
      <c r="E1351" s="8">
        <v>2194</v>
      </c>
      <c r="F1351" s="8">
        <v>7000</v>
      </c>
      <c r="G1351" s="8">
        <f t="shared" si="84"/>
        <v>4806</v>
      </c>
      <c r="H1351" s="6">
        <v>120000</v>
      </c>
      <c r="I1351" t="s">
        <v>41</v>
      </c>
      <c r="J1351" t="s">
        <v>35</v>
      </c>
      <c r="K1351" t="s">
        <v>1647</v>
      </c>
      <c r="L1351" t="s">
        <v>100</v>
      </c>
      <c r="M1351" t="s">
        <v>126</v>
      </c>
      <c r="N1351" s="6">
        <v>0</v>
      </c>
      <c r="O1351" t="str">
        <f t="shared" si="85"/>
        <v>Normal</v>
      </c>
      <c r="P1351" t="str">
        <f t="shared" si="86"/>
        <v>Duplicate ID</v>
      </c>
      <c r="Q1351" t="str">
        <f t="shared" si="87"/>
        <v>0-4,999</v>
      </c>
      <c r="R1351" s="6">
        <f>IF(COUNTIF($A$2:A1351,A1351)=1,1,0)</f>
        <v>0</v>
      </c>
    </row>
    <row r="1352" spans="1:18" x14ac:dyDescent="0.25">
      <c r="A1352" s="6">
        <v>1137</v>
      </c>
      <c r="B1352" s="7">
        <v>44826</v>
      </c>
      <c r="C1352" t="s">
        <v>119</v>
      </c>
      <c r="D1352" s="6">
        <v>2022</v>
      </c>
      <c r="E1352" s="8">
        <v>7115</v>
      </c>
      <c r="F1352" s="8">
        <v>12000</v>
      </c>
      <c r="G1352" s="8">
        <f t="shared" si="84"/>
        <v>4885</v>
      </c>
      <c r="H1352" s="6">
        <v>80000</v>
      </c>
      <c r="I1352" t="s">
        <v>34</v>
      </c>
      <c r="J1352" t="s">
        <v>35</v>
      </c>
      <c r="K1352" t="s">
        <v>1647</v>
      </c>
      <c r="L1352" t="s">
        <v>73</v>
      </c>
      <c r="M1352" t="s">
        <v>1647</v>
      </c>
      <c r="N1352" s="6">
        <v>2</v>
      </c>
      <c r="O1352" t="str">
        <f t="shared" si="85"/>
        <v>Normal</v>
      </c>
      <c r="P1352" t="str">
        <f t="shared" si="86"/>
        <v>Duplicate ID</v>
      </c>
      <c r="Q1352" t="str">
        <f t="shared" si="87"/>
        <v>5,000-9,999</v>
      </c>
      <c r="R1352" s="6">
        <f>IF(COUNTIF($A$2:A1352,A1352)=1,1,0)</f>
        <v>0</v>
      </c>
    </row>
    <row r="1353" spans="1:18" x14ac:dyDescent="0.25">
      <c r="A1353" s="6">
        <v>1062</v>
      </c>
      <c r="B1353" s="7">
        <v>44868</v>
      </c>
      <c r="C1353" t="s">
        <v>32</v>
      </c>
      <c r="D1353" s="6">
        <v>2022</v>
      </c>
      <c r="E1353" s="8">
        <v>5679</v>
      </c>
      <c r="F1353" s="8">
        <v>9000</v>
      </c>
      <c r="G1353" s="8">
        <f t="shared" si="84"/>
        <v>3321</v>
      </c>
      <c r="H1353" s="6">
        <v>15000</v>
      </c>
      <c r="I1353" t="s">
        <v>58</v>
      </c>
      <c r="J1353" t="s">
        <v>72</v>
      </c>
      <c r="K1353" t="s">
        <v>36</v>
      </c>
      <c r="L1353" t="s">
        <v>54</v>
      </c>
      <c r="M1353" t="s">
        <v>1647</v>
      </c>
      <c r="N1353" s="6">
        <v>3</v>
      </c>
      <c r="O1353" t="str">
        <f t="shared" si="85"/>
        <v>Normal</v>
      </c>
      <c r="P1353" t="str">
        <f t="shared" si="86"/>
        <v>Duplicate ID</v>
      </c>
      <c r="Q1353" t="str">
        <f t="shared" si="87"/>
        <v>5,000-9,999</v>
      </c>
      <c r="R1353" s="6">
        <f>IF(COUNTIF($A$2:A1353,A1353)=1,1,0)</f>
        <v>0</v>
      </c>
    </row>
    <row r="1354" spans="1:18" x14ac:dyDescent="0.25">
      <c r="A1354" s="6">
        <v>1222</v>
      </c>
      <c r="B1354" s="7">
        <v>44358</v>
      </c>
      <c r="C1354" t="s">
        <v>57</v>
      </c>
      <c r="D1354" s="6">
        <v>2020</v>
      </c>
      <c r="E1354" s="8">
        <v>21397</v>
      </c>
      <c r="F1354" s="8">
        <v>26000</v>
      </c>
      <c r="G1354" s="8">
        <f t="shared" si="84"/>
        <v>4603</v>
      </c>
      <c r="H1354" s="6">
        <v>25000</v>
      </c>
      <c r="I1354" t="s">
        <v>58</v>
      </c>
      <c r="J1354" t="s">
        <v>35</v>
      </c>
      <c r="K1354" t="s">
        <v>96</v>
      </c>
      <c r="L1354" t="s">
        <v>100</v>
      </c>
      <c r="M1354" t="s">
        <v>126</v>
      </c>
      <c r="N1354" s="6">
        <v>0</v>
      </c>
      <c r="O1354" t="str">
        <f t="shared" si="85"/>
        <v>Normal</v>
      </c>
      <c r="P1354" t="str">
        <f t="shared" si="86"/>
        <v>Duplicate ID</v>
      </c>
      <c r="Q1354" t="str">
        <f t="shared" si="87"/>
        <v>20,000-24,999</v>
      </c>
      <c r="R1354" s="6">
        <f>IF(COUNTIF($A$2:A1354,A1354)=1,1,0)</f>
        <v>1</v>
      </c>
    </row>
    <row r="1355" spans="1:18" x14ac:dyDescent="0.25">
      <c r="A1355" s="6">
        <v>1298</v>
      </c>
      <c r="B1355" s="7">
        <v>44948</v>
      </c>
      <c r="C1355" t="s">
        <v>51</v>
      </c>
      <c r="D1355" s="6">
        <v>2022</v>
      </c>
      <c r="E1355" s="8">
        <v>20260</v>
      </c>
      <c r="F1355" s="8">
        <v>22000</v>
      </c>
      <c r="G1355" s="8">
        <f t="shared" si="84"/>
        <v>1740</v>
      </c>
      <c r="H1355" s="6">
        <v>60000</v>
      </c>
      <c r="I1355" t="s">
        <v>34</v>
      </c>
      <c r="J1355" t="s">
        <v>72</v>
      </c>
      <c r="K1355" t="s">
        <v>36</v>
      </c>
      <c r="L1355" t="s">
        <v>48</v>
      </c>
      <c r="M1355" t="s">
        <v>90</v>
      </c>
      <c r="N1355" s="6">
        <v>2</v>
      </c>
      <c r="O1355" t="str">
        <f t="shared" si="85"/>
        <v>Normal</v>
      </c>
      <c r="P1355" t="str">
        <f t="shared" si="86"/>
        <v>Duplicate ID</v>
      </c>
      <c r="Q1355" t="str">
        <f t="shared" si="87"/>
        <v>20,000-24,999</v>
      </c>
      <c r="R1355" s="6">
        <f>IF(COUNTIF($A$2:A1355,A1355)=1,1,0)</f>
        <v>0</v>
      </c>
    </row>
    <row r="1356" spans="1:18" x14ac:dyDescent="0.25">
      <c r="A1356" s="6">
        <v>1402</v>
      </c>
      <c r="B1356" s="7">
        <v>44701</v>
      </c>
      <c r="C1356" t="s">
        <v>79</v>
      </c>
      <c r="D1356" s="6">
        <v>2015</v>
      </c>
      <c r="E1356" s="8">
        <v>5623</v>
      </c>
      <c r="F1356" s="8">
        <v>9000</v>
      </c>
      <c r="G1356" s="8">
        <f t="shared" si="84"/>
        <v>3377</v>
      </c>
      <c r="H1356" s="6">
        <v>60000</v>
      </c>
      <c r="I1356" t="s">
        <v>58</v>
      </c>
      <c r="J1356" t="s">
        <v>72</v>
      </c>
      <c r="K1356" t="s">
        <v>96</v>
      </c>
      <c r="L1356" t="s">
        <v>100</v>
      </c>
      <c r="M1356" t="s">
        <v>98</v>
      </c>
      <c r="N1356" s="6">
        <v>0</v>
      </c>
      <c r="O1356" t="str">
        <f t="shared" si="85"/>
        <v>Normal</v>
      </c>
      <c r="P1356" t="str">
        <f t="shared" si="86"/>
        <v>Duplicate ID</v>
      </c>
      <c r="Q1356" t="str">
        <f t="shared" si="87"/>
        <v>5,000-9,999</v>
      </c>
      <c r="R1356" s="6">
        <f>IF(COUNTIF($A$2:A1356,A1356)=1,1,0)</f>
        <v>0</v>
      </c>
    </row>
    <row r="1357" spans="1:18" x14ac:dyDescent="0.25">
      <c r="A1357" s="6">
        <v>1004</v>
      </c>
      <c r="B1357" s="7">
        <v>45036</v>
      </c>
      <c r="C1357" t="s">
        <v>57</v>
      </c>
      <c r="D1357" s="6">
        <v>2022</v>
      </c>
      <c r="E1357" s="8">
        <v>21902</v>
      </c>
      <c r="F1357" s="8">
        <v>26000</v>
      </c>
      <c r="G1357" s="8">
        <f t="shared" si="84"/>
        <v>4098</v>
      </c>
      <c r="H1357" s="6">
        <v>120000</v>
      </c>
      <c r="I1357" t="s">
        <v>41</v>
      </c>
      <c r="J1357" t="s">
        <v>72</v>
      </c>
      <c r="K1357" t="s">
        <v>96</v>
      </c>
      <c r="L1357" t="s">
        <v>54</v>
      </c>
      <c r="M1357" t="s">
        <v>126</v>
      </c>
      <c r="N1357" s="6">
        <v>3</v>
      </c>
      <c r="O1357" t="str">
        <f t="shared" si="85"/>
        <v>Normal</v>
      </c>
      <c r="P1357" t="str">
        <f t="shared" si="86"/>
        <v>Duplicate ID</v>
      </c>
      <c r="Q1357" t="str">
        <f t="shared" si="87"/>
        <v>20,000-24,999</v>
      </c>
      <c r="R1357" s="6">
        <f>IF(COUNTIF($A$2:A1357,A1357)=1,1,0)</f>
        <v>0</v>
      </c>
    </row>
    <row r="1358" spans="1:18" x14ac:dyDescent="0.25">
      <c r="A1358" s="6">
        <v>1331</v>
      </c>
      <c r="B1358" s="7">
        <v>45142</v>
      </c>
      <c r="C1358" t="s">
        <v>40</v>
      </c>
      <c r="D1358" s="6">
        <v>2014</v>
      </c>
      <c r="E1358" s="8">
        <v>2294</v>
      </c>
      <c r="F1358" s="8">
        <v>9000</v>
      </c>
      <c r="G1358" s="8">
        <f t="shared" si="84"/>
        <v>6706</v>
      </c>
      <c r="H1358" s="6">
        <v>80000</v>
      </c>
      <c r="I1358" t="s">
        <v>69</v>
      </c>
      <c r="J1358" t="s">
        <v>72</v>
      </c>
      <c r="K1358" t="s">
        <v>96</v>
      </c>
      <c r="L1358" t="s">
        <v>73</v>
      </c>
      <c r="M1358" t="s">
        <v>45</v>
      </c>
      <c r="N1358" s="6">
        <v>0</v>
      </c>
      <c r="O1358" t="str">
        <f t="shared" si="85"/>
        <v>Normal</v>
      </c>
      <c r="P1358" t="str">
        <f t="shared" si="86"/>
        <v>Duplicate ID</v>
      </c>
      <c r="Q1358" t="str">
        <f t="shared" si="87"/>
        <v>0-4,999</v>
      </c>
      <c r="R1358" s="6">
        <f>IF(COUNTIF($A$2:A1358,A1358)=1,1,0)</f>
        <v>1</v>
      </c>
    </row>
    <row r="1359" spans="1:18" x14ac:dyDescent="0.25">
      <c r="A1359" s="6">
        <v>1008</v>
      </c>
      <c r="B1359" s="7">
        <v>44635</v>
      </c>
      <c r="C1359" t="s">
        <v>40</v>
      </c>
      <c r="D1359" s="6">
        <v>2017</v>
      </c>
      <c r="E1359" s="8">
        <v>1983</v>
      </c>
      <c r="F1359" s="8">
        <v>7000</v>
      </c>
      <c r="G1359" s="8">
        <f t="shared" si="84"/>
        <v>5017</v>
      </c>
      <c r="H1359" s="6">
        <v>25000</v>
      </c>
      <c r="I1359" t="s">
        <v>58</v>
      </c>
      <c r="J1359" t="s">
        <v>1647</v>
      </c>
      <c r="K1359" t="s">
        <v>36</v>
      </c>
      <c r="L1359" t="s">
        <v>54</v>
      </c>
      <c r="M1359" t="s">
        <v>45</v>
      </c>
      <c r="N1359" s="6">
        <v>2</v>
      </c>
      <c r="O1359" t="str">
        <f t="shared" si="85"/>
        <v>Normal</v>
      </c>
      <c r="P1359" t="str">
        <f t="shared" si="86"/>
        <v>Duplicate ID</v>
      </c>
      <c r="Q1359" t="str">
        <f t="shared" si="87"/>
        <v>0-4,999</v>
      </c>
      <c r="R1359" s="6">
        <f>IF(COUNTIF($A$2:A1359,A1359)=1,1,0)</f>
        <v>0</v>
      </c>
    </row>
    <row r="1360" spans="1:18" x14ac:dyDescent="0.25">
      <c r="A1360" s="6">
        <v>1022</v>
      </c>
      <c r="B1360" s="7">
        <v>44629</v>
      </c>
      <c r="C1360" t="s">
        <v>1648</v>
      </c>
      <c r="D1360" s="6">
        <v>2015</v>
      </c>
      <c r="E1360" s="8">
        <v>11404</v>
      </c>
      <c r="F1360" s="8">
        <v>15000</v>
      </c>
      <c r="G1360" s="8">
        <f t="shared" si="84"/>
        <v>3596</v>
      </c>
      <c r="H1360" s="6">
        <v>80000</v>
      </c>
      <c r="I1360" t="s">
        <v>1647</v>
      </c>
      <c r="J1360" t="s">
        <v>72</v>
      </c>
      <c r="K1360" t="s">
        <v>96</v>
      </c>
      <c r="L1360" t="s">
        <v>73</v>
      </c>
      <c r="M1360" t="s">
        <v>90</v>
      </c>
      <c r="N1360" s="6">
        <v>1</v>
      </c>
      <c r="O1360" t="str">
        <f t="shared" si="85"/>
        <v>Normal</v>
      </c>
      <c r="P1360" t="str">
        <f t="shared" si="86"/>
        <v>Duplicate ID</v>
      </c>
      <c r="Q1360" t="str">
        <f t="shared" si="87"/>
        <v>10,000-14,999</v>
      </c>
      <c r="R1360" s="6">
        <f>IF(COUNTIF($A$2:A1360,A1360)=1,1,0)</f>
        <v>0</v>
      </c>
    </row>
    <row r="1361" spans="1:18" x14ac:dyDescent="0.25">
      <c r="A1361" s="6">
        <v>1114</v>
      </c>
      <c r="B1361" s="7">
        <v>44915</v>
      </c>
      <c r="C1361" t="s">
        <v>119</v>
      </c>
      <c r="D1361" s="6"/>
      <c r="E1361" s="8">
        <v>27380</v>
      </c>
      <c r="F1361" s="8">
        <v>31000</v>
      </c>
      <c r="G1361" s="8">
        <f t="shared" si="84"/>
        <v>3620</v>
      </c>
      <c r="H1361" s="6">
        <v>40000</v>
      </c>
      <c r="I1361" t="s">
        <v>69</v>
      </c>
      <c r="J1361" t="s">
        <v>1647</v>
      </c>
      <c r="K1361" t="s">
        <v>96</v>
      </c>
      <c r="L1361" t="s">
        <v>100</v>
      </c>
      <c r="M1361" t="s">
        <v>98</v>
      </c>
      <c r="N1361" s="6">
        <v>0</v>
      </c>
      <c r="O1361" t="str">
        <f t="shared" si="85"/>
        <v>Normal</v>
      </c>
      <c r="P1361" t="str">
        <f t="shared" si="86"/>
        <v>Duplicate ID</v>
      </c>
      <c r="Q1361" t="str">
        <f t="shared" si="87"/>
        <v>25,000-30,000</v>
      </c>
      <c r="R1361" s="6">
        <f>IF(COUNTIF($A$2:A1361,A1361)=1,1,0)</f>
        <v>0</v>
      </c>
    </row>
    <row r="1362" spans="1:18" x14ac:dyDescent="0.25">
      <c r="A1362" s="6">
        <v>1566</v>
      </c>
      <c r="B1362" s="7">
        <v>45067</v>
      </c>
      <c r="C1362" t="s">
        <v>1648</v>
      </c>
      <c r="D1362" s="6">
        <v>2018</v>
      </c>
      <c r="E1362" s="8">
        <v>8743</v>
      </c>
      <c r="F1362" s="8">
        <v>15000</v>
      </c>
      <c r="G1362" s="8">
        <f t="shared" si="84"/>
        <v>6257</v>
      </c>
      <c r="H1362" s="6">
        <v>15000</v>
      </c>
      <c r="I1362" t="s">
        <v>34</v>
      </c>
      <c r="J1362" t="s">
        <v>72</v>
      </c>
      <c r="K1362" t="s">
        <v>36</v>
      </c>
      <c r="L1362" t="s">
        <v>100</v>
      </c>
      <c r="M1362" t="s">
        <v>45</v>
      </c>
      <c r="N1362" s="6">
        <v>1</v>
      </c>
      <c r="O1362" t="str">
        <f t="shared" si="85"/>
        <v>Normal</v>
      </c>
      <c r="P1362" t="str">
        <f t="shared" si="86"/>
        <v>Duplicate ID</v>
      </c>
      <c r="Q1362" t="str">
        <f t="shared" si="87"/>
        <v>5,000-9,999</v>
      </c>
      <c r="R1362" s="6">
        <f>IF(COUNTIF($A$2:A1362,A1362)=1,1,0)</f>
        <v>0</v>
      </c>
    </row>
    <row r="1363" spans="1:18" x14ac:dyDescent="0.25">
      <c r="A1363" s="6">
        <v>1453</v>
      </c>
      <c r="B1363" s="7">
        <v>45159</v>
      </c>
      <c r="C1363" t="s">
        <v>40</v>
      </c>
      <c r="D1363" s="6">
        <v>2022</v>
      </c>
      <c r="E1363" s="8">
        <v>25508</v>
      </c>
      <c r="F1363" s="8">
        <v>31000</v>
      </c>
      <c r="G1363" s="8">
        <f t="shared" si="84"/>
        <v>5492</v>
      </c>
      <c r="H1363" s="6">
        <v>25000</v>
      </c>
      <c r="I1363" t="s">
        <v>58</v>
      </c>
      <c r="J1363" t="s">
        <v>35</v>
      </c>
      <c r="K1363" t="s">
        <v>96</v>
      </c>
      <c r="L1363" t="s">
        <v>54</v>
      </c>
      <c r="M1363" t="s">
        <v>98</v>
      </c>
      <c r="N1363" s="6">
        <v>3</v>
      </c>
      <c r="O1363" t="str">
        <f t="shared" si="85"/>
        <v>Normal</v>
      </c>
      <c r="P1363" t="str">
        <f t="shared" si="86"/>
        <v>Duplicate ID</v>
      </c>
      <c r="Q1363" t="str">
        <f t="shared" si="87"/>
        <v>25,000-30,000</v>
      </c>
      <c r="R1363" s="6">
        <f>IF(COUNTIF($A$2:A1363,A1363)=1,1,0)</f>
        <v>0</v>
      </c>
    </row>
    <row r="1364" spans="1:18" x14ac:dyDescent="0.25">
      <c r="A1364" s="6">
        <v>1012</v>
      </c>
      <c r="B1364" s="7">
        <v>44214</v>
      </c>
      <c r="C1364" t="s">
        <v>40</v>
      </c>
      <c r="D1364" s="6">
        <v>2018</v>
      </c>
      <c r="E1364" s="8">
        <v>2123</v>
      </c>
      <c r="F1364" s="8">
        <v>9000</v>
      </c>
      <c r="G1364" s="8">
        <f t="shared" si="84"/>
        <v>6877</v>
      </c>
      <c r="H1364" s="6">
        <v>25000</v>
      </c>
      <c r="I1364" t="s">
        <v>58</v>
      </c>
      <c r="J1364" t="s">
        <v>1647</v>
      </c>
      <c r="K1364" t="s">
        <v>96</v>
      </c>
      <c r="L1364" t="s">
        <v>73</v>
      </c>
      <c r="M1364" t="s">
        <v>90</v>
      </c>
      <c r="N1364" s="6" t="s">
        <v>1647</v>
      </c>
      <c r="O1364" t="str">
        <f t="shared" si="85"/>
        <v>Normal</v>
      </c>
      <c r="P1364" t="str">
        <f t="shared" si="86"/>
        <v>Duplicate ID</v>
      </c>
      <c r="Q1364" t="str">
        <f t="shared" si="87"/>
        <v>0-4,999</v>
      </c>
      <c r="R1364" s="6">
        <f>IF(COUNTIF($A$2:A1364,A1364)=1,1,0)</f>
        <v>0</v>
      </c>
    </row>
    <row r="1365" spans="1:18" x14ac:dyDescent="0.25">
      <c r="A1365" s="6">
        <v>1040</v>
      </c>
      <c r="B1365" s="7">
        <v>44538</v>
      </c>
      <c r="C1365" t="s">
        <v>32</v>
      </c>
      <c r="D1365" s="6">
        <v>2020</v>
      </c>
      <c r="E1365" s="8">
        <v>8834</v>
      </c>
      <c r="F1365" s="8">
        <v>12000</v>
      </c>
      <c r="G1365" s="8">
        <f t="shared" si="84"/>
        <v>3166</v>
      </c>
      <c r="H1365" s="6">
        <v>40000</v>
      </c>
      <c r="I1365" t="s">
        <v>58</v>
      </c>
      <c r="J1365" t="s">
        <v>35</v>
      </c>
      <c r="K1365" t="s">
        <v>1647</v>
      </c>
      <c r="L1365" t="s">
        <v>73</v>
      </c>
      <c r="M1365" t="s">
        <v>45</v>
      </c>
      <c r="N1365" s="6">
        <v>3</v>
      </c>
      <c r="O1365" t="str">
        <f t="shared" si="85"/>
        <v>Normal</v>
      </c>
      <c r="P1365" t="str">
        <f t="shared" si="86"/>
        <v>Duplicate ID</v>
      </c>
      <c r="Q1365" t="str">
        <f t="shared" si="87"/>
        <v>5,000-9,999</v>
      </c>
      <c r="R1365" s="6">
        <f>IF(COUNTIF($A$2:A1365,A1365)=1,1,0)</f>
        <v>0</v>
      </c>
    </row>
    <row r="1366" spans="1:18" x14ac:dyDescent="0.25">
      <c r="A1366" s="6">
        <v>1020</v>
      </c>
      <c r="B1366" s="7">
        <v>44332</v>
      </c>
      <c r="C1366" t="s">
        <v>1648</v>
      </c>
      <c r="D1366" s="6">
        <v>2016</v>
      </c>
      <c r="E1366" s="8">
        <v>3711</v>
      </c>
      <c r="F1366" s="8">
        <v>7000</v>
      </c>
      <c r="G1366" s="8">
        <f t="shared" si="84"/>
        <v>3289</v>
      </c>
      <c r="H1366" s="6">
        <v>40000</v>
      </c>
      <c r="I1366" t="s">
        <v>69</v>
      </c>
      <c r="J1366" t="s">
        <v>35</v>
      </c>
      <c r="K1366" t="s">
        <v>1647</v>
      </c>
      <c r="L1366" t="s">
        <v>100</v>
      </c>
      <c r="M1366" t="s">
        <v>90</v>
      </c>
      <c r="N1366" s="6">
        <v>2</v>
      </c>
      <c r="O1366" t="str">
        <f t="shared" si="85"/>
        <v>Normal</v>
      </c>
      <c r="P1366" t="str">
        <f t="shared" si="86"/>
        <v>Duplicate ID</v>
      </c>
      <c r="Q1366" t="str">
        <f t="shared" si="87"/>
        <v>0-4,999</v>
      </c>
      <c r="R1366" s="6">
        <f>IF(COUNTIF($A$2:A1366,A1366)=1,1,0)</f>
        <v>1</v>
      </c>
    </row>
    <row r="1367" spans="1:18" x14ac:dyDescent="0.25">
      <c r="A1367" s="6">
        <v>1316</v>
      </c>
      <c r="B1367" s="7">
        <v>45185</v>
      </c>
      <c r="C1367" t="s">
        <v>79</v>
      </c>
      <c r="D1367" s="6">
        <v>2017</v>
      </c>
      <c r="E1367" s="8">
        <v>2910</v>
      </c>
      <c r="F1367" s="8">
        <v>9000</v>
      </c>
      <c r="G1367" s="8">
        <f t="shared" si="84"/>
        <v>6090</v>
      </c>
      <c r="H1367" s="6">
        <v>15000</v>
      </c>
      <c r="I1367" t="s">
        <v>69</v>
      </c>
      <c r="J1367" t="s">
        <v>1647</v>
      </c>
      <c r="K1367" t="s">
        <v>96</v>
      </c>
      <c r="L1367" t="s">
        <v>73</v>
      </c>
      <c r="M1367" t="s">
        <v>1647</v>
      </c>
      <c r="N1367" s="6">
        <v>3</v>
      </c>
      <c r="O1367" t="str">
        <f t="shared" si="85"/>
        <v>Normal</v>
      </c>
      <c r="P1367" t="str">
        <f t="shared" si="86"/>
        <v>Duplicate ID</v>
      </c>
      <c r="Q1367" t="str">
        <f t="shared" si="87"/>
        <v>0-4,999</v>
      </c>
      <c r="R1367" s="6">
        <f>IF(COUNTIF($A$2:A1367,A1367)=1,1,0)</f>
        <v>0</v>
      </c>
    </row>
    <row r="1368" spans="1:18" x14ac:dyDescent="0.25">
      <c r="A1368" s="6">
        <v>1187</v>
      </c>
      <c r="B1368" s="7">
        <v>44616</v>
      </c>
      <c r="C1368" t="s">
        <v>32</v>
      </c>
      <c r="D1368" s="6">
        <v>2020</v>
      </c>
      <c r="E1368" s="8">
        <v>13667</v>
      </c>
      <c r="F1368" s="8">
        <v>18000</v>
      </c>
      <c r="G1368" s="8">
        <f t="shared" si="84"/>
        <v>4333</v>
      </c>
      <c r="H1368" s="6">
        <v>80000</v>
      </c>
      <c r="I1368" t="s">
        <v>69</v>
      </c>
      <c r="J1368" t="s">
        <v>35</v>
      </c>
      <c r="K1368" t="s">
        <v>36</v>
      </c>
      <c r="L1368" t="s">
        <v>54</v>
      </c>
      <c r="M1368" t="s">
        <v>126</v>
      </c>
      <c r="N1368" s="6">
        <v>2</v>
      </c>
      <c r="O1368" t="str">
        <f t="shared" si="85"/>
        <v>Normal</v>
      </c>
      <c r="P1368" t="str">
        <f t="shared" si="86"/>
        <v>Duplicate ID</v>
      </c>
      <c r="Q1368" t="str">
        <f t="shared" si="87"/>
        <v>10,000-14,999</v>
      </c>
      <c r="R1368" s="6">
        <f>IF(COUNTIF($A$2:A1368,A1368)=1,1,0)</f>
        <v>0</v>
      </c>
    </row>
    <row r="1369" spans="1:18" x14ac:dyDescent="0.25">
      <c r="A1369" s="6">
        <v>1052</v>
      </c>
      <c r="B1369" s="7">
        <v>45289</v>
      </c>
      <c r="C1369" t="s">
        <v>57</v>
      </c>
      <c r="D1369" s="6">
        <v>2016</v>
      </c>
      <c r="E1369" s="8">
        <v>24117</v>
      </c>
      <c r="F1369" s="8">
        <v>26000</v>
      </c>
      <c r="G1369" s="8">
        <f t="shared" si="84"/>
        <v>1883</v>
      </c>
      <c r="H1369" s="6">
        <v>15000</v>
      </c>
      <c r="I1369" t="s">
        <v>41</v>
      </c>
      <c r="J1369" t="s">
        <v>72</v>
      </c>
      <c r="K1369" t="s">
        <v>36</v>
      </c>
      <c r="L1369" t="s">
        <v>73</v>
      </c>
      <c r="M1369" t="s">
        <v>98</v>
      </c>
      <c r="N1369" s="6">
        <v>0</v>
      </c>
      <c r="O1369" t="str">
        <f t="shared" si="85"/>
        <v>Normal</v>
      </c>
      <c r="P1369" t="str">
        <f t="shared" si="86"/>
        <v>Duplicate ID</v>
      </c>
      <c r="Q1369" t="str">
        <f t="shared" si="87"/>
        <v>20,000-24,999</v>
      </c>
      <c r="R1369" s="6">
        <f>IF(COUNTIF($A$2:A1369,A1369)=1,1,0)</f>
        <v>0</v>
      </c>
    </row>
    <row r="1370" spans="1:18" x14ac:dyDescent="0.25">
      <c r="A1370" s="6">
        <v>1057</v>
      </c>
      <c r="B1370" s="7">
        <v>44544</v>
      </c>
      <c r="C1370" t="s">
        <v>32</v>
      </c>
      <c r="D1370" s="6">
        <v>2022</v>
      </c>
      <c r="E1370" s="8">
        <v>19311</v>
      </c>
      <c r="F1370" s="8">
        <v>26000</v>
      </c>
      <c r="G1370" s="8">
        <f t="shared" si="84"/>
        <v>6689</v>
      </c>
      <c r="H1370" s="6">
        <v>60000</v>
      </c>
      <c r="I1370" t="s">
        <v>69</v>
      </c>
      <c r="J1370" t="s">
        <v>35</v>
      </c>
      <c r="K1370" t="s">
        <v>96</v>
      </c>
      <c r="L1370" t="s">
        <v>48</v>
      </c>
      <c r="M1370" t="s">
        <v>90</v>
      </c>
      <c r="N1370" s="6">
        <v>0</v>
      </c>
      <c r="O1370" t="str">
        <f t="shared" si="85"/>
        <v>Normal</v>
      </c>
      <c r="P1370" t="str">
        <f t="shared" si="86"/>
        <v>Duplicate ID</v>
      </c>
      <c r="Q1370" t="str">
        <f t="shared" si="87"/>
        <v>15,000-19,999</v>
      </c>
      <c r="R1370" s="6">
        <f>IF(COUNTIF($A$2:A1370,A1370)=1,1,0)</f>
        <v>0</v>
      </c>
    </row>
    <row r="1371" spans="1:18" x14ac:dyDescent="0.25">
      <c r="A1371" s="6">
        <v>1010</v>
      </c>
      <c r="B1371" s="7">
        <v>44260</v>
      </c>
      <c r="C1371" t="s">
        <v>79</v>
      </c>
      <c r="D1371" s="6">
        <v>2017</v>
      </c>
      <c r="E1371" s="8">
        <v>20221</v>
      </c>
      <c r="F1371" s="8">
        <v>26000</v>
      </c>
      <c r="G1371" s="8">
        <f t="shared" si="84"/>
        <v>5779</v>
      </c>
      <c r="H1371" s="6">
        <v>80000</v>
      </c>
      <c r="I1371" t="s">
        <v>41</v>
      </c>
      <c r="J1371" t="s">
        <v>35</v>
      </c>
      <c r="K1371" t="s">
        <v>96</v>
      </c>
      <c r="L1371" t="s">
        <v>100</v>
      </c>
      <c r="M1371" t="s">
        <v>90</v>
      </c>
      <c r="N1371" s="6">
        <v>2</v>
      </c>
      <c r="O1371" t="str">
        <f t="shared" si="85"/>
        <v>Normal</v>
      </c>
      <c r="P1371" t="str">
        <f t="shared" si="86"/>
        <v>Duplicate ID</v>
      </c>
      <c r="Q1371" t="str">
        <f t="shared" si="87"/>
        <v>20,000-24,999</v>
      </c>
      <c r="R1371" s="6">
        <f>IF(COUNTIF($A$2:A1371,A1371)=1,1,0)</f>
        <v>0</v>
      </c>
    </row>
    <row r="1372" spans="1:18" x14ac:dyDescent="0.25">
      <c r="A1372" s="6">
        <v>1091</v>
      </c>
      <c r="B1372" s="7">
        <v>45142</v>
      </c>
      <c r="C1372" t="s">
        <v>40</v>
      </c>
      <c r="D1372" s="6">
        <v>2014</v>
      </c>
      <c r="E1372" s="8">
        <v>24960</v>
      </c>
      <c r="F1372" s="8">
        <v>31000</v>
      </c>
      <c r="G1372" s="8">
        <f t="shared" si="84"/>
        <v>6040</v>
      </c>
      <c r="H1372" s="6">
        <v>25000</v>
      </c>
      <c r="I1372" t="s">
        <v>58</v>
      </c>
      <c r="J1372" t="s">
        <v>35</v>
      </c>
      <c r="K1372" t="s">
        <v>36</v>
      </c>
      <c r="L1372" t="s">
        <v>73</v>
      </c>
      <c r="M1372" t="s">
        <v>90</v>
      </c>
      <c r="N1372" s="6" t="s">
        <v>1647</v>
      </c>
      <c r="O1372" t="str">
        <f t="shared" si="85"/>
        <v>Normal</v>
      </c>
      <c r="P1372" t="str">
        <f t="shared" si="86"/>
        <v>Duplicate ID</v>
      </c>
      <c r="Q1372" t="str">
        <f t="shared" si="87"/>
        <v>20,000-24,999</v>
      </c>
      <c r="R1372" s="6">
        <f>IF(COUNTIF($A$2:A1372,A1372)=1,1,0)</f>
        <v>0</v>
      </c>
    </row>
    <row r="1373" spans="1:18" x14ac:dyDescent="0.25">
      <c r="A1373" s="6">
        <v>1077</v>
      </c>
      <c r="B1373" s="7">
        <v>45164</v>
      </c>
      <c r="C1373" t="s">
        <v>79</v>
      </c>
      <c r="D1373" s="6"/>
      <c r="E1373" s="8">
        <v>1828</v>
      </c>
      <c r="F1373" s="8">
        <v>7000</v>
      </c>
      <c r="G1373" s="8">
        <f t="shared" si="84"/>
        <v>5172</v>
      </c>
      <c r="H1373" s="6">
        <v>120000</v>
      </c>
      <c r="I1373" t="s">
        <v>41</v>
      </c>
      <c r="J1373" t="s">
        <v>72</v>
      </c>
      <c r="K1373" t="s">
        <v>96</v>
      </c>
      <c r="L1373" t="s">
        <v>54</v>
      </c>
      <c r="M1373" t="s">
        <v>98</v>
      </c>
      <c r="N1373" s="6">
        <v>0</v>
      </c>
      <c r="O1373" t="str">
        <f t="shared" si="85"/>
        <v>Normal</v>
      </c>
      <c r="P1373" t="str">
        <f t="shared" si="86"/>
        <v>Duplicate ID</v>
      </c>
      <c r="Q1373" t="str">
        <f t="shared" si="87"/>
        <v>0-4,999</v>
      </c>
      <c r="R1373" s="6">
        <f>IF(COUNTIF($A$2:A1373,A1373)=1,1,0)</f>
        <v>0</v>
      </c>
    </row>
    <row r="1374" spans="1:18" x14ac:dyDescent="0.25">
      <c r="A1374" s="6">
        <v>1006</v>
      </c>
      <c r="B1374" s="7">
        <v>45167</v>
      </c>
      <c r="C1374" t="s">
        <v>1648</v>
      </c>
      <c r="D1374" s="6">
        <v>2015</v>
      </c>
      <c r="E1374" s="8">
        <v>10440</v>
      </c>
      <c r="F1374" s="8">
        <v>12000</v>
      </c>
      <c r="G1374" s="8">
        <f t="shared" si="84"/>
        <v>1560</v>
      </c>
      <c r="H1374" s="6">
        <v>80000</v>
      </c>
      <c r="I1374" t="s">
        <v>58</v>
      </c>
      <c r="J1374" t="s">
        <v>35</v>
      </c>
      <c r="K1374" t="s">
        <v>96</v>
      </c>
      <c r="L1374" t="s">
        <v>54</v>
      </c>
      <c r="M1374" t="s">
        <v>90</v>
      </c>
      <c r="N1374" s="6">
        <v>1</v>
      </c>
      <c r="O1374" t="str">
        <f t="shared" si="85"/>
        <v>Normal</v>
      </c>
      <c r="P1374" t="str">
        <f t="shared" si="86"/>
        <v>Duplicate ID</v>
      </c>
      <c r="Q1374" t="str">
        <f t="shared" si="87"/>
        <v>10,000-14,999</v>
      </c>
      <c r="R1374" s="6">
        <f>IF(COUNTIF($A$2:A1374,A1374)=1,1,0)</f>
        <v>0</v>
      </c>
    </row>
    <row r="1375" spans="1:18" x14ac:dyDescent="0.25">
      <c r="A1375" s="6">
        <v>1147</v>
      </c>
      <c r="B1375" s="7">
        <v>44228</v>
      </c>
      <c r="C1375" t="s">
        <v>79</v>
      </c>
      <c r="D1375" s="6">
        <v>2016</v>
      </c>
      <c r="E1375" s="8">
        <v>4746</v>
      </c>
      <c r="F1375" s="8">
        <v>9000</v>
      </c>
      <c r="G1375" s="8">
        <f t="shared" si="84"/>
        <v>4254</v>
      </c>
      <c r="H1375" s="6">
        <v>120000</v>
      </c>
      <c r="I1375" t="s">
        <v>41</v>
      </c>
      <c r="J1375" t="s">
        <v>35</v>
      </c>
      <c r="K1375" t="s">
        <v>36</v>
      </c>
      <c r="L1375" t="s">
        <v>54</v>
      </c>
      <c r="M1375" t="s">
        <v>45</v>
      </c>
      <c r="N1375" s="6">
        <v>3</v>
      </c>
      <c r="O1375" t="str">
        <f t="shared" si="85"/>
        <v>Normal</v>
      </c>
      <c r="P1375" t="str">
        <f t="shared" si="86"/>
        <v>Duplicate ID</v>
      </c>
      <c r="Q1375" t="str">
        <f t="shared" si="87"/>
        <v>0-4,999</v>
      </c>
      <c r="R1375" s="6">
        <f>IF(COUNTIF($A$2:A1375,A1375)=1,1,0)</f>
        <v>0</v>
      </c>
    </row>
    <row r="1376" spans="1:18" x14ac:dyDescent="0.25">
      <c r="A1376" s="6">
        <v>1187</v>
      </c>
      <c r="B1376" s="7">
        <v>44623</v>
      </c>
      <c r="C1376" t="s">
        <v>1648</v>
      </c>
      <c r="D1376" s="6">
        <v>2016</v>
      </c>
      <c r="E1376" s="8">
        <v>24815</v>
      </c>
      <c r="F1376" s="8">
        <v>26000</v>
      </c>
      <c r="G1376" s="8">
        <f t="shared" si="84"/>
        <v>1185</v>
      </c>
      <c r="H1376" s="6">
        <v>80000</v>
      </c>
      <c r="I1376" t="s">
        <v>58</v>
      </c>
      <c r="J1376" t="s">
        <v>35</v>
      </c>
      <c r="K1376" t="s">
        <v>96</v>
      </c>
      <c r="L1376" t="s">
        <v>48</v>
      </c>
      <c r="M1376" t="s">
        <v>126</v>
      </c>
      <c r="N1376" s="6">
        <v>3</v>
      </c>
      <c r="O1376" t="str">
        <f t="shared" si="85"/>
        <v>Normal</v>
      </c>
      <c r="P1376" t="str">
        <f t="shared" si="86"/>
        <v>Duplicate ID</v>
      </c>
      <c r="Q1376" t="str">
        <f t="shared" si="87"/>
        <v>20,000-24,999</v>
      </c>
      <c r="R1376" s="6">
        <f>IF(COUNTIF($A$2:A1376,A1376)=1,1,0)</f>
        <v>0</v>
      </c>
    </row>
    <row r="1377" spans="1:18" x14ac:dyDescent="0.25">
      <c r="A1377" s="6">
        <v>1353</v>
      </c>
      <c r="B1377" s="7">
        <v>44750</v>
      </c>
      <c r="C1377" t="s">
        <v>51</v>
      </c>
      <c r="D1377" s="6">
        <v>2022</v>
      </c>
      <c r="E1377" s="8">
        <v>4903</v>
      </c>
      <c r="F1377" s="8">
        <v>7000</v>
      </c>
      <c r="G1377" s="8">
        <f t="shared" si="84"/>
        <v>2097</v>
      </c>
      <c r="H1377" s="6">
        <v>120000</v>
      </c>
      <c r="I1377" t="s">
        <v>41</v>
      </c>
      <c r="J1377" t="s">
        <v>72</v>
      </c>
      <c r="K1377" t="s">
        <v>36</v>
      </c>
      <c r="L1377" t="s">
        <v>100</v>
      </c>
      <c r="M1377" t="s">
        <v>126</v>
      </c>
      <c r="N1377" s="6">
        <v>0</v>
      </c>
      <c r="O1377" t="str">
        <f t="shared" si="85"/>
        <v>Normal</v>
      </c>
      <c r="P1377" t="str">
        <f t="shared" si="86"/>
        <v>Duplicate ID</v>
      </c>
      <c r="Q1377" t="str">
        <f t="shared" si="87"/>
        <v>0-4,999</v>
      </c>
      <c r="R1377" s="6">
        <f>IF(COUNTIF($A$2:A1377,A1377)=1,1,0)</f>
        <v>0</v>
      </c>
    </row>
    <row r="1378" spans="1:18" x14ac:dyDescent="0.25">
      <c r="A1378" s="6">
        <v>1414</v>
      </c>
      <c r="B1378" s="7">
        <v>45303</v>
      </c>
      <c r="C1378" t="s">
        <v>32</v>
      </c>
      <c r="D1378" s="6">
        <v>2019</v>
      </c>
      <c r="E1378" s="8">
        <v>4479</v>
      </c>
      <c r="F1378" s="8">
        <v>9000</v>
      </c>
      <c r="G1378" s="8">
        <f t="shared" si="84"/>
        <v>4521</v>
      </c>
      <c r="H1378" s="6">
        <v>25000</v>
      </c>
      <c r="I1378" t="s">
        <v>34</v>
      </c>
      <c r="J1378" t="s">
        <v>72</v>
      </c>
      <c r="K1378" t="s">
        <v>96</v>
      </c>
      <c r="L1378" t="s">
        <v>1647</v>
      </c>
      <c r="M1378" t="s">
        <v>98</v>
      </c>
      <c r="N1378" s="6" t="s">
        <v>1647</v>
      </c>
      <c r="O1378" t="str">
        <f t="shared" si="85"/>
        <v>Normal</v>
      </c>
      <c r="P1378" t="str">
        <f t="shared" si="86"/>
        <v>Duplicate ID</v>
      </c>
      <c r="Q1378" t="str">
        <f t="shared" si="87"/>
        <v>0-4,999</v>
      </c>
      <c r="R1378" s="6">
        <f>IF(COUNTIF($A$2:A1378,A1378)=1,1,0)</f>
        <v>0</v>
      </c>
    </row>
    <row r="1379" spans="1:18" x14ac:dyDescent="0.25">
      <c r="A1379" s="6">
        <v>1009</v>
      </c>
      <c r="B1379" s="7">
        <v>44317</v>
      </c>
      <c r="C1379" t="s">
        <v>1648</v>
      </c>
      <c r="D1379" s="6">
        <v>2016</v>
      </c>
      <c r="E1379" s="8">
        <v>10893</v>
      </c>
      <c r="F1379" s="8">
        <v>15000</v>
      </c>
      <c r="G1379" s="8">
        <f t="shared" si="84"/>
        <v>4107</v>
      </c>
      <c r="H1379" s="6">
        <v>60000</v>
      </c>
      <c r="I1379" t="s">
        <v>41</v>
      </c>
      <c r="J1379" t="s">
        <v>1647</v>
      </c>
      <c r="K1379" t="s">
        <v>36</v>
      </c>
      <c r="L1379" t="s">
        <v>48</v>
      </c>
      <c r="M1379" t="s">
        <v>1647</v>
      </c>
      <c r="N1379" s="6">
        <v>0</v>
      </c>
      <c r="O1379" t="str">
        <f t="shared" si="85"/>
        <v>Normal</v>
      </c>
      <c r="P1379" t="str">
        <f t="shared" si="86"/>
        <v>Duplicate ID</v>
      </c>
      <c r="Q1379" t="str">
        <f t="shared" si="87"/>
        <v>10,000-14,999</v>
      </c>
      <c r="R1379" s="6">
        <f>IF(COUNTIF($A$2:A1379,A1379)=1,1,0)</f>
        <v>0</v>
      </c>
    </row>
    <row r="1380" spans="1:18" x14ac:dyDescent="0.25">
      <c r="A1380" s="6">
        <v>1133</v>
      </c>
      <c r="B1380" s="7">
        <v>45358</v>
      </c>
      <c r="C1380" t="s">
        <v>32</v>
      </c>
      <c r="D1380" s="6"/>
      <c r="E1380" s="8">
        <v>3612</v>
      </c>
      <c r="F1380" s="8">
        <v>7000</v>
      </c>
      <c r="G1380" s="8">
        <f t="shared" si="84"/>
        <v>3388</v>
      </c>
      <c r="H1380" s="6">
        <v>60000</v>
      </c>
      <c r="I1380" t="s">
        <v>58</v>
      </c>
      <c r="J1380" t="s">
        <v>72</v>
      </c>
      <c r="K1380" t="s">
        <v>1647</v>
      </c>
      <c r="L1380" t="s">
        <v>100</v>
      </c>
      <c r="M1380" t="s">
        <v>90</v>
      </c>
      <c r="N1380" s="6">
        <v>2</v>
      </c>
      <c r="O1380" t="str">
        <f t="shared" si="85"/>
        <v>Normal</v>
      </c>
      <c r="P1380" t="str">
        <f t="shared" si="86"/>
        <v>Duplicate ID</v>
      </c>
      <c r="Q1380" t="str">
        <f t="shared" si="87"/>
        <v>0-4,999</v>
      </c>
      <c r="R1380" s="6">
        <f>IF(COUNTIF($A$2:A1380,A1380)=1,1,0)</f>
        <v>0</v>
      </c>
    </row>
    <row r="1381" spans="1:18" x14ac:dyDescent="0.25">
      <c r="A1381" s="6">
        <v>1459</v>
      </c>
      <c r="B1381" s="7">
        <v>44750</v>
      </c>
      <c r="C1381" t="s">
        <v>119</v>
      </c>
      <c r="D1381" s="6">
        <v>2018</v>
      </c>
      <c r="E1381" s="8">
        <v>13420</v>
      </c>
      <c r="F1381" s="8">
        <v>18000</v>
      </c>
      <c r="G1381" s="8">
        <f t="shared" si="84"/>
        <v>4580</v>
      </c>
      <c r="H1381" s="6">
        <v>80000</v>
      </c>
      <c r="I1381" t="s">
        <v>58</v>
      </c>
      <c r="J1381" t="s">
        <v>1647</v>
      </c>
      <c r="K1381" t="s">
        <v>1647</v>
      </c>
      <c r="L1381" t="s">
        <v>48</v>
      </c>
      <c r="M1381" t="s">
        <v>45</v>
      </c>
      <c r="N1381" s="6">
        <v>2</v>
      </c>
      <c r="O1381" t="str">
        <f t="shared" si="85"/>
        <v>Normal</v>
      </c>
      <c r="P1381" t="str">
        <f t="shared" si="86"/>
        <v>Duplicate ID</v>
      </c>
      <c r="Q1381" t="str">
        <f t="shared" si="87"/>
        <v>10,000-14,999</v>
      </c>
      <c r="R1381" s="6">
        <f>IF(COUNTIF($A$2:A1381,A1381)=1,1,0)</f>
        <v>0</v>
      </c>
    </row>
    <row r="1382" spans="1:18" x14ac:dyDescent="0.25">
      <c r="A1382" s="6">
        <v>1067</v>
      </c>
      <c r="B1382" s="7">
        <v>44541</v>
      </c>
      <c r="C1382" t="s">
        <v>1648</v>
      </c>
      <c r="D1382" s="6">
        <v>2016</v>
      </c>
      <c r="E1382" s="8">
        <v>10921</v>
      </c>
      <c r="F1382" s="8">
        <v>12000</v>
      </c>
      <c r="G1382" s="8">
        <f t="shared" si="84"/>
        <v>1079</v>
      </c>
      <c r="H1382" s="6">
        <v>120000</v>
      </c>
      <c r="I1382" t="s">
        <v>58</v>
      </c>
      <c r="J1382" t="s">
        <v>35</v>
      </c>
      <c r="K1382" t="s">
        <v>96</v>
      </c>
      <c r="L1382" t="s">
        <v>54</v>
      </c>
      <c r="M1382" t="s">
        <v>126</v>
      </c>
      <c r="N1382" s="6">
        <v>1</v>
      </c>
      <c r="O1382" t="str">
        <f t="shared" si="85"/>
        <v>Normal</v>
      </c>
      <c r="P1382" t="str">
        <f t="shared" si="86"/>
        <v>Duplicate ID</v>
      </c>
      <c r="Q1382" t="str">
        <f t="shared" si="87"/>
        <v>10,000-14,999</v>
      </c>
      <c r="R1382" s="6">
        <f>IF(COUNTIF($A$2:A1382,A1382)=1,1,0)</f>
        <v>0</v>
      </c>
    </row>
    <row r="1383" spans="1:18" x14ac:dyDescent="0.25">
      <c r="A1383" s="6">
        <v>1531</v>
      </c>
      <c r="B1383" s="7">
        <v>45320</v>
      </c>
      <c r="C1383" t="s">
        <v>57</v>
      </c>
      <c r="D1383" s="6">
        <v>2014</v>
      </c>
      <c r="E1383" s="8">
        <v>5852</v>
      </c>
      <c r="F1383" s="8">
        <v>7000</v>
      </c>
      <c r="G1383" s="8">
        <f t="shared" si="84"/>
        <v>1148</v>
      </c>
      <c r="H1383" s="6">
        <v>15000</v>
      </c>
      <c r="I1383" t="s">
        <v>34</v>
      </c>
      <c r="J1383" t="s">
        <v>72</v>
      </c>
      <c r="K1383" t="s">
        <v>36</v>
      </c>
      <c r="L1383" t="s">
        <v>73</v>
      </c>
      <c r="M1383" t="s">
        <v>126</v>
      </c>
      <c r="N1383" s="6">
        <v>0</v>
      </c>
      <c r="O1383" t="str">
        <f t="shared" si="85"/>
        <v>Normal</v>
      </c>
      <c r="P1383" t="str">
        <f t="shared" si="86"/>
        <v>Duplicate ID</v>
      </c>
      <c r="Q1383" t="str">
        <f t="shared" si="87"/>
        <v>5,000-9,999</v>
      </c>
      <c r="R1383" s="6">
        <f>IF(COUNTIF($A$2:A1383,A1383)=1,1,0)</f>
        <v>0</v>
      </c>
    </row>
    <row r="1384" spans="1:18" x14ac:dyDescent="0.25">
      <c r="A1384" s="6">
        <v>1023</v>
      </c>
      <c r="B1384" s="7">
        <v>44202</v>
      </c>
      <c r="C1384" t="s">
        <v>40</v>
      </c>
      <c r="D1384" s="6">
        <v>2015</v>
      </c>
      <c r="E1384" s="8">
        <v>13673</v>
      </c>
      <c r="F1384" s="8">
        <v>18000</v>
      </c>
      <c r="G1384" s="8">
        <f t="shared" si="84"/>
        <v>4327</v>
      </c>
      <c r="H1384" s="6">
        <v>15000</v>
      </c>
      <c r="I1384" t="s">
        <v>58</v>
      </c>
      <c r="J1384" t="s">
        <v>35</v>
      </c>
      <c r="K1384" t="s">
        <v>36</v>
      </c>
      <c r="L1384" t="s">
        <v>48</v>
      </c>
      <c r="M1384" t="s">
        <v>90</v>
      </c>
      <c r="N1384" s="6">
        <v>3</v>
      </c>
      <c r="O1384" t="str">
        <f t="shared" si="85"/>
        <v>Normal</v>
      </c>
      <c r="P1384" t="str">
        <f t="shared" si="86"/>
        <v>Duplicate ID</v>
      </c>
      <c r="Q1384" t="str">
        <f t="shared" si="87"/>
        <v>10,000-14,999</v>
      </c>
      <c r="R1384" s="6">
        <f>IF(COUNTIF($A$2:A1384,A1384)=1,1,0)</f>
        <v>0</v>
      </c>
    </row>
    <row r="1385" spans="1:18" x14ac:dyDescent="0.25">
      <c r="A1385" s="6">
        <v>1344</v>
      </c>
      <c r="B1385" s="7">
        <v>45306</v>
      </c>
      <c r="C1385" t="s">
        <v>1648</v>
      </c>
      <c r="D1385" s="6"/>
      <c r="E1385" s="8">
        <v>5928</v>
      </c>
      <c r="F1385" s="8">
        <v>7000</v>
      </c>
      <c r="G1385" s="8">
        <f t="shared" si="84"/>
        <v>1072</v>
      </c>
      <c r="H1385" s="6">
        <v>60000</v>
      </c>
      <c r="I1385" t="s">
        <v>34</v>
      </c>
      <c r="J1385" t="s">
        <v>72</v>
      </c>
      <c r="K1385" t="s">
        <v>96</v>
      </c>
      <c r="L1385" t="s">
        <v>48</v>
      </c>
      <c r="M1385" t="s">
        <v>90</v>
      </c>
      <c r="N1385" s="6">
        <v>0</v>
      </c>
      <c r="O1385" t="str">
        <f t="shared" si="85"/>
        <v>Normal</v>
      </c>
      <c r="P1385" t="str">
        <f t="shared" si="86"/>
        <v>Duplicate ID</v>
      </c>
      <c r="Q1385" t="str">
        <f t="shared" si="87"/>
        <v>5,000-9,999</v>
      </c>
      <c r="R1385" s="6">
        <f>IF(COUNTIF($A$2:A1385,A1385)=1,1,0)</f>
        <v>0</v>
      </c>
    </row>
    <row r="1386" spans="1:18" x14ac:dyDescent="0.25">
      <c r="A1386" s="6">
        <v>1444</v>
      </c>
      <c r="B1386" s="7">
        <v>44707</v>
      </c>
      <c r="C1386" t="s">
        <v>40</v>
      </c>
      <c r="D1386" s="6">
        <v>2014</v>
      </c>
      <c r="E1386" s="8">
        <v>15205</v>
      </c>
      <c r="F1386" s="8">
        <v>18000</v>
      </c>
      <c r="G1386" s="8">
        <f t="shared" si="84"/>
        <v>2795</v>
      </c>
      <c r="H1386" s="6">
        <v>120000</v>
      </c>
      <c r="I1386" t="s">
        <v>1647</v>
      </c>
      <c r="J1386" t="s">
        <v>35</v>
      </c>
      <c r="K1386" t="s">
        <v>36</v>
      </c>
      <c r="L1386" t="s">
        <v>1647</v>
      </c>
      <c r="M1386" t="s">
        <v>126</v>
      </c>
      <c r="N1386" s="6">
        <v>2</v>
      </c>
      <c r="O1386" t="str">
        <f t="shared" si="85"/>
        <v>Normal</v>
      </c>
      <c r="P1386" t="str">
        <f t="shared" si="86"/>
        <v>Duplicate ID</v>
      </c>
      <c r="Q1386" t="str">
        <f t="shared" si="87"/>
        <v>15,000-19,999</v>
      </c>
      <c r="R1386" s="6">
        <f>IF(COUNTIF($A$2:A1386,A1386)=1,1,0)</f>
        <v>1</v>
      </c>
    </row>
    <row r="1387" spans="1:18" x14ac:dyDescent="0.25">
      <c r="A1387" s="6">
        <v>1513</v>
      </c>
      <c r="B1387" s="7">
        <v>44872</v>
      </c>
      <c r="C1387" t="s">
        <v>40</v>
      </c>
      <c r="D1387" s="6">
        <v>2018</v>
      </c>
      <c r="E1387" s="8">
        <v>18878</v>
      </c>
      <c r="F1387" s="8">
        <v>22000</v>
      </c>
      <c r="G1387" s="8">
        <f t="shared" si="84"/>
        <v>3122</v>
      </c>
      <c r="H1387" s="6">
        <v>120000</v>
      </c>
      <c r="I1387" t="s">
        <v>58</v>
      </c>
      <c r="J1387" t="s">
        <v>35</v>
      </c>
      <c r="K1387" t="s">
        <v>36</v>
      </c>
      <c r="L1387" t="s">
        <v>54</v>
      </c>
      <c r="M1387" t="s">
        <v>126</v>
      </c>
      <c r="N1387" s="6">
        <v>0</v>
      </c>
      <c r="O1387" t="str">
        <f t="shared" si="85"/>
        <v>Normal</v>
      </c>
      <c r="P1387" t="str">
        <f t="shared" si="86"/>
        <v>Duplicate ID</v>
      </c>
      <c r="Q1387" t="str">
        <f t="shared" si="87"/>
        <v>15,000-19,999</v>
      </c>
      <c r="R1387" s="6">
        <f>IF(COUNTIF($A$2:A1387,A1387)=1,1,0)</f>
        <v>0</v>
      </c>
    </row>
    <row r="1388" spans="1:18" x14ac:dyDescent="0.25">
      <c r="A1388" s="6">
        <v>1420</v>
      </c>
      <c r="B1388" s="7">
        <v>45042</v>
      </c>
      <c r="C1388" t="s">
        <v>79</v>
      </c>
      <c r="D1388" s="6">
        <v>2017</v>
      </c>
      <c r="E1388" s="8">
        <v>18725</v>
      </c>
      <c r="F1388" s="8">
        <v>22000</v>
      </c>
      <c r="G1388" s="8">
        <f t="shared" si="84"/>
        <v>3275</v>
      </c>
      <c r="H1388" s="6">
        <v>25000</v>
      </c>
      <c r="I1388" t="s">
        <v>69</v>
      </c>
      <c r="J1388" t="s">
        <v>72</v>
      </c>
      <c r="K1388" t="s">
        <v>1647</v>
      </c>
      <c r="L1388" t="s">
        <v>54</v>
      </c>
      <c r="M1388" t="s">
        <v>98</v>
      </c>
      <c r="N1388" s="6">
        <v>3</v>
      </c>
      <c r="O1388" t="str">
        <f t="shared" si="85"/>
        <v>Normal</v>
      </c>
      <c r="P1388" t="str">
        <f t="shared" si="86"/>
        <v>Duplicate ID</v>
      </c>
      <c r="Q1388" t="str">
        <f t="shared" si="87"/>
        <v>15,000-19,999</v>
      </c>
      <c r="R1388" s="6">
        <f>IF(COUNTIF($A$2:A1388,A1388)=1,1,0)</f>
        <v>0</v>
      </c>
    </row>
    <row r="1389" spans="1:18" x14ac:dyDescent="0.25">
      <c r="A1389" s="6">
        <v>1141</v>
      </c>
      <c r="B1389" s="7">
        <v>45324</v>
      </c>
      <c r="C1389" t="s">
        <v>1648</v>
      </c>
      <c r="D1389" s="6">
        <v>2016</v>
      </c>
      <c r="E1389" s="8">
        <v>5521</v>
      </c>
      <c r="F1389" s="8">
        <v>7000</v>
      </c>
      <c r="G1389" s="8">
        <f t="shared" si="84"/>
        <v>1479</v>
      </c>
      <c r="H1389" s="6">
        <v>15000</v>
      </c>
      <c r="I1389" t="s">
        <v>58</v>
      </c>
      <c r="J1389" t="s">
        <v>1647</v>
      </c>
      <c r="K1389" t="s">
        <v>36</v>
      </c>
      <c r="L1389" t="s">
        <v>1647</v>
      </c>
      <c r="M1389" t="s">
        <v>90</v>
      </c>
      <c r="N1389" s="6">
        <v>1</v>
      </c>
      <c r="O1389" t="str">
        <f t="shared" si="85"/>
        <v>Normal</v>
      </c>
      <c r="P1389" t="str">
        <f t="shared" si="86"/>
        <v>Duplicate ID</v>
      </c>
      <c r="Q1389" t="str">
        <f t="shared" si="87"/>
        <v>5,000-9,999</v>
      </c>
      <c r="R1389" s="6">
        <f>IF(COUNTIF($A$2:A1389,A1389)=1,1,0)</f>
        <v>0</v>
      </c>
    </row>
    <row r="1390" spans="1:18" x14ac:dyDescent="0.25">
      <c r="A1390" s="6">
        <v>1152</v>
      </c>
      <c r="B1390" s="7">
        <v>44199</v>
      </c>
      <c r="C1390" t="s">
        <v>119</v>
      </c>
      <c r="D1390" s="6">
        <v>2022</v>
      </c>
      <c r="E1390" s="8">
        <v>27633</v>
      </c>
      <c r="F1390" s="8">
        <v>31000</v>
      </c>
      <c r="G1390" s="8">
        <f t="shared" si="84"/>
        <v>3367</v>
      </c>
      <c r="H1390" s="6">
        <v>80000</v>
      </c>
      <c r="I1390" t="s">
        <v>69</v>
      </c>
      <c r="J1390" t="s">
        <v>1647</v>
      </c>
      <c r="K1390" t="s">
        <v>36</v>
      </c>
      <c r="L1390" t="s">
        <v>48</v>
      </c>
      <c r="M1390" t="s">
        <v>45</v>
      </c>
      <c r="N1390" s="6">
        <v>2</v>
      </c>
      <c r="O1390" t="str">
        <f t="shared" si="85"/>
        <v>Normal</v>
      </c>
      <c r="P1390" t="str">
        <f t="shared" si="86"/>
        <v>Duplicate ID</v>
      </c>
      <c r="Q1390" t="str">
        <f t="shared" si="87"/>
        <v>25,000-30,000</v>
      </c>
      <c r="R1390" s="6">
        <f>IF(COUNTIF($A$2:A1390,A1390)=1,1,0)</f>
        <v>0</v>
      </c>
    </row>
    <row r="1391" spans="1:18" x14ac:dyDescent="0.25">
      <c r="A1391" s="6">
        <v>1421</v>
      </c>
      <c r="B1391" s="7">
        <v>44591</v>
      </c>
      <c r="C1391" t="s">
        <v>32</v>
      </c>
      <c r="D1391" s="6">
        <v>2021</v>
      </c>
      <c r="E1391" s="8">
        <v>8781</v>
      </c>
      <c r="F1391" s="8">
        <v>15000</v>
      </c>
      <c r="G1391" s="8">
        <f t="shared" si="84"/>
        <v>6219</v>
      </c>
      <c r="H1391" s="6">
        <v>40000</v>
      </c>
      <c r="I1391" t="s">
        <v>1647</v>
      </c>
      <c r="J1391" t="s">
        <v>35</v>
      </c>
      <c r="K1391" t="s">
        <v>36</v>
      </c>
      <c r="L1391" t="s">
        <v>54</v>
      </c>
      <c r="M1391" t="s">
        <v>126</v>
      </c>
      <c r="N1391" s="6">
        <v>1</v>
      </c>
      <c r="O1391" t="str">
        <f t="shared" si="85"/>
        <v>Normal</v>
      </c>
      <c r="P1391" t="str">
        <f t="shared" si="86"/>
        <v>Duplicate ID</v>
      </c>
      <c r="Q1391" t="str">
        <f t="shared" si="87"/>
        <v>5,000-9,999</v>
      </c>
      <c r="R1391" s="6">
        <f>IF(COUNTIF($A$2:A1391,A1391)=1,1,0)</f>
        <v>0</v>
      </c>
    </row>
    <row r="1392" spans="1:18" x14ac:dyDescent="0.25">
      <c r="A1392" s="6">
        <v>1109</v>
      </c>
      <c r="B1392" s="7">
        <v>44876</v>
      </c>
      <c r="C1392" t="s">
        <v>32</v>
      </c>
      <c r="D1392" s="6">
        <v>2022</v>
      </c>
      <c r="E1392" s="8">
        <v>5256</v>
      </c>
      <c r="F1392" s="8">
        <v>12000</v>
      </c>
      <c r="G1392" s="8">
        <f t="shared" si="84"/>
        <v>6744</v>
      </c>
      <c r="H1392" s="6">
        <v>80000</v>
      </c>
      <c r="I1392" t="s">
        <v>58</v>
      </c>
      <c r="J1392" t="s">
        <v>72</v>
      </c>
      <c r="K1392" t="s">
        <v>96</v>
      </c>
      <c r="L1392" t="s">
        <v>73</v>
      </c>
      <c r="M1392" t="s">
        <v>45</v>
      </c>
      <c r="N1392" s="6">
        <v>3</v>
      </c>
      <c r="O1392" t="str">
        <f t="shared" si="85"/>
        <v>Normal</v>
      </c>
      <c r="P1392" t="str">
        <f t="shared" si="86"/>
        <v>Duplicate ID</v>
      </c>
      <c r="Q1392" t="str">
        <f t="shared" si="87"/>
        <v>5,000-9,999</v>
      </c>
      <c r="R1392" s="6">
        <f>IF(COUNTIF($A$2:A1392,A1392)=1,1,0)</f>
        <v>0</v>
      </c>
    </row>
    <row r="1393" spans="1:18" x14ac:dyDescent="0.25">
      <c r="A1393" s="6">
        <v>1224</v>
      </c>
      <c r="B1393" s="7">
        <v>44551</v>
      </c>
      <c r="C1393" t="s">
        <v>32</v>
      </c>
      <c r="D1393" s="6">
        <v>2014</v>
      </c>
      <c r="E1393" s="8">
        <v>1072</v>
      </c>
      <c r="F1393" s="8">
        <v>7000</v>
      </c>
      <c r="G1393" s="8">
        <f t="shared" si="84"/>
        <v>5928</v>
      </c>
      <c r="H1393" s="6">
        <v>60000</v>
      </c>
      <c r="I1393" t="s">
        <v>41</v>
      </c>
      <c r="J1393" t="s">
        <v>35</v>
      </c>
      <c r="K1393" t="s">
        <v>1647</v>
      </c>
      <c r="L1393" t="s">
        <v>100</v>
      </c>
      <c r="M1393" t="s">
        <v>1647</v>
      </c>
      <c r="N1393" s="6">
        <v>1</v>
      </c>
      <c r="O1393" t="str">
        <f t="shared" si="85"/>
        <v>Normal</v>
      </c>
      <c r="P1393" t="str">
        <f t="shared" si="86"/>
        <v>Duplicate ID</v>
      </c>
      <c r="Q1393" t="str">
        <f t="shared" si="87"/>
        <v>0-4,999</v>
      </c>
      <c r="R1393" s="6">
        <f>IF(COUNTIF($A$2:A1393,A1393)=1,1,0)</f>
        <v>0</v>
      </c>
    </row>
    <row r="1394" spans="1:18" x14ac:dyDescent="0.25">
      <c r="A1394" s="6">
        <v>1205</v>
      </c>
      <c r="B1394" s="7">
        <v>44556</v>
      </c>
      <c r="C1394" t="s">
        <v>1648</v>
      </c>
      <c r="D1394" s="6">
        <v>2015</v>
      </c>
      <c r="E1394" s="8">
        <v>74</v>
      </c>
      <c r="F1394" s="8">
        <v>7000</v>
      </c>
      <c r="G1394" s="8">
        <f t="shared" si="84"/>
        <v>6926</v>
      </c>
      <c r="H1394" s="6">
        <v>15000</v>
      </c>
      <c r="I1394" t="s">
        <v>34</v>
      </c>
      <c r="J1394" t="s">
        <v>35</v>
      </c>
      <c r="K1394" t="s">
        <v>96</v>
      </c>
      <c r="L1394" t="s">
        <v>73</v>
      </c>
      <c r="M1394" t="s">
        <v>90</v>
      </c>
      <c r="N1394" s="6">
        <v>0</v>
      </c>
      <c r="O1394" t="str">
        <f t="shared" si="85"/>
        <v>Outlier</v>
      </c>
      <c r="P1394" t="str">
        <f t="shared" si="86"/>
        <v>Duplicate ID</v>
      </c>
      <c r="Q1394" t="str">
        <f t="shared" si="87"/>
        <v>0-4,999</v>
      </c>
      <c r="R1394" s="6">
        <f>IF(COUNTIF($A$2:A1394,A1394)=1,1,0)</f>
        <v>0</v>
      </c>
    </row>
    <row r="1395" spans="1:18" x14ac:dyDescent="0.25">
      <c r="A1395" s="6">
        <v>1445</v>
      </c>
      <c r="B1395" s="7">
        <v>45076</v>
      </c>
      <c r="C1395" t="s">
        <v>119</v>
      </c>
      <c r="D1395" s="6">
        <v>2022</v>
      </c>
      <c r="E1395" s="8">
        <v>16923</v>
      </c>
      <c r="F1395" s="8">
        <v>22000</v>
      </c>
      <c r="G1395" s="8">
        <f t="shared" si="84"/>
        <v>5077</v>
      </c>
      <c r="H1395" s="6">
        <v>15000</v>
      </c>
      <c r="I1395" t="s">
        <v>69</v>
      </c>
      <c r="J1395" t="s">
        <v>72</v>
      </c>
      <c r="K1395" t="s">
        <v>96</v>
      </c>
      <c r="L1395" t="s">
        <v>73</v>
      </c>
      <c r="M1395" t="s">
        <v>45</v>
      </c>
      <c r="N1395" s="6">
        <v>1</v>
      </c>
      <c r="O1395" t="str">
        <f t="shared" si="85"/>
        <v>Normal</v>
      </c>
      <c r="P1395" t="str">
        <f t="shared" si="86"/>
        <v>Duplicate ID</v>
      </c>
      <c r="Q1395" t="str">
        <f t="shared" si="87"/>
        <v>15,000-19,999</v>
      </c>
      <c r="R1395" s="6">
        <f>IF(COUNTIF($A$2:A1395,A1395)=1,1,0)</f>
        <v>0</v>
      </c>
    </row>
    <row r="1396" spans="1:18" x14ac:dyDescent="0.25">
      <c r="A1396" s="6">
        <v>1392</v>
      </c>
      <c r="B1396" s="7">
        <v>44811</v>
      </c>
      <c r="C1396" t="s">
        <v>32</v>
      </c>
      <c r="D1396" s="6">
        <v>2021</v>
      </c>
      <c r="E1396" s="8">
        <v>19807</v>
      </c>
      <c r="F1396" s="8">
        <v>26000</v>
      </c>
      <c r="G1396" s="8">
        <f t="shared" si="84"/>
        <v>6193</v>
      </c>
      <c r="H1396" s="6">
        <v>25000</v>
      </c>
      <c r="I1396" t="s">
        <v>69</v>
      </c>
      <c r="J1396" t="s">
        <v>35</v>
      </c>
      <c r="K1396" t="s">
        <v>36</v>
      </c>
      <c r="L1396" t="s">
        <v>54</v>
      </c>
      <c r="M1396" t="s">
        <v>98</v>
      </c>
      <c r="N1396" s="6">
        <v>1</v>
      </c>
      <c r="O1396" t="str">
        <f t="shared" si="85"/>
        <v>Normal</v>
      </c>
      <c r="P1396" t="str">
        <f t="shared" si="86"/>
        <v>Duplicate ID</v>
      </c>
      <c r="Q1396" t="str">
        <f t="shared" si="87"/>
        <v>15,000-19,999</v>
      </c>
      <c r="R1396" s="6">
        <f>IF(COUNTIF($A$2:A1396,A1396)=1,1,0)</f>
        <v>1</v>
      </c>
    </row>
    <row r="1397" spans="1:18" x14ac:dyDescent="0.25">
      <c r="A1397" s="6">
        <v>1571</v>
      </c>
      <c r="B1397" s="7">
        <v>44913</v>
      </c>
      <c r="C1397" t="s">
        <v>51</v>
      </c>
      <c r="D1397" s="6">
        <v>2021</v>
      </c>
      <c r="E1397" s="8">
        <v>9076</v>
      </c>
      <c r="F1397" s="8">
        <v>12000</v>
      </c>
      <c r="G1397" s="8">
        <f t="shared" si="84"/>
        <v>2924</v>
      </c>
      <c r="H1397" s="6">
        <v>40000</v>
      </c>
      <c r="I1397" t="s">
        <v>58</v>
      </c>
      <c r="J1397" t="s">
        <v>35</v>
      </c>
      <c r="K1397" t="s">
        <v>96</v>
      </c>
      <c r="L1397" t="s">
        <v>73</v>
      </c>
      <c r="M1397" t="s">
        <v>90</v>
      </c>
      <c r="N1397" s="6">
        <v>3</v>
      </c>
      <c r="O1397" t="str">
        <f t="shared" si="85"/>
        <v>Normal</v>
      </c>
      <c r="P1397" t="str">
        <f t="shared" si="86"/>
        <v>Duplicate ID</v>
      </c>
      <c r="Q1397" t="str">
        <f t="shared" si="87"/>
        <v>5,000-9,999</v>
      </c>
      <c r="R1397" s="6">
        <f>IF(COUNTIF($A$2:A1397,A1397)=1,1,0)</f>
        <v>0</v>
      </c>
    </row>
    <row r="1398" spans="1:18" x14ac:dyDescent="0.25">
      <c r="A1398" s="6">
        <v>1428</v>
      </c>
      <c r="B1398" s="7">
        <v>44999</v>
      </c>
      <c r="C1398" t="s">
        <v>57</v>
      </c>
      <c r="D1398" s="6">
        <v>2020</v>
      </c>
      <c r="E1398" s="8">
        <v>25828</v>
      </c>
      <c r="F1398" s="8">
        <v>31000</v>
      </c>
      <c r="G1398" s="8">
        <f t="shared" si="84"/>
        <v>5172</v>
      </c>
      <c r="H1398" s="6">
        <v>15000</v>
      </c>
      <c r="I1398" t="s">
        <v>34</v>
      </c>
      <c r="J1398" t="s">
        <v>35</v>
      </c>
      <c r="K1398" t="s">
        <v>36</v>
      </c>
      <c r="L1398" t="s">
        <v>54</v>
      </c>
      <c r="M1398" t="s">
        <v>126</v>
      </c>
      <c r="N1398" s="6" t="s">
        <v>1647</v>
      </c>
      <c r="O1398" t="str">
        <f t="shared" si="85"/>
        <v>Normal</v>
      </c>
      <c r="P1398" t="str">
        <f t="shared" si="86"/>
        <v>Duplicate ID</v>
      </c>
      <c r="Q1398" t="str">
        <f t="shared" si="87"/>
        <v>25,000-30,000</v>
      </c>
      <c r="R1398" s="6">
        <f>IF(COUNTIF($A$2:A1398,A1398)=1,1,0)</f>
        <v>1</v>
      </c>
    </row>
    <row r="1399" spans="1:18" x14ac:dyDescent="0.25">
      <c r="A1399" s="6">
        <v>1484</v>
      </c>
      <c r="B1399" s="7">
        <v>44797</v>
      </c>
      <c r="C1399" t="s">
        <v>1648</v>
      </c>
      <c r="D1399" s="6">
        <v>2020</v>
      </c>
      <c r="E1399" s="8">
        <v>27792</v>
      </c>
      <c r="F1399" s="8">
        <v>31000</v>
      </c>
      <c r="G1399" s="8">
        <f t="shared" si="84"/>
        <v>3208</v>
      </c>
      <c r="H1399" s="6">
        <v>80000</v>
      </c>
      <c r="I1399" t="s">
        <v>41</v>
      </c>
      <c r="J1399" t="s">
        <v>35</v>
      </c>
      <c r="K1399" t="s">
        <v>96</v>
      </c>
      <c r="L1399" t="s">
        <v>73</v>
      </c>
      <c r="M1399" t="s">
        <v>126</v>
      </c>
      <c r="N1399" s="6">
        <v>3</v>
      </c>
      <c r="O1399" t="str">
        <f t="shared" si="85"/>
        <v>Normal</v>
      </c>
      <c r="P1399" t="str">
        <f t="shared" si="86"/>
        <v>Duplicate ID</v>
      </c>
      <c r="Q1399" t="str">
        <f t="shared" si="87"/>
        <v>25,000-30,000</v>
      </c>
      <c r="R1399" s="6">
        <f>IF(COUNTIF($A$2:A1399,A1399)=1,1,0)</f>
        <v>0</v>
      </c>
    </row>
    <row r="1400" spans="1:18" x14ac:dyDescent="0.25">
      <c r="A1400" s="6">
        <v>1308</v>
      </c>
      <c r="B1400" s="7">
        <v>45186</v>
      </c>
      <c r="C1400" t="s">
        <v>32</v>
      </c>
      <c r="D1400" s="6">
        <v>2022</v>
      </c>
      <c r="E1400" s="8">
        <v>12367</v>
      </c>
      <c r="F1400" s="8">
        <v>18000</v>
      </c>
      <c r="G1400" s="8">
        <f t="shared" si="84"/>
        <v>5633</v>
      </c>
      <c r="H1400" s="6">
        <v>80000</v>
      </c>
      <c r="I1400" t="s">
        <v>69</v>
      </c>
      <c r="J1400" t="s">
        <v>35</v>
      </c>
      <c r="K1400" t="s">
        <v>96</v>
      </c>
      <c r="L1400" t="s">
        <v>73</v>
      </c>
      <c r="M1400" t="s">
        <v>45</v>
      </c>
      <c r="N1400" s="6">
        <v>3</v>
      </c>
      <c r="O1400" t="str">
        <f t="shared" si="85"/>
        <v>Normal</v>
      </c>
      <c r="P1400" t="str">
        <f t="shared" si="86"/>
        <v>Duplicate ID</v>
      </c>
      <c r="Q1400" t="str">
        <f t="shared" si="87"/>
        <v>10,000-14,999</v>
      </c>
      <c r="R1400" s="6">
        <f>IF(COUNTIF($A$2:A1400,A1400)=1,1,0)</f>
        <v>0</v>
      </c>
    </row>
    <row r="1401" spans="1:18" x14ac:dyDescent="0.25">
      <c r="A1401" s="6">
        <v>1344</v>
      </c>
      <c r="B1401" s="7">
        <v>44374</v>
      </c>
      <c r="C1401" t="s">
        <v>79</v>
      </c>
      <c r="D1401" s="6">
        <v>2022</v>
      </c>
      <c r="E1401" s="8">
        <v>9765</v>
      </c>
      <c r="F1401" s="8">
        <v>12000</v>
      </c>
      <c r="G1401" s="8">
        <f t="shared" si="84"/>
        <v>2235</v>
      </c>
      <c r="H1401" s="6">
        <v>15000</v>
      </c>
      <c r="I1401" t="s">
        <v>69</v>
      </c>
      <c r="J1401" t="s">
        <v>35</v>
      </c>
      <c r="K1401" t="s">
        <v>96</v>
      </c>
      <c r="L1401" t="s">
        <v>54</v>
      </c>
      <c r="M1401" t="s">
        <v>90</v>
      </c>
      <c r="N1401" s="6">
        <v>0</v>
      </c>
      <c r="O1401" t="str">
        <f t="shared" si="85"/>
        <v>Normal</v>
      </c>
      <c r="P1401" t="str">
        <f t="shared" si="86"/>
        <v>Duplicate ID</v>
      </c>
      <c r="Q1401" t="str">
        <f t="shared" si="87"/>
        <v>5,000-9,999</v>
      </c>
      <c r="R1401" s="6">
        <f>IF(COUNTIF($A$2:A1401,A1401)=1,1,0)</f>
        <v>0</v>
      </c>
    </row>
    <row r="1402" spans="1:18" x14ac:dyDescent="0.25">
      <c r="A1402" s="6">
        <v>1126</v>
      </c>
      <c r="B1402" s="7">
        <v>44377</v>
      </c>
      <c r="C1402" t="s">
        <v>79</v>
      </c>
      <c r="D1402" s="6">
        <v>2018</v>
      </c>
      <c r="E1402" s="8">
        <v>11735</v>
      </c>
      <c r="F1402" s="8">
        <v>18000</v>
      </c>
      <c r="G1402" s="8">
        <f t="shared" si="84"/>
        <v>6265</v>
      </c>
      <c r="H1402" s="6">
        <v>40000</v>
      </c>
      <c r="I1402" t="s">
        <v>58</v>
      </c>
      <c r="J1402" t="s">
        <v>1647</v>
      </c>
      <c r="K1402" t="s">
        <v>1647</v>
      </c>
      <c r="L1402" t="s">
        <v>73</v>
      </c>
      <c r="M1402" t="s">
        <v>1647</v>
      </c>
      <c r="N1402" s="6">
        <v>1</v>
      </c>
      <c r="O1402" t="str">
        <f t="shared" si="85"/>
        <v>Normal</v>
      </c>
      <c r="P1402" t="str">
        <f t="shared" si="86"/>
        <v>Duplicate ID</v>
      </c>
      <c r="Q1402" t="str">
        <f t="shared" si="87"/>
        <v>10,000-14,999</v>
      </c>
      <c r="R1402" s="6">
        <f>IF(COUNTIF($A$2:A1402,A1402)=1,1,0)</f>
        <v>0</v>
      </c>
    </row>
    <row r="1403" spans="1:18" x14ac:dyDescent="0.25">
      <c r="A1403" s="6">
        <v>1314</v>
      </c>
      <c r="B1403" s="7">
        <v>44675</v>
      </c>
      <c r="C1403" t="s">
        <v>1648</v>
      </c>
      <c r="D1403" s="6">
        <v>2017</v>
      </c>
      <c r="E1403" s="8">
        <v>2486</v>
      </c>
      <c r="F1403" s="8">
        <v>7000</v>
      </c>
      <c r="G1403" s="8">
        <f t="shared" si="84"/>
        <v>4514</v>
      </c>
      <c r="H1403" s="6">
        <v>120000</v>
      </c>
      <c r="I1403" t="s">
        <v>58</v>
      </c>
      <c r="J1403" t="s">
        <v>35</v>
      </c>
      <c r="K1403" t="s">
        <v>1647</v>
      </c>
      <c r="L1403" t="s">
        <v>1647</v>
      </c>
      <c r="M1403" t="s">
        <v>45</v>
      </c>
      <c r="N1403" s="6" t="s">
        <v>1647</v>
      </c>
      <c r="O1403" t="str">
        <f t="shared" si="85"/>
        <v>Normal</v>
      </c>
      <c r="P1403" t="str">
        <f t="shared" si="86"/>
        <v>Duplicate ID</v>
      </c>
      <c r="Q1403" t="str">
        <f t="shared" si="87"/>
        <v>0-4,999</v>
      </c>
      <c r="R1403" s="6">
        <f>IF(COUNTIF($A$2:A1403,A1403)=1,1,0)</f>
        <v>1</v>
      </c>
    </row>
    <row r="1404" spans="1:18" x14ac:dyDescent="0.25">
      <c r="A1404" s="6">
        <v>1018</v>
      </c>
      <c r="B1404" s="7">
        <v>44728</v>
      </c>
      <c r="C1404" t="s">
        <v>1648</v>
      </c>
      <c r="D1404" s="6">
        <v>2022</v>
      </c>
      <c r="E1404" s="8">
        <v>2681</v>
      </c>
      <c r="F1404" s="8">
        <v>7000</v>
      </c>
      <c r="G1404" s="8">
        <f t="shared" si="84"/>
        <v>4319</v>
      </c>
      <c r="H1404" s="6">
        <v>60000</v>
      </c>
      <c r="I1404" t="s">
        <v>41</v>
      </c>
      <c r="J1404" t="s">
        <v>35</v>
      </c>
      <c r="K1404" t="s">
        <v>36</v>
      </c>
      <c r="L1404" t="s">
        <v>100</v>
      </c>
      <c r="M1404" t="s">
        <v>45</v>
      </c>
      <c r="N1404" s="6">
        <v>2</v>
      </c>
      <c r="O1404" t="str">
        <f t="shared" si="85"/>
        <v>Normal</v>
      </c>
      <c r="P1404" t="str">
        <f t="shared" si="86"/>
        <v>Duplicate ID</v>
      </c>
      <c r="Q1404" t="str">
        <f t="shared" si="87"/>
        <v>0-4,999</v>
      </c>
      <c r="R1404" s="6">
        <f>IF(COUNTIF($A$2:A1404,A1404)=1,1,0)</f>
        <v>0</v>
      </c>
    </row>
    <row r="1405" spans="1:18" x14ac:dyDescent="0.25">
      <c r="A1405" s="6">
        <v>1253</v>
      </c>
      <c r="B1405" s="7">
        <v>44578</v>
      </c>
      <c r="C1405" t="s">
        <v>57</v>
      </c>
      <c r="D1405" s="6">
        <v>2018</v>
      </c>
      <c r="E1405" s="8">
        <v>11051</v>
      </c>
      <c r="F1405" s="8">
        <v>18000</v>
      </c>
      <c r="G1405" s="8">
        <f t="shared" si="84"/>
        <v>6949</v>
      </c>
      <c r="H1405" s="6">
        <v>15000</v>
      </c>
      <c r="I1405" t="s">
        <v>69</v>
      </c>
      <c r="J1405" t="s">
        <v>1647</v>
      </c>
      <c r="K1405" t="s">
        <v>1647</v>
      </c>
      <c r="L1405" t="s">
        <v>48</v>
      </c>
      <c r="M1405" t="s">
        <v>126</v>
      </c>
      <c r="N1405" s="6">
        <v>1</v>
      </c>
      <c r="O1405" t="str">
        <f t="shared" si="85"/>
        <v>Normal</v>
      </c>
      <c r="P1405" t="str">
        <f t="shared" si="86"/>
        <v>Duplicate ID</v>
      </c>
      <c r="Q1405" t="str">
        <f t="shared" si="87"/>
        <v>10,000-14,999</v>
      </c>
      <c r="R1405" s="6">
        <f>IF(COUNTIF($A$2:A1405,A1405)=1,1,0)</f>
        <v>0</v>
      </c>
    </row>
    <row r="1406" spans="1:18" x14ac:dyDescent="0.25">
      <c r="A1406" s="6">
        <v>1394</v>
      </c>
      <c r="B1406" s="7">
        <v>45231</v>
      </c>
      <c r="C1406" t="s">
        <v>1648</v>
      </c>
      <c r="D1406" s="6">
        <v>2016</v>
      </c>
      <c r="E1406" s="8">
        <v>2020</v>
      </c>
      <c r="F1406" s="8">
        <v>9000</v>
      </c>
      <c r="G1406" s="8">
        <f t="shared" si="84"/>
        <v>6980</v>
      </c>
      <c r="H1406" s="6">
        <v>120000</v>
      </c>
      <c r="I1406" t="s">
        <v>58</v>
      </c>
      <c r="J1406" t="s">
        <v>35</v>
      </c>
      <c r="K1406" t="s">
        <v>1647</v>
      </c>
      <c r="L1406" t="s">
        <v>48</v>
      </c>
      <c r="M1406" t="s">
        <v>1647</v>
      </c>
      <c r="N1406" s="6" t="s">
        <v>1647</v>
      </c>
      <c r="O1406" t="str">
        <f t="shared" si="85"/>
        <v>Normal</v>
      </c>
      <c r="P1406" t="str">
        <f t="shared" si="86"/>
        <v>Duplicate ID</v>
      </c>
      <c r="Q1406" t="str">
        <f t="shared" si="87"/>
        <v>0-4,999</v>
      </c>
      <c r="R1406" s="6">
        <f>IF(COUNTIF($A$2:A1406,A1406)=1,1,0)</f>
        <v>1</v>
      </c>
    </row>
    <row r="1407" spans="1:18" x14ac:dyDescent="0.25">
      <c r="A1407" s="6">
        <v>1214</v>
      </c>
      <c r="B1407" s="7">
        <v>44224</v>
      </c>
      <c r="C1407" t="s">
        <v>40</v>
      </c>
      <c r="D1407" s="6">
        <v>2015</v>
      </c>
      <c r="E1407" s="8">
        <v>7735</v>
      </c>
      <c r="F1407" s="8">
        <v>9000</v>
      </c>
      <c r="G1407" s="8">
        <f t="shared" si="84"/>
        <v>1265</v>
      </c>
      <c r="H1407" s="6">
        <v>40000</v>
      </c>
      <c r="I1407" t="s">
        <v>58</v>
      </c>
      <c r="J1407" t="s">
        <v>35</v>
      </c>
      <c r="K1407" t="s">
        <v>96</v>
      </c>
      <c r="L1407" t="s">
        <v>73</v>
      </c>
      <c r="M1407" t="s">
        <v>98</v>
      </c>
      <c r="N1407" s="6" t="s">
        <v>1647</v>
      </c>
      <c r="O1407" t="str">
        <f t="shared" si="85"/>
        <v>Normal</v>
      </c>
      <c r="P1407" t="str">
        <f t="shared" si="86"/>
        <v>Duplicate ID</v>
      </c>
      <c r="Q1407" t="str">
        <f t="shared" si="87"/>
        <v>5,000-9,999</v>
      </c>
      <c r="R1407" s="6">
        <f>IF(COUNTIF($A$2:A1407,A1407)=1,1,0)</f>
        <v>0</v>
      </c>
    </row>
    <row r="1408" spans="1:18" x14ac:dyDescent="0.25">
      <c r="A1408" s="6">
        <v>1363</v>
      </c>
      <c r="B1408" s="7">
        <v>44515</v>
      </c>
      <c r="C1408" t="s">
        <v>1648</v>
      </c>
      <c r="D1408" s="6">
        <v>2014</v>
      </c>
      <c r="E1408" s="8">
        <v>4822</v>
      </c>
      <c r="F1408" s="8">
        <v>9000</v>
      </c>
      <c r="G1408" s="8">
        <f t="shared" si="84"/>
        <v>4178</v>
      </c>
      <c r="H1408" s="6">
        <v>120000</v>
      </c>
      <c r="I1408" t="s">
        <v>41</v>
      </c>
      <c r="J1408" t="s">
        <v>1647</v>
      </c>
      <c r="K1408" t="s">
        <v>96</v>
      </c>
      <c r="L1408" t="s">
        <v>73</v>
      </c>
      <c r="M1408" t="s">
        <v>45</v>
      </c>
      <c r="N1408" s="6">
        <v>3</v>
      </c>
      <c r="O1408" t="str">
        <f t="shared" si="85"/>
        <v>Normal</v>
      </c>
      <c r="P1408" t="str">
        <f t="shared" si="86"/>
        <v>Duplicate ID</v>
      </c>
      <c r="Q1408" t="str">
        <f t="shared" si="87"/>
        <v>0-4,999</v>
      </c>
      <c r="R1408" s="6">
        <f>IF(COUNTIF($A$2:A1408,A1408)=1,1,0)</f>
        <v>0</v>
      </c>
    </row>
    <row r="1409" spans="1:18" x14ac:dyDescent="0.25">
      <c r="A1409" s="6">
        <v>1210</v>
      </c>
      <c r="B1409" s="7">
        <v>44354</v>
      </c>
      <c r="C1409" t="s">
        <v>51</v>
      </c>
      <c r="D1409" s="6">
        <v>2019</v>
      </c>
      <c r="E1409" s="8">
        <v>5014</v>
      </c>
      <c r="F1409" s="8">
        <v>7000</v>
      </c>
      <c r="G1409" s="8">
        <f t="shared" si="84"/>
        <v>1986</v>
      </c>
      <c r="H1409" s="6">
        <v>120000</v>
      </c>
      <c r="I1409" t="s">
        <v>58</v>
      </c>
      <c r="J1409" t="s">
        <v>35</v>
      </c>
      <c r="K1409" t="s">
        <v>36</v>
      </c>
      <c r="L1409" t="s">
        <v>48</v>
      </c>
      <c r="M1409" t="s">
        <v>90</v>
      </c>
      <c r="N1409" s="6" t="s">
        <v>1647</v>
      </c>
      <c r="O1409" t="str">
        <f t="shared" si="85"/>
        <v>Normal</v>
      </c>
      <c r="P1409" t="str">
        <f t="shared" si="86"/>
        <v>Duplicate ID</v>
      </c>
      <c r="Q1409" t="str">
        <f t="shared" si="87"/>
        <v>5,000-9,999</v>
      </c>
      <c r="R1409" s="6">
        <f>IF(COUNTIF($A$2:A1409,A1409)=1,1,0)</f>
        <v>0</v>
      </c>
    </row>
    <row r="1410" spans="1:18" x14ac:dyDescent="0.25">
      <c r="A1410" s="6">
        <v>1057</v>
      </c>
      <c r="B1410" s="7">
        <v>45155</v>
      </c>
      <c r="C1410" t="s">
        <v>1648</v>
      </c>
      <c r="D1410" s="6">
        <v>2022</v>
      </c>
      <c r="E1410" s="8">
        <v>4873</v>
      </c>
      <c r="F1410" s="8">
        <v>7000</v>
      </c>
      <c r="G1410" s="8">
        <f t="shared" ref="G1410:G1473" si="88">IF(OR(F1410="",E1410=""),"",F1410-E1410)</f>
        <v>2127</v>
      </c>
      <c r="H1410" s="6">
        <v>60000</v>
      </c>
      <c r="I1410" t="s">
        <v>41</v>
      </c>
      <c r="J1410" t="s">
        <v>72</v>
      </c>
      <c r="K1410" t="s">
        <v>36</v>
      </c>
      <c r="L1410" t="s">
        <v>1647</v>
      </c>
      <c r="M1410" t="s">
        <v>1647</v>
      </c>
      <c r="N1410" s="6">
        <v>0</v>
      </c>
      <c r="O1410" t="str">
        <f t="shared" ref="O1410:O1473" si="89">IF(E1410&lt;1000,"Outlier","Normal")</f>
        <v>Normal</v>
      </c>
      <c r="P1410" t="str">
        <f t="shared" ref="P1410:P1473" si="90">IF(COUNTIF($A$2:$A$2501,A1410)&gt;1,"Duplicate ID","Unique ID")</f>
        <v>Duplicate ID</v>
      </c>
      <c r="Q1410" t="str">
        <f t="shared" ref="Q1410:Q1473" si="91">IF(E1410&lt;5000,"0-4,999",IF(E1410&lt;10000,"5,000-9,999",IF(E1410&lt;15000,"10,000-14,999",IF(E1410&lt;20000,"15,000-19,999",IF(E1410&lt;25000,"20,000-24,999","25,000-30,000")))))</f>
        <v>0-4,999</v>
      </c>
      <c r="R1410" s="6">
        <f>IF(COUNTIF($A$2:A1410,A1410)=1,1,0)</f>
        <v>0</v>
      </c>
    </row>
    <row r="1411" spans="1:18" x14ac:dyDescent="0.25">
      <c r="A1411" s="6">
        <v>1257</v>
      </c>
      <c r="B1411" s="7">
        <v>44983</v>
      </c>
      <c r="C1411" t="s">
        <v>1648</v>
      </c>
      <c r="D1411" s="6">
        <v>2016</v>
      </c>
      <c r="E1411" s="8">
        <v>5456</v>
      </c>
      <c r="F1411" s="8">
        <v>12000</v>
      </c>
      <c r="G1411" s="8">
        <f t="shared" si="88"/>
        <v>6544</v>
      </c>
      <c r="H1411" s="6">
        <v>25000</v>
      </c>
      <c r="I1411" t="s">
        <v>1647</v>
      </c>
      <c r="J1411" t="s">
        <v>72</v>
      </c>
      <c r="K1411" t="s">
        <v>36</v>
      </c>
      <c r="L1411" t="s">
        <v>73</v>
      </c>
      <c r="M1411" t="s">
        <v>98</v>
      </c>
      <c r="N1411" s="6">
        <v>3</v>
      </c>
      <c r="O1411" t="str">
        <f t="shared" si="89"/>
        <v>Normal</v>
      </c>
      <c r="P1411" t="str">
        <f t="shared" si="90"/>
        <v>Duplicate ID</v>
      </c>
      <c r="Q1411" t="str">
        <f t="shared" si="91"/>
        <v>5,000-9,999</v>
      </c>
      <c r="R1411" s="6">
        <f>IF(COUNTIF($A$2:A1411,A1411)=1,1,0)</f>
        <v>0</v>
      </c>
    </row>
    <row r="1412" spans="1:18" x14ac:dyDescent="0.25">
      <c r="A1412" s="6">
        <v>1562</v>
      </c>
      <c r="B1412" s="7">
        <v>44227</v>
      </c>
      <c r="C1412" t="s">
        <v>32</v>
      </c>
      <c r="D1412" s="6">
        <v>2014</v>
      </c>
      <c r="E1412" s="8">
        <v>6519</v>
      </c>
      <c r="F1412" s="8">
        <v>12000</v>
      </c>
      <c r="G1412" s="8">
        <f t="shared" si="88"/>
        <v>5481</v>
      </c>
      <c r="H1412" s="6">
        <v>40000</v>
      </c>
      <c r="I1412" t="s">
        <v>41</v>
      </c>
      <c r="J1412" t="s">
        <v>35</v>
      </c>
      <c r="K1412" t="s">
        <v>36</v>
      </c>
      <c r="L1412" t="s">
        <v>54</v>
      </c>
      <c r="M1412" t="s">
        <v>45</v>
      </c>
      <c r="N1412" s="6">
        <v>1</v>
      </c>
      <c r="O1412" t="str">
        <f t="shared" si="89"/>
        <v>Normal</v>
      </c>
      <c r="P1412" t="str">
        <f t="shared" si="90"/>
        <v>Duplicate ID</v>
      </c>
      <c r="Q1412" t="str">
        <f t="shared" si="91"/>
        <v>5,000-9,999</v>
      </c>
      <c r="R1412" s="6">
        <f>IF(COUNTIF($A$2:A1412,A1412)=1,1,0)</f>
        <v>0</v>
      </c>
    </row>
    <row r="1413" spans="1:18" x14ac:dyDescent="0.25">
      <c r="A1413" s="6">
        <v>1400</v>
      </c>
      <c r="B1413" s="7">
        <v>44445</v>
      </c>
      <c r="C1413" t="s">
        <v>32</v>
      </c>
      <c r="D1413" s="6">
        <v>2017</v>
      </c>
      <c r="E1413" s="8">
        <v>23671</v>
      </c>
      <c r="F1413" s="8">
        <v>26000</v>
      </c>
      <c r="G1413" s="8">
        <f t="shared" si="88"/>
        <v>2329</v>
      </c>
      <c r="H1413" s="6">
        <v>25000</v>
      </c>
      <c r="I1413" t="s">
        <v>34</v>
      </c>
      <c r="J1413" t="s">
        <v>1647</v>
      </c>
      <c r="K1413" t="s">
        <v>96</v>
      </c>
      <c r="L1413" t="s">
        <v>48</v>
      </c>
      <c r="M1413" t="s">
        <v>45</v>
      </c>
      <c r="N1413" s="6">
        <v>3</v>
      </c>
      <c r="O1413" t="str">
        <f t="shared" si="89"/>
        <v>Normal</v>
      </c>
      <c r="P1413" t="str">
        <f t="shared" si="90"/>
        <v>Duplicate ID</v>
      </c>
      <c r="Q1413" t="str">
        <f t="shared" si="91"/>
        <v>20,000-24,999</v>
      </c>
      <c r="R1413" s="6">
        <f>IF(COUNTIF($A$2:A1413,A1413)=1,1,0)</f>
        <v>0</v>
      </c>
    </row>
    <row r="1414" spans="1:18" x14ac:dyDescent="0.25">
      <c r="A1414" s="6">
        <v>1067</v>
      </c>
      <c r="B1414" s="7">
        <v>44927</v>
      </c>
      <c r="C1414" t="s">
        <v>1648</v>
      </c>
      <c r="D1414" s="6">
        <v>2014</v>
      </c>
      <c r="E1414" s="8">
        <v>19412</v>
      </c>
      <c r="F1414" s="8">
        <v>26000</v>
      </c>
      <c r="G1414" s="8">
        <f t="shared" si="88"/>
        <v>6588</v>
      </c>
      <c r="H1414" s="6">
        <v>60000</v>
      </c>
      <c r="I1414" t="s">
        <v>69</v>
      </c>
      <c r="J1414" t="s">
        <v>35</v>
      </c>
      <c r="K1414" t="s">
        <v>36</v>
      </c>
      <c r="L1414" t="s">
        <v>54</v>
      </c>
      <c r="M1414" t="s">
        <v>126</v>
      </c>
      <c r="N1414" s="6">
        <v>0</v>
      </c>
      <c r="O1414" t="str">
        <f t="shared" si="89"/>
        <v>Normal</v>
      </c>
      <c r="P1414" t="str">
        <f t="shared" si="90"/>
        <v>Duplicate ID</v>
      </c>
      <c r="Q1414" t="str">
        <f t="shared" si="91"/>
        <v>15,000-19,999</v>
      </c>
      <c r="R1414" s="6">
        <f>IF(COUNTIF($A$2:A1414,A1414)=1,1,0)</f>
        <v>0</v>
      </c>
    </row>
    <row r="1415" spans="1:18" x14ac:dyDescent="0.25">
      <c r="A1415" s="6">
        <v>1491</v>
      </c>
      <c r="B1415" s="7">
        <v>44206</v>
      </c>
      <c r="C1415" t="s">
        <v>1648</v>
      </c>
      <c r="D1415" s="6">
        <v>2018</v>
      </c>
      <c r="E1415" s="8">
        <v>10405</v>
      </c>
      <c r="F1415" s="8">
        <v>12000</v>
      </c>
      <c r="G1415" s="8">
        <f t="shared" si="88"/>
        <v>1595</v>
      </c>
      <c r="H1415" s="6">
        <v>60000</v>
      </c>
      <c r="I1415" t="s">
        <v>69</v>
      </c>
      <c r="J1415" t="s">
        <v>35</v>
      </c>
      <c r="K1415" t="s">
        <v>96</v>
      </c>
      <c r="L1415" t="s">
        <v>100</v>
      </c>
      <c r="M1415" t="s">
        <v>126</v>
      </c>
      <c r="N1415" s="6" t="s">
        <v>1647</v>
      </c>
      <c r="O1415" t="str">
        <f t="shared" si="89"/>
        <v>Normal</v>
      </c>
      <c r="P1415" t="str">
        <f t="shared" si="90"/>
        <v>Duplicate ID</v>
      </c>
      <c r="Q1415" t="str">
        <f t="shared" si="91"/>
        <v>10,000-14,999</v>
      </c>
      <c r="R1415" s="6">
        <f>IF(COUNTIF($A$2:A1415,A1415)=1,1,0)</f>
        <v>0</v>
      </c>
    </row>
    <row r="1416" spans="1:18" x14ac:dyDescent="0.25">
      <c r="A1416" s="6">
        <v>1515</v>
      </c>
      <c r="B1416" s="7">
        <v>44796</v>
      </c>
      <c r="C1416" t="s">
        <v>119</v>
      </c>
      <c r="D1416" s="6"/>
      <c r="E1416" s="8">
        <v>6562</v>
      </c>
      <c r="F1416" s="8">
        <v>12000</v>
      </c>
      <c r="G1416" s="8">
        <f t="shared" si="88"/>
        <v>5438</v>
      </c>
      <c r="H1416" s="6">
        <v>40000</v>
      </c>
      <c r="I1416" t="s">
        <v>41</v>
      </c>
      <c r="J1416" t="s">
        <v>72</v>
      </c>
      <c r="K1416" t="s">
        <v>1647</v>
      </c>
      <c r="L1416" t="s">
        <v>73</v>
      </c>
      <c r="M1416" t="s">
        <v>126</v>
      </c>
      <c r="N1416" s="6">
        <v>2</v>
      </c>
      <c r="O1416" t="str">
        <f t="shared" si="89"/>
        <v>Normal</v>
      </c>
      <c r="P1416" t="str">
        <f t="shared" si="90"/>
        <v>Duplicate ID</v>
      </c>
      <c r="Q1416" t="str">
        <f t="shared" si="91"/>
        <v>5,000-9,999</v>
      </c>
      <c r="R1416" s="6">
        <f>IF(COUNTIF($A$2:A1416,A1416)=1,1,0)</f>
        <v>0</v>
      </c>
    </row>
    <row r="1417" spans="1:18" x14ac:dyDescent="0.25">
      <c r="A1417" s="6">
        <v>1386</v>
      </c>
      <c r="B1417" s="7">
        <v>44342</v>
      </c>
      <c r="C1417" t="s">
        <v>119</v>
      </c>
      <c r="D1417" s="6">
        <v>2014</v>
      </c>
      <c r="E1417" s="8">
        <v>7983</v>
      </c>
      <c r="F1417" s="8">
        <v>12000</v>
      </c>
      <c r="G1417" s="8">
        <f t="shared" si="88"/>
        <v>4017</v>
      </c>
      <c r="H1417" s="6">
        <v>15000</v>
      </c>
      <c r="I1417" t="s">
        <v>34</v>
      </c>
      <c r="J1417" t="s">
        <v>72</v>
      </c>
      <c r="K1417" t="s">
        <v>96</v>
      </c>
      <c r="L1417" t="s">
        <v>100</v>
      </c>
      <c r="M1417" t="s">
        <v>90</v>
      </c>
      <c r="N1417" s="6" t="s">
        <v>1647</v>
      </c>
      <c r="O1417" t="str">
        <f t="shared" si="89"/>
        <v>Normal</v>
      </c>
      <c r="P1417" t="str">
        <f t="shared" si="90"/>
        <v>Duplicate ID</v>
      </c>
      <c r="Q1417" t="str">
        <f t="shared" si="91"/>
        <v>5,000-9,999</v>
      </c>
      <c r="R1417" s="6">
        <f>IF(COUNTIF($A$2:A1417,A1417)=1,1,0)</f>
        <v>0</v>
      </c>
    </row>
    <row r="1418" spans="1:18" x14ac:dyDescent="0.25">
      <c r="A1418" s="6">
        <v>1003</v>
      </c>
      <c r="B1418" s="7">
        <v>44388</v>
      </c>
      <c r="C1418" t="s">
        <v>51</v>
      </c>
      <c r="D1418" s="6">
        <v>2017</v>
      </c>
      <c r="E1418" s="8">
        <v>16257</v>
      </c>
      <c r="F1418" s="8">
        <v>18000</v>
      </c>
      <c r="G1418" s="8">
        <f t="shared" si="88"/>
        <v>1743</v>
      </c>
      <c r="H1418" s="6">
        <v>80000</v>
      </c>
      <c r="I1418" t="s">
        <v>69</v>
      </c>
      <c r="J1418" t="s">
        <v>72</v>
      </c>
      <c r="K1418" t="s">
        <v>96</v>
      </c>
      <c r="L1418" t="s">
        <v>54</v>
      </c>
      <c r="M1418" t="s">
        <v>90</v>
      </c>
      <c r="N1418" s="6">
        <v>3</v>
      </c>
      <c r="O1418" t="str">
        <f t="shared" si="89"/>
        <v>Normal</v>
      </c>
      <c r="P1418" t="str">
        <f t="shared" si="90"/>
        <v>Duplicate ID</v>
      </c>
      <c r="Q1418" t="str">
        <f t="shared" si="91"/>
        <v>15,000-19,999</v>
      </c>
      <c r="R1418" s="6">
        <f>IF(COUNTIF($A$2:A1418,A1418)=1,1,0)</f>
        <v>0</v>
      </c>
    </row>
    <row r="1419" spans="1:18" x14ac:dyDescent="0.25">
      <c r="A1419" s="6">
        <v>1345</v>
      </c>
      <c r="B1419" s="7">
        <v>45327</v>
      </c>
      <c r="C1419" t="s">
        <v>1648</v>
      </c>
      <c r="D1419" s="6">
        <v>2015</v>
      </c>
      <c r="E1419" s="8">
        <v>18979</v>
      </c>
      <c r="F1419" s="8">
        <v>22000</v>
      </c>
      <c r="G1419" s="8">
        <f t="shared" si="88"/>
        <v>3021</v>
      </c>
      <c r="H1419" s="6">
        <v>60000</v>
      </c>
      <c r="I1419" t="s">
        <v>58</v>
      </c>
      <c r="J1419" t="s">
        <v>1647</v>
      </c>
      <c r="K1419" t="s">
        <v>36</v>
      </c>
      <c r="L1419" t="s">
        <v>48</v>
      </c>
      <c r="M1419" t="s">
        <v>98</v>
      </c>
      <c r="N1419" s="6">
        <v>2</v>
      </c>
      <c r="O1419" t="str">
        <f t="shared" si="89"/>
        <v>Normal</v>
      </c>
      <c r="P1419" t="str">
        <f t="shared" si="90"/>
        <v>Duplicate ID</v>
      </c>
      <c r="Q1419" t="str">
        <f t="shared" si="91"/>
        <v>15,000-19,999</v>
      </c>
      <c r="R1419" s="6">
        <f>IF(COUNTIF($A$2:A1419,A1419)=1,1,0)</f>
        <v>0</v>
      </c>
    </row>
    <row r="1420" spans="1:18" x14ac:dyDescent="0.25">
      <c r="A1420" s="6">
        <v>1509</v>
      </c>
      <c r="B1420" s="7">
        <v>45349</v>
      </c>
      <c r="C1420" t="s">
        <v>32</v>
      </c>
      <c r="D1420" s="6">
        <v>2016</v>
      </c>
      <c r="E1420" s="8">
        <v>10952</v>
      </c>
      <c r="F1420" s="8">
        <v>15000</v>
      </c>
      <c r="G1420" s="8">
        <f t="shared" si="88"/>
        <v>4048</v>
      </c>
      <c r="H1420" s="6">
        <v>80000</v>
      </c>
      <c r="I1420" t="s">
        <v>34</v>
      </c>
      <c r="J1420" t="s">
        <v>35</v>
      </c>
      <c r="K1420" t="s">
        <v>1647</v>
      </c>
      <c r="L1420" t="s">
        <v>48</v>
      </c>
      <c r="M1420" t="s">
        <v>90</v>
      </c>
      <c r="N1420" s="6">
        <v>1</v>
      </c>
      <c r="O1420" t="str">
        <f t="shared" si="89"/>
        <v>Normal</v>
      </c>
      <c r="P1420" t="str">
        <f t="shared" si="90"/>
        <v>Duplicate ID</v>
      </c>
      <c r="Q1420" t="str">
        <f t="shared" si="91"/>
        <v>10,000-14,999</v>
      </c>
      <c r="R1420" s="6">
        <f>IF(COUNTIF($A$2:A1420,A1420)=1,1,0)</f>
        <v>0</v>
      </c>
    </row>
    <row r="1421" spans="1:18" x14ac:dyDescent="0.25">
      <c r="A1421" s="6">
        <v>1378</v>
      </c>
      <c r="B1421" s="7">
        <v>45088</v>
      </c>
      <c r="C1421" t="s">
        <v>79</v>
      </c>
      <c r="D1421" s="6">
        <v>2014</v>
      </c>
      <c r="E1421" s="8">
        <v>8603</v>
      </c>
      <c r="F1421" s="8">
        <v>12000</v>
      </c>
      <c r="G1421" s="8">
        <f t="shared" si="88"/>
        <v>3397</v>
      </c>
      <c r="H1421" s="6">
        <v>40000</v>
      </c>
      <c r="I1421" t="s">
        <v>58</v>
      </c>
      <c r="J1421" t="s">
        <v>35</v>
      </c>
      <c r="K1421" t="s">
        <v>96</v>
      </c>
      <c r="L1421" t="s">
        <v>73</v>
      </c>
      <c r="M1421" t="s">
        <v>98</v>
      </c>
      <c r="N1421" s="6">
        <v>0</v>
      </c>
      <c r="O1421" t="str">
        <f t="shared" si="89"/>
        <v>Normal</v>
      </c>
      <c r="P1421" t="str">
        <f t="shared" si="90"/>
        <v>Duplicate ID</v>
      </c>
      <c r="Q1421" t="str">
        <f t="shared" si="91"/>
        <v>5,000-9,999</v>
      </c>
      <c r="R1421" s="6">
        <f>IF(COUNTIF($A$2:A1421,A1421)=1,1,0)</f>
        <v>0</v>
      </c>
    </row>
    <row r="1422" spans="1:18" x14ac:dyDescent="0.25">
      <c r="A1422" s="6">
        <v>1125</v>
      </c>
      <c r="B1422" s="7">
        <v>45146</v>
      </c>
      <c r="C1422" t="s">
        <v>40</v>
      </c>
      <c r="D1422" s="6">
        <v>2021</v>
      </c>
      <c r="E1422" s="8">
        <v>9904</v>
      </c>
      <c r="F1422" s="8">
        <v>15000</v>
      </c>
      <c r="G1422" s="8">
        <f t="shared" si="88"/>
        <v>5096</v>
      </c>
      <c r="H1422" s="6">
        <v>15000</v>
      </c>
      <c r="I1422" t="s">
        <v>1647</v>
      </c>
      <c r="J1422" t="s">
        <v>1647</v>
      </c>
      <c r="K1422" t="s">
        <v>36</v>
      </c>
      <c r="L1422" t="s">
        <v>48</v>
      </c>
      <c r="M1422" t="s">
        <v>126</v>
      </c>
      <c r="N1422" s="6">
        <v>1</v>
      </c>
      <c r="O1422" t="str">
        <f t="shared" si="89"/>
        <v>Normal</v>
      </c>
      <c r="P1422" t="str">
        <f t="shared" si="90"/>
        <v>Duplicate ID</v>
      </c>
      <c r="Q1422" t="str">
        <f t="shared" si="91"/>
        <v>5,000-9,999</v>
      </c>
      <c r="R1422" s="6">
        <f>IF(COUNTIF($A$2:A1422,A1422)=1,1,0)</f>
        <v>0</v>
      </c>
    </row>
    <row r="1423" spans="1:18" x14ac:dyDescent="0.25">
      <c r="A1423" s="6">
        <v>1016</v>
      </c>
      <c r="B1423" s="7">
        <v>45282</v>
      </c>
      <c r="C1423" t="s">
        <v>32</v>
      </c>
      <c r="D1423" s="6">
        <v>2021</v>
      </c>
      <c r="E1423" s="8">
        <v>19131</v>
      </c>
      <c r="F1423" s="8">
        <v>22000</v>
      </c>
      <c r="G1423" s="8">
        <f t="shared" si="88"/>
        <v>2869</v>
      </c>
      <c r="H1423" s="6">
        <v>40000</v>
      </c>
      <c r="I1423" t="s">
        <v>41</v>
      </c>
      <c r="J1423" t="s">
        <v>72</v>
      </c>
      <c r="K1423" t="s">
        <v>1647</v>
      </c>
      <c r="L1423" t="s">
        <v>54</v>
      </c>
      <c r="M1423" t="s">
        <v>98</v>
      </c>
      <c r="N1423" s="6">
        <v>1</v>
      </c>
      <c r="O1423" t="str">
        <f t="shared" si="89"/>
        <v>Normal</v>
      </c>
      <c r="P1423" t="str">
        <f t="shared" si="90"/>
        <v>Duplicate ID</v>
      </c>
      <c r="Q1423" t="str">
        <f t="shared" si="91"/>
        <v>15,000-19,999</v>
      </c>
      <c r="R1423" s="6">
        <f>IF(COUNTIF($A$2:A1423,A1423)=1,1,0)</f>
        <v>0</v>
      </c>
    </row>
    <row r="1424" spans="1:18" x14ac:dyDescent="0.25">
      <c r="A1424" s="6">
        <v>1265</v>
      </c>
      <c r="B1424" s="7">
        <v>44877</v>
      </c>
      <c r="C1424" t="s">
        <v>79</v>
      </c>
      <c r="D1424" s="6">
        <v>2014</v>
      </c>
      <c r="E1424" s="8">
        <v>9585</v>
      </c>
      <c r="F1424" s="8">
        <v>12000</v>
      </c>
      <c r="G1424" s="8">
        <f t="shared" si="88"/>
        <v>2415</v>
      </c>
      <c r="H1424" s="6">
        <v>80000</v>
      </c>
      <c r="I1424" t="s">
        <v>58</v>
      </c>
      <c r="J1424" t="s">
        <v>72</v>
      </c>
      <c r="K1424" t="s">
        <v>36</v>
      </c>
      <c r="L1424" t="s">
        <v>1647</v>
      </c>
      <c r="M1424" t="s">
        <v>1647</v>
      </c>
      <c r="N1424" s="6">
        <v>2</v>
      </c>
      <c r="O1424" t="str">
        <f t="shared" si="89"/>
        <v>Normal</v>
      </c>
      <c r="P1424" t="str">
        <f t="shared" si="90"/>
        <v>Duplicate ID</v>
      </c>
      <c r="Q1424" t="str">
        <f t="shared" si="91"/>
        <v>5,000-9,999</v>
      </c>
      <c r="R1424" s="6">
        <f>IF(COUNTIF($A$2:A1424,A1424)=1,1,0)</f>
        <v>0</v>
      </c>
    </row>
    <row r="1425" spans="1:18" x14ac:dyDescent="0.25">
      <c r="A1425" s="6">
        <v>1010</v>
      </c>
      <c r="B1425" s="7">
        <v>44475</v>
      </c>
      <c r="C1425" t="s">
        <v>40</v>
      </c>
      <c r="D1425" s="6">
        <v>2021</v>
      </c>
      <c r="E1425" s="8">
        <v>22947</v>
      </c>
      <c r="F1425" s="8">
        <v>26000</v>
      </c>
      <c r="G1425" s="8">
        <f t="shared" si="88"/>
        <v>3053</v>
      </c>
      <c r="H1425" s="6">
        <v>60000</v>
      </c>
      <c r="I1425" t="s">
        <v>58</v>
      </c>
      <c r="J1425" t="s">
        <v>72</v>
      </c>
      <c r="K1425" t="s">
        <v>36</v>
      </c>
      <c r="L1425" t="s">
        <v>100</v>
      </c>
      <c r="M1425" t="s">
        <v>45</v>
      </c>
      <c r="N1425" s="6">
        <v>1</v>
      </c>
      <c r="O1425" t="str">
        <f t="shared" si="89"/>
        <v>Normal</v>
      </c>
      <c r="P1425" t="str">
        <f t="shared" si="90"/>
        <v>Duplicate ID</v>
      </c>
      <c r="Q1425" t="str">
        <f t="shared" si="91"/>
        <v>20,000-24,999</v>
      </c>
      <c r="R1425" s="6">
        <f>IF(COUNTIF($A$2:A1425,A1425)=1,1,0)</f>
        <v>0</v>
      </c>
    </row>
    <row r="1426" spans="1:18" x14ac:dyDescent="0.25">
      <c r="A1426" s="6">
        <v>1128</v>
      </c>
      <c r="B1426" s="7">
        <v>44930</v>
      </c>
      <c r="C1426" t="s">
        <v>79</v>
      </c>
      <c r="D1426" s="6">
        <v>2021</v>
      </c>
      <c r="E1426" s="8">
        <v>23867</v>
      </c>
      <c r="F1426" s="8">
        <v>26000</v>
      </c>
      <c r="G1426" s="8">
        <f t="shared" si="88"/>
        <v>2133</v>
      </c>
      <c r="H1426" s="6">
        <v>120000</v>
      </c>
      <c r="I1426" t="s">
        <v>1647</v>
      </c>
      <c r="J1426" t="s">
        <v>1647</v>
      </c>
      <c r="K1426" t="s">
        <v>36</v>
      </c>
      <c r="L1426" t="s">
        <v>48</v>
      </c>
      <c r="M1426" t="s">
        <v>126</v>
      </c>
      <c r="N1426" s="6">
        <v>2</v>
      </c>
      <c r="O1426" t="str">
        <f t="shared" si="89"/>
        <v>Normal</v>
      </c>
      <c r="P1426" t="str">
        <f t="shared" si="90"/>
        <v>Duplicate ID</v>
      </c>
      <c r="Q1426" t="str">
        <f t="shared" si="91"/>
        <v>20,000-24,999</v>
      </c>
      <c r="R1426" s="6">
        <f>IF(COUNTIF($A$2:A1426,A1426)=1,1,0)</f>
        <v>0</v>
      </c>
    </row>
    <row r="1427" spans="1:18" x14ac:dyDescent="0.25">
      <c r="A1427" s="6">
        <v>1379</v>
      </c>
      <c r="B1427" s="7">
        <v>44882</v>
      </c>
      <c r="C1427" t="s">
        <v>79</v>
      </c>
      <c r="D1427" s="6"/>
      <c r="E1427" s="8">
        <v>13529</v>
      </c>
      <c r="F1427" s="8">
        <v>15000</v>
      </c>
      <c r="G1427" s="8">
        <f t="shared" si="88"/>
        <v>1471</v>
      </c>
      <c r="H1427" s="6">
        <v>25000</v>
      </c>
      <c r="I1427" t="s">
        <v>41</v>
      </c>
      <c r="J1427" t="s">
        <v>1647</v>
      </c>
      <c r="K1427" t="s">
        <v>1647</v>
      </c>
      <c r="L1427" t="s">
        <v>100</v>
      </c>
      <c r="M1427" t="s">
        <v>98</v>
      </c>
      <c r="N1427" s="6">
        <v>1</v>
      </c>
      <c r="O1427" t="str">
        <f t="shared" si="89"/>
        <v>Normal</v>
      </c>
      <c r="P1427" t="str">
        <f t="shared" si="90"/>
        <v>Duplicate ID</v>
      </c>
      <c r="Q1427" t="str">
        <f t="shared" si="91"/>
        <v>10,000-14,999</v>
      </c>
      <c r="R1427" s="6">
        <f>IF(COUNTIF($A$2:A1427,A1427)=1,1,0)</f>
        <v>0</v>
      </c>
    </row>
    <row r="1428" spans="1:18" x14ac:dyDescent="0.25">
      <c r="A1428" s="6">
        <v>1263</v>
      </c>
      <c r="B1428" s="7">
        <v>45075</v>
      </c>
      <c r="C1428" t="s">
        <v>1648</v>
      </c>
      <c r="D1428" s="6">
        <v>2015</v>
      </c>
      <c r="E1428" s="8">
        <v>17319</v>
      </c>
      <c r="F1428" s="8">
        <v>22000</v>
      </c>
      <c r="G1428" s="8">
        <f t="shared" si="88"/>
        <v>4681</v>
      </c>
      <c r="H1428" s="6">
        <v>80000</v>
      </c>
      <c r="I1428" t="s">
        <v>69</v>
      </c>
      <c r="J1428" t="s">
        <v>72</v>
      </c>
      <c r="K1428" t="s">
        <v>96</v>
      </c>
      <c r="L1428" t="s">
        <v>73</v>
      </c>
      <c r="M1428" t="s">
        <v>98</v>
      </c>
      <c r="N1428" s="6" t="s">
        <v>1647</v>
      </c>
      <c r="O1428" t="str">
        <f t="shared" si="89"/>
        <v>Normal</v>
      </c>
      <c r="P1428" t="str">
        <f t="shared" si="90"/>
        <v>Duplicate ID</v>
      </c>
      <c r="Q1428" t="str">
        <f t="shared" si="91"/>
        <v>15,000-19,999</v>
      </c>
      <c r="R1428" s="6">
        <f>IF(COUNTIF($A$2:A1428,A1428)=1,1,0)</f>
        <v>0</v>
      </c>
    </row>
    <row r="1429" spans="1:18" x14ac:dyDescent="0.25">
      <c r="A1429" s="6">
        <v>1446</v>
      </c>
      <c r="B1429" s="7">
        <v>44522</v>
      </c>
      <c r="C1429" t="s">
        <v>1648</v>
      </c>
      <c r="D1429" s="6">
        <v>2021</v>
      </c>
      <c r="E1429" s="8">
        <v>18914</v>
      </c>
      <c r="F1429" s="8">
        <v>22000</v>
      </c>
      <c r="G1429" s="8">
        <f t="shared" si="88"/>
        <v>3086</v>
      </c>
      <c r="H1429" s="6">
        <v>40000</v>
      </c>
      <c r="I1429" t="s">
        <v>58</v>
      </c>
      <c r="J1429" t="s">
        <v>1647</v>
      </c>
      <c r="K1429" t="s">
        <v>96</v>
      </c>
      <c r="L1429" t="s">
        <v>100</v>
      </c>
      <c r="M1429" t="s">
        <v>90</v>
      </c>
      <c r="N1429" s="6">
        <v>3</v>
      </c>
      <c r="O1429" t="str">
        <f t="shared" si="89"/>
        <v>Normal</v>
      </c>
      <c r="P1429" t="str">
        <f t="shared" si="90"/>
        <v>Duplicate ID</v>
      </c>
      <c r="Q1429" t="str">
        <f t="shared" si="91"/>
        <v>15,000-19,999</v>
      </c>
      <c r="R1429" s="6">
        <f>IF(COUNTIF($A$2:A1429,A1429)=1,1,0)</f>
        <v>0</v>
      </c>
    </row>
    <row r="1430" spans="1:18" x14ac:dyDescent="0.25">
      <c r="A1430" s="6">
        <v>1184</v>
      </c>
      <c r="B1430" s="7">
        <v>44619</v>
      </c>
      <c r="C1430" t="s">
        <v>57</v>
      </c>
      <c r="D1430" s="6">
        <v>2020</v>
      </c>
      <c r="E1430" s="8">
        <v>5031</v>
      </c>
      <c r="F1430" s="8">
        <v>12000</v>
      </c>
      <c r="G1430" s="8">
        <f t="shared" si="88"/>
        <v>6969</v>
      </c>
      <c r="H1430" s="6">
        <v>60000</v>
      </c>
      <c r="I1430" t="s">
        <v>58</v>
      </c>
      <c r="J1430" t="s">
        <v>72</v>
      </c>
      <c r="K1430" t="s">
        <v>36</v>
      </c>
      <c r="L1430" t="s">
        <v>73</v>
      </c>
      <c r="M1430" t="s">
        <v>126</v>
      </c>
      <c r="N1430" s="6">
        <v>3</v>
      </c>
      <c r="O1430" t="str">
        <f t="shared" si="89"/>
        <v>Normal</v>
      </c>
      <c r="P1430" t="str">
        <f t="shared" si="90"/>
        <v>Duplicate ID</v>
      </c>
      <c r="Q1430" t="str">
        <f t="shared" si="91"/>
        <v>5,000-9,999</v>
      </c>
      <c r="R1430" s="6">
        <f>IF(COUNTIF($A$2:A1430,A1430)=1,1,0)</f>
        <v>0</v>
      </c>
    </row>
    <row r="1431" spans="1:18" x14ac:dyDescent="0.25">
      <c r="A1431" s="6">
        <v>1503</v>
      </c>
      <c r="B1431" s="7">
        <v>44444</v>
      </c>
      <c r="C1431" t="s">
        <v>79</v>
      </c>
      <c r="D1431" s="6">
        <v>2018</v>
      </c>
      <c r="E1431" s="8">
        <v>25030</v>
      </c>
      <c r="F1431" s="8">
        <v>31000</v>
      </c>
      <c r="G1431" s="8">
        <f t="shared" si="88"/>
        <v>5970</v>
      </c>
      <c r="H1431" s="6">
        <v>60000</v>
      </c>
      <c r="I1431" t="s">
        <v>58</v>
      </c>
      <c r="J1431" t="s">
        <v>1647</v>
      </c>
      <c r="K1431" t="s">
        <v>1647</v>
      </c>
      <c r="L1431" t="s">
        <v>54</v>
      </c>
      <c r="M1431" t="s">
        <v>126</v>
      </c>
      <c r="N1431" s="6">
        <v>2</v>
      </c>
      <c r="O1431" t="str">
        <f t="shared" si="89"/>
        <v>Normal</v>
      </c>
      <c r="P1431" t="str">
        <f t="shared" si="90"/>
        <v>Duplicate ID</v>
      </c>
      <c r="Q1431" t="str">
        <f t="shared" si="91"/>
        <v>25,000-30,000</v>
      </c>
      <c r="R1431" s="6">
        <f>IF(COUNTIF($A$2:A1431,A1431)=1,1,0)</f>
        <v>0</v>
      </c>
    </row>
    <row r="1432" spans="1:18" x14ac:dyDescent="0.25">
      <c r="A1432" s="6">
        <v>1033</v>
      </c>
      <c r="B1432" s="7">
        <v>44673</v>
      </c>
      <c r="C1432" t="s">
        <v>119</v>
      </c>
      <c r="D1432" s="6">
        <v>2022</v>
      </c>
      <c r="E1432" s="8">
        <v>20467</v>
      </c>
      <c r="F1432" s="8">
        <v>26000</v>
      </c>
      <c r="G1432" s="8">
        <f t="shared" si="88"/>
        <v>5533</v>
      </c>
      <c r="H1432" s="6">
        <v>80000</v>
      </c>
      <c r="I1432" t="s">
        <v>41</v>
      </c>
      <c r="J1432" t="s">
        <v>35</v>
      </c>
      <c r="K1432" t="s">
        <v>1647</v>
      </c>
      <c r="L1432" t="s">
        <v>100</v>
      </c>
      <c r="M1432" t="s">
        <v>90</v>
      </c>
      <c r="N1432" s="6">
        <v>0</v>
      </c>
      <c r="O1432" t="str">
        <f t="shared" si="89"/>
        <v>Normal</v>
      </c>
      <c r="P1432" t="str">
        <f t="shared" si="90"/>
        <v>Duplicate ID</v>
      </c>
      <c r="Q1432" t="str">
        <f t="shared" si="91"/>
        <v>20,000-24,999</v>
      </c>
      <c r="R1432" s="6">
        <f>IF(COUNTIF($A$2:A1432,A1432)=1,1,0)</f>
        <v>0</v>
      </c>
    </row>
    <row r="1433" spans="1:18" x14ac:dyDescent="0.25">
      <c r="A1433" s="6">
        <v>1407</v>
      </c>
      <c r="B1433" s="7">
        <v>44574</v>
      </c>
      <c r="C1433" t="s">
        <v>57</v>
      </c>
      <c r="D1433" s="6">
        <v>2020</v>
      </c>
      <c r="E1433" s="8">
        <v>3820</v>
      </c>
      <c r="F1433" s="8">
        <v>7000</v>
      </c>
      <c r="G1433" s="8">
        <f t="shared" si="88"/>
        <v>3180</v>
      </c>
      <c r="H1433" s="6">
        <v>15000</v>
      </c>
      <c r="I1433" t="s">
        <v>41</v>
      </c>
      <c r="J1433" t="s">
        <v>35</v>
      </c>
      <c r="K1433" t="s">
        <v>96</v>
      </c>
      <c r="L1433" t="s">
        <v>48</v>
      </c>
      <c r="M1433" t="s">
        <v>126</v>
      </c>
      <c r="N1433" s="6">
        <v>1</v>
      </c>
      <c r="O1433" t="str">
        <f t="shared" si="89"/>
        <v>Normal</v>
      </c>
      <c r="P1433" t="str">
        <f t="shared" si="90"/>
        <v>Duplicate ID</v>
      </c>
      <c r="Q1433" t="str">
        <f t="shared" si="91"/>
        <v>0-4,999</v>
      </c>
      <c r="R1433" s="6">
        <f>IF(COUNTIF($A$2:A1433,A1433)=1,1,0)</f>
        <v>0</v>
      </c>
    </row>
    <row r="1434" spans="1:18" x14ac:dyDescent="0.25">
      <c r="A1434" s="6">
        <v>1011</v>
      </c>
      <c r="B1434" s="7">
        <v>44898</v>
      </c>
      <c r="C1434" t="s">
        <v>40</v>
      </c>
      <c r="D1434" s="6">
        <v>2020</v>
      </c>
      <c r="E1434" s="8">
        <v>13678</v>
      </c>
      <c r="F1434" s="8">
        <v>15000</v>
      </c>
      <c r="G1434" s="8">
        <f t="shared" si="88"/>
        <v>1322</v>
      </c>
      <c r="H1434" s="6">
        <v>60000</v>
      </c>
      <c r="I1434" t="s">
        <v>58</v>
      </c>
      <c r="J1434" t="s">
        <v>72</v>
      </c>
      <c r="K1434" t="s">
        <v>96</v>
      </c>
      <c r="L1434" t="s">
        <v>100</v>
      </c>
      <c r="M1434" t="s">
        <v>45</v>
      </c>
      <c r="N1434" s="6">
        <v>2</v>
      </c>
      <c r="O1434" t="str">
        <f t="shared" si="89"/>
        <v>Normal</v>
      </c>
      <c r="P1434" t="str">
        <f t="shared" si="90"/>
        <v>Duplicate ID</v>
      </c>
      <c r="Q1434" t="str">
        <f t="shared" si="91"/>
        <v>10,000-14,999</v>
      </c>
      <c r="R1434" s="6">
        <f>IF(COUNTIF($A$2:A1434,A1434)=1,1,0)</f>
        <v>0</v>
      </c>
    </row>
    <row r="1435" spans="1:18" x14ac:dyDescent="0.25">
      <c r="A1435" s="6">
        <v>1576</v>
      </c>
      <c r="B1435" s="7">
        <v>44524</v>
      </c>
      <c r="C1435" t="s">
        <v>79</v>
      </c>
      <c r="D1435" s="6"/>
      <c r="E1435" s="8">
        <v>10391</v>
      </c>
      <c r="F1435" s="8">
        <v>15000</v>
      </c>
      <c r="G1435" s="8">
        <f t="shared" si="88"/>
        <v>4609</v>
      </c>
      <c r="H1435" s="6">
        <v>15000</v>
      </c>
      <c r="I1435" t="s">
        <v>41</v>
      </c>
      <c r="J1435" t="s">
        <v>1647</v>
      </c>
      <c r="K1435" t="s">
        <v>36</v>
      </c>
      <c r="L1435" t="s">
        <v>73</v>
      </c>
      <c r="M1435" t="s">
        <v>98</v>
      </c>
      <c r="N1435" s="6">
        <v>2</v>
      </c>
      <c r="O1435" t="str">
        <f t="shared" si="89"/>
        <v>Normal</v>
      </c>
      <c r="P1435" t="str">
        <f t="shared" si="90"/>
        <v>Duplicate ID</v>
      </c>
      <c r="Q1435" t="str">
        <f t="shared" si="91"/>
        <v>10,000-14,999</v>
      </c>
      <c r="R1435" s="6">
        <f>IF(COUNTIF($A$2:A1435,A1435)=1,1,0)</f>
        <v>0</v>
      </c>
    </row>
    <row r="1436" spans="1:18" x14ac:dyDescent="0.25">
      <c r="A1436" s="6">
        <v>1332</v>
      </c>
      <c r="B1436" s="7">
        <v>45323</v>
      </c>
      <c r="C1436" t="s">
        <v>119</v>
      </c>
      <c r="D1436" s="6">
        <v>2014</v>
      </c>
      <c r="E1436" s="8">
        <v>5956</v>
      </c>
      <c r="F1436" s="8">
        <v>12000</v>
      </c>
      <c r="G1436" s="8">
        <f t="shared" si="88"/>
        <v>6044</v>
      </c>
      <c r="H1436" s="6">
        <v>40000</v>
      </c>
      <c r="I1436" t="s">
        <v>58</v>
      </c>
      <c r="J1436" t="s">
        <v>35</v>
      </c>
      <c r="K1436" t="s">
        <v>96</v>
      </c>
      <c r="L1436" t="s">
        <v>100</v>
      </c>
      <c r="M1436" t="s">
        <v>98</v>
      </c>
      <c r="N1436" s="6">
        <v>1</v>
      </c>
      <c r="O1436" t="str">
        <f t="shared" si="89"/>
        <v>Normal</v>
      </c>
      <c r="P1436" t="str">
        <f t="shared" si="90"/>
        <v>Duplicate ID</v>
      </c>
      <c r="Q1436" t="str">
        <f t="shared" si="91"/>
        <v>5,000-9,999</v>
      </c>
      <c r="R1436" s="6">
        <f>IF(COUNTIF($A$2:A1436,A1436)=1,1,0)</f>
        <v>0</v>
      </c>
    </row>
    <row r="1437" spans="1:18" x14ac:dyDescent="0.25">
      <c r="A1437" s="6">
        <v>1048</v>
      </c>
      <c r="B1437" s="7">
        <v>44909</v>
      </c>
      <c r="C1437" t="s">
        <v>40</v>
      </c>
      <c r="D1437" s="6">
        <v>2016</v>
      </c>
      <c r="E1437" s="8">
        <v>6180</v>
      </c>
      <c r="F1437" s="8">
        <v>9000</v>
      </c>
      <c r="G1437" s="8">
        <f t="shared" si="88"/>
        <v>2820</v>
      </c>
      <c r="H1437" s="6">
        <v>60000</v>
      </c>
      <c r="I1437" t="s">
        <v>41</v>
      </c>
      <c r="J1437" t="s">
        <v>35</v>
      </c>
      <c r="K1437" t="s">
        <v>96</v>
      </c>
      <c r="L1437" t="s">
        <v>48</v>
      </c>
      <c r="M1437" t="s">
        <v>98</v>
      </c>
      <c r="N1437" s="6">
        <v>3</v>
      </c>
      <c r="O1437" t="str">
        <f t="shared" si="89"/>
        <v>Normal</v>
      </c>
      <c r="P1437" t="str">
        <f t="shared" si="90"/>
        <v>Duplicate ID</v>
      </c>
      <c r="Q1437" t="str">
        <f t="shared" si="91"/>
        <v>5,000-9,999</v>
      </c>
      <c r="R1437" s="6">
        <f>IF(COUNTIF($A$2:A1437,A1437)=1,1,0)</f>
        <v>1</v>
      </c>
    </row>
    <row r="1438" spans="1:18" x14ac:dyDescent="0.25">
      <c r="A1438" s="6">
        <v>1364</v>
      </c>
      <c r="B1438" s="7">
        <v>44819</v>
      </c>
      <c r="C1438" t="s">
        <v>51</v>
      </c>
      <c r="D1438" s="6">
        <v>2016</v>
      </c>
      <c r="E1438" s="8">
        <v>25471</v>
      </c>
      <c r="F1438" s="8">
        <v>31000</v>
      </c>
      <c r="G1438" s="8">
        <f t="shared" si="88"/>
        <v>5529</v>
      </c>
      <c r="H1438" s="6">
        <v>25000</v>
      </c>
      <c r="I1438" t="s">
        <v>69</v>
      </c>
      <c r="J1438" t="s">
        <v>35</v>
      </c>
      <c r="K1438" t="s">
        <v>96</v>
      </c>
      <c r="L1438" t="s">
        <v>73</v>
      </c>
      <c r="M1438" t="s">
        <v>1647</v>
      </c>
      <c r="N1438" s="6" t="s">
        <v>1647</v>
      </c>
      <c r="O1438" t="str">
        <f t="shared" si="89"/>
        <v>Normal</v>
      </c>
      <c r="P1438" t="str">
        <f t="shared" si="90"/>
        <v>Duplicate ID</v>
      </c>
      <c r="Q1438" t="str">
        <f t="shared" si="91"/>
        <v>25,000-30,000</v>
      </c>
      <c r="R1438" s="6">
        <f>IF(COUNTIF($A$2:A1438,A1438)=1,1,0)</f>
        <v>0</v>
      </c>
    </row>
    <row r="1439" spans="1:18" x14ac:dyDescent="0.25">
      <c r="A1439" s="6">
        <v>1422</v>
      </c>
      <c r="B1439" s="7">
        <v>44941</v>
      </c>
      <c r="C1439" t="s">
        <v>1648</v>
      </c>
      <c r="D1439" s="6">
        <v>2018</v>
      </c>
      <c r="E1439" s="8">
        <v>1944</v>
      </c>
      <c r="F1439" s="8">
        <v>7000</v>
      </c>
      <c r="G1439" s="8">
        <f t="shared" si="88"/>
        <v>5056</v>
      </c>
      <c r="H1439" s="6">
        <v>60000</v>
      </c>
      <c r="I1439" t="s">
        <v>41</v>
      </c>
      <c r="J1439" t="s">
        <v>35</v>
      </c>
      <c r="K1439" t="s">
        <v>1647</v>
      </c>
      <c r="L1439" t="s">
        <v>100</v>
      </c>
      <c r="M1439" t="s">
        <v>126</v>
      </c>
      <c r="N1439" s="6">
        <v>1</v>
      </c>
      <c r="O1439" t="str">
        <f t="shared" si="89"/>
        <v>Normal</v>
      </c>
      <c r="P1439" t="str">
        <f t="shared" si="90"/>
        <v>Duplicate ID</v>
      </c>
      <c r="Q1439" t="str">
        <f t="shared" si="91"/>
        <v>0-4,999</v>
      </c>
      <c r="R1439" s="6">
        <f>IF(COUNTIF($A$2:A1439,A1439)=1,1,0)</f>
        <v>0</v>
      </c>
    </row>
    <row r="1440" spans="1:18" x14ac:dyDescent="0.25">
      <c r="A1440" s="6">
        <v>1286</v>
      </c>
      <c r="B1440" s="7">
        <v>44263</v>
      </c>
      <c r="C1440" t="s">
        <v>57</v>
      </c>
      <c r="D1440" s="6">
        <v>2015</v>
      </c>
      <c r="E1440" s="8">
        <v>19049</v>
      </c>
      <c r="F1440" s="8">
        <v>22000</v>
      </c>
      <c r="G1440" s="8">
        <f t="shared" si="88"/>
        <v>2951</v>
      </c>
      <c r="H1440" s="6">
        <v>40000</v>
      </c>
      <c r="I1440" t="s">
        <v>58</v>
      </c>
      <c r="J1440" t="s">
        <v>35</v>
      </c>
      <c r="K1440" t="s">
        <v>36</v>
      </c>
      <c r="L1440" t="s">
        <v>54</v>
      </c>
      <c r="M1440" t="s">
        <v>90</v>
      </c>
      <c r="N1440" s="6">
        <v>1</v>
      </c>
      <c r="O1440" t="str">
        <f t="shared" si="89"/>
        <v>Normal</v>
      </c>
      <c r="P1440" t="str">
        <f t="shared" si="90"/>
        <v>Duplicate ID</v>
      </c>
      <c r="Q1440" t="str">
        <f t="shared" si="91"/>
        <v>15,000-19,999</v>
      </c>
      <c r="R1440" s="6">
        <f>IF(COUNTIF($A$2:A1440,A1440)=1,1,0)</f>
        <v>0</v>
      </c>
    </row>
    <row r="1441" spans="1:18" x14ac:dyDescent="0.25">
      <c r="A1441" s="6">
        <v>1068</v>
      </c>
      <c r="B1441" s="7">
        <v>44929</v>
      </c>
      <c r="C1441" t="s">
        <v>57</v>
      </c>
      <c r="D1441" s="6">
        <v>2016</v>
      </c>
      <c r="E1441" s="8">
        <v>3996</v>
      </c>
      <c r="F1441" s="8">
        <v>7000</v>
      </c>
      <c r="G1441" s="8">
        <f t="shared" si="88"/>
        <v>3004</v>
      </c>
      <c r="H1441" s="6">
        <v>25000</v>
      </c>
      <c r="I1441" t="s">
        <v>69</v>
      </c>
      <c r="J1441" t="s">
        <v>72</v>
      </c>
      <c r="K1441" t="s">
        <v>36</v>
      </c>
      <c r="L1441" t="s">
        <v>73</v>
      </c>
      <c r="M1441" t="s">
        <v>90</v>
      </c>
      <c r="N1441" s="6">
        <v>2</v>
      </c>
      <c r="O1441" t="str">
        <f t="shared" si="89"/>
        <v>Normal</v>
      </c>
      <c r="P1441" t="str">
        <f t="shared" si="90"/>
        <v>Duplicate ID</v>
      </c>
      <c r="Q1441" t="str">
        <f t="shared" si="91"/>
        <v>0-4,999</v>
      </c>
      <c r="R1441" s="6">
        <f>IF(COUNTIF($A$2:A1441,A1441)=1,1,0)</f>
        <v>0</v>
      </c>
    </row>
    <row r="1442" spans="1:18" x14ac:dyDescent="0.25">
      <c r="A1442" s="6">
        <v>1516</v>
      </c>
      <c r="B1442" s="7">
        <v>45386</v>
      </c>
      <c r="C1442" t="s">
        <v>51</v>
      </c>
      <c r="D1442" s="6">
        <v>2019</v>
      </c>
      <c r="E1442" s="8">
        <v>2684</v>
      </c>
      <c r="F1442" s="8">
        <v>7000</v>
      </c>
      <c r="G1442" s="8">
        <f t="shared" si="88"/>
        <v>4316</v>
      </c>
      <c r="H1442" s="6">
        <v>25000</v>
      </c>
      <c r="I1442" t="s">
        <v>58</v>
      </c>
      <c r="J1442" t="s">
        <v>1647</v>
      </c>
      <c r="K1442" t="s">
        <v>36</v>
      </c>
      <c r="L1442" t="s">
        <v>100</v>
      </c>
      <c r="M1442" t="s">
        <v>90</v>
      </c>
      <c r="N1442" s="6">
        <v>1</v>
      </c>
      <c r="O1442" t="str">
        <f t="shared" si="89"/>
        <v>Normal</v>
      </c>
      <c r="P1442" t="str">
        <f t="shared" si="90"/>
        <v>Duplicate ID</v>
      </c>
      <c r="Q1442" t="str">
        <f t="shared" si="91"/>
        <v>0-4,999</v>
      </c>
      <c r="R1442" s="6">
        <f>IF(COUNTIF($A$2:A1442,A1442)=1,1,0)</f>
        <v>1</v>
      </c>
    </row>
    <row r="1443" spans="1:18" x14ac:dyDescent="0.25">
      <c r="A1443" s="6">
        <v>1135</v>
      </c>
      <c r="B1443" s="7">
        <v>45070</v>
      </c>
      <c r="C1443" t="s">
        <v>51</v>
      </c>
      <c r="D1443" s="6">
        <v>2017</v>
      </c>
      <c r="E1443" s="8">
        <v>20150</v>
      </c>
      <c r="F1443" s="8">
        <v>26000</v>
      </c>
      <c r="G1443" s="8">
        <f t="shared" si="88"/>
        <v>5850</v>
      </c>
      <c r="H1443" s="6">
        <v>25000</v>
      </c>
      <c r="I1443" t="s">
        <v>58</v>
      </c>
      <c r="J1443" t="s">
        <v>35</v>
      </c>
      <c r="K1443" t="s">
        <v>36</v>
      </c>
      <c r="L1443" t="s">
        <v>54</v>
      </c>
      <c r="M1443" t="s">
        <v>45</v>
      </c>
      <c r="N1443" s="6">
        <v>0</v>
      </c>
      <c r="O1443" t="str">
        <f t="shared" si="89"/>
        <v>Normal</v>
      </c>
      <c r="P1443" t="str">
        <f t="shared" si="90"/>
        <v>Duplicate ID</v>
      </c>
      <c r="Q1443" t="str">
        <f t="shared" si="91"/>
        <v>20,000-24,999</v>
      </c>
      <c r="R1443" s="6">
        <f>IF(COUNTIF($A$2:A1443,A1443)=1,1,0)</f>
        <v>0</v>
      </c>
    </row>
    <row r="1444" spans="1:18" x14ac:dyDescent="0.25">
      <c r="A1444" s="6">
        <v>1320</v>
      </c>
      <c r="B1444" s="7">
        <v>45001</v>
      </c>
      <c r="C1444" t="s">
        <v>57</v>
      </c>
      <c r="D1444" s="6"/>
      <c r="E1444" s="8">
        <v>3270</v>
      </c>
      <c r="F1444" s="8">
        <v>7000</v>
      </c>
      <c r="G1444" s="8">
        <f t="shared" si="88"/>
        <v>3730</v>
      </c>
      <c r="H1444" s="6">
        <v>60000</v>
      </c>
      <c r="I1444" t="s">
        <v>41</v>
      </c>
      <c r="J1444" t="s">
        <v>35</v>
      </c>
      <c r="K1444" t="s">
        <v>36</v>
      </c>
      <c r="L1444" t="s">
        <v>100</v>
      </c>
      <c r="M1444" t="s">
        <v>98</v>
      </c>
      <c r="N1444" s="6">
        <v>3</v>
      </c>
      <c r="O1444" t="str">
        <f t="shared" si="89"/>
        <v>Normal</v>
      </c>
      <c r="P1444" t="str">
        <f t="shared" si="90"/>
        <v>Duplicate ID</v>
      </c>
      <c r="Q1444" t="str">
        <f t="shared" si="91"/>
        <v>0-4,999</v>
      </c>
      <c r="R1444" s="6">
        <f>IF(COUNTIF($A$2:A1444,A1444)=1,1,0)</f>
        <v>0</v>
      </c>
    </row>
    <row r="1445" spans="1:18" x14ac:dyDescent="0.25">
      <c r="A1445" s="6">
        <v>1284</v>
      </c>
      <c r="B1445" s="7">
        <v>44958</v>
      </c>
      <c r="C1445" t="s">
        <v>57</v>
      </c>
      <c r="D1445" s="6">
        <v>2015</v>
      </c>
      <c r="E1445" s="8">
        <v>27469</v>
      </c>
      <c r="F1445" s="8">
        <v>31000</v>
      </c>
      <c r="G1445" s="8">
        <f t="shared" si="88"/>
        <v>3531</v>
      </c>
      <c r="H1445" s="6">
        <v>60000</v>
      </c>
      <c r="I1445" t="s">
        <v>69</v>
      </c>
      <c r="J1445" t="s">
        <v>35</v>
      </c>
      <c r="K1445" t="s">
        <v>1647</v>
      </c>
      <c r="L1445" t="s">
        <v>100</v>
      </c>
      <c r="M1445" t="s">
        <v>98</v>
      </c>
      <c r="N1445" s="6">
        <v>2</v>
      </c>
      <c r="O1445" t="str">
        <f t="shared" si="89"/>
        <v>Normal</v>
      </c>
      <c r="P1445" t="str">
        <f t="shared" si="90"/>
        <v>Duplicate ID</v>
      </c>
      <c r="Q1445" t="str">
        <f t="shared" si="91"/>
        <v>25,000-30,000</v>
      </c>
      <c r="R1445" s="6">
        <f>IF(COUNTIF($A$2:A1445,A1445)=1,1,0)</f>
        <v>0</v>
      </c>
    </row>
    <row r="1446" spans="1:18" x14ac:dyDescent="0.25">
      <c r="A1446" s="6">
        <v>1077</v>
      </c>
      <c r="B1446" s="7">
        <v>45111</v>
      </c>
      <c r="C1446" t="s">
        <v>32</v>
      </c>
      <c r="D1446" s="6"/>
      <c r="E1446" s="8">
        <v>7760</v>
      </c>
      <c r="F1446" s="8">
        <v>12000</v>
      </c>
      <c r="G1446" s="8">
        <f t="shared" si="88"/>
        <v>4240</v>
      </c>
      <c r="H1446" s="6">
        <v>25000</v>
      </c>
      <c r="I1446" t="s">
        <v>34</v>
      </c>
      <c r="J1446" t="s">
        <v>35</v>
      </c>
      <c r="K1446" t="s">
        <v>96</v>
      </c>
      <c r="L1446" t="s">
        <v>54</v>
      </c>
      <c r="M1446" t="s">
        <v>98</v>
      </c>
      <c r="N1446" s="6">
        <v>2</v>
      </c>
      <c r="O1446" t="str">
        <f t="shared" si="89"/>
        <v>Normal</v>
      </c>
      <c r="P1446" t="str">
        <f t="shared" si="90"/>
        <v>Duplicate ID</v>
      </c>
      <c r="Q1446" t="str">
        <f t="shared" si="91"/>
        <v>5,000-9,999</v>
      </c>
      <c r="R1446" s="6">
        <f>IF(COUNTIF($A$2:A1446,A1446)=1,1,0)</f>
        <v>0</v>
      </c>
    </row>
    <row r="1447" spans="1:18" x14ac:dyDescent="0.25">
      <c r="A1447" s="6">
        <v>1145</v>
      </c>
      <c r="B1447" s="7">
        <v>44407</v>
      </c>
      <c r="C1447" t="s">
        <v>32</v>
      </c>
      <c r="D1447" s="6">
        <v>2018</v>
      </c>
      <c r="E1447" s="8">
        <v>21862</v>
      </c>
      <c r="F1447" s="8">
        <v>26000</v>
      </c>
      <c r="G1447" s="8">
        <f t="shared" si="88"/>
        <v>4138</v>
      </c>
      <c r="H1447" s="6">
        <v>40000</v>
      </c>
      <c r="I1447" t="s">
        <v>1647</v>
      </c>
      <c r="J1447" t="s">
        <v>35</v>
      </c>
      <c r="K1447" t="s">
        <v>36</v>
      </c>
      <c r="L1447" t="s">
        <v>73</v>
      </c>
      <c r="M1447" t="s">
        <v>90</v>
      </c>
      <c r="N1447" s="6" t="s">
        <v>1647</v>
      </c>
      <c r="O1447" t="str">
        <f t="shared" si="89"/>
        <v>Normal</v>
      </c>
      <c r="P1447" t="str">
        <f t="shared" si="90"/>
        <v>Duplicate ID</v>
      </c>
      <c r="Q1447" t="str">
        <f t="shared" si="91"/>
        <v>20,000-24,999</v>
      </c>
      <c r="R1447" s="6">
        <f>IF(COUNTIF($A$2:A1447,A1447)=1,1,0)</f>
        <v>0</v>
      </c>
    </row>
    <row r="1448" spans="1:18" x14ac:dyDescent="0.25">
      <c r="A1448" s="6">
        <v>1170</v>
      </c>
      <c r="B1448" s="7">
        <v>44588</v>
      </c>
      <c r="C1448" t="s">
        <v>119</v>
      </c>
      <c r="D1448" s="6">
        <v>2019</v>
      </c>
      <c r="E1448" s="8">
        <v>10500</v>
      </c>
      <c r="F1448" s="8">
        <v>12000</v>
      </c>
      <c r="G1448" s="8">
        <f t="shared" si="88"/>
        <v>1500</v>
      </c>
      <c r="H1448" s="6">
        <v>40000</v>
      </c>
      <c r="I1448" t="s">
        <v>69</v>
      </c>
      <c r="J1448" t="s">
        <v>72</v>
      </c>
      <c r="K1448" t="s">
        <v>36</v>
      </c>
      <c r="L1448" t="s">
        <v>54</v>
      </c>
      <c r="M1448" t="s">
        <v>126</v>
      </c>
      <c r="N1448" s="6">
        <v>2</v>
      </c>
      <c r="O1448" t="str">
        <f t="shared" si="89"/>
        <v>Normal</v>
      </c>
      <c r="P1448" t="str">
        <f t="shared" si="90"/>
        <v>Duplicate ID</v>
      </c>
      <c r="Q1448" t="str">
        <f t="shared" si="91"/>
        <v>10,000-14,999</v>
      </c>
      <c r="R1448" s="6">
        <f>IF(COUNTIF($A$2:A1448,A1448)=1,1,0)</f>
        <v>0</v>
      </c>
    </row>
    <row r="1449" spans="1:18" x14ac:dyDescent="0.25">
      <c r="A1449" s="6">
        <v>1306</v>
      </c>
      <c r="B1449" s="7">
        <v>44412</v>
      </c>
      <c r="C1449" t="s">
        <v>57</v>
      </c>
      <c r="D1449" s="6">
        <v>2016</v>
      </c>
      <c r="E1449" s="8">
        <v>2759</v>
      </c>
      <c r="F1449" s="8">
        <v>9000</v>
      </c>
      <c r="G1449" s="8">
        <f t="shared" si="88"/>
        <v>6241</v>
      </c>
      <c r="H1449" s="6">
        <v>80000</v>
      </c>
      <c r="I1449" t="s">
        <v>1647</v>
      </c>
      <c r="J1449" t="s">
        <v>72</v>
      </c>
      <c r="K1449" t="s">
        <v>1647</v>
      </c>
      <c r="L1449" t="s">
        <v>48</v>
      </c>
      <c r="M1449" t="s">
        <v>90</v>
      </c>
      <c r="N1449" s="6">
        <v>2</v>
      </c>
      <c r="O1449" t="str">
        <f t="shared" si="89"/>
        <v>Normal</v>
      </c>
      <c r="P1449" t="str">
        <f t="shared" si="90"/>
        <v>Duplicate ID</v>
      </c>
      <c r="Q1449" t="str">
        <f t="shared" si="91"/>
        <v>0-4,999</v>
      </c>
      <c r="R1449" s="6">
        <f>IF(COUNTIF($A$2:A1449,A1449)=1,1,0)</f>
        <v>0</v>
      </c>
    </row>
    <row r="1450" spans="1:18" x14ac:dyDescent="0.25">
      <c r="A1450" s="6">
        <v>1134</v>
      </c>
      <c r="B1450" s="7">
        <v>44711</v>
      </c>
      <c r="C1450" t="s">
        <v>1648</v>
      </c>
      <c r="D1450" s="6"/>
      <c r="E1450" s="8">
        <v>5328</v>
      </c>
      <c r="F1450" s="8">
        <v>12000</v>
      </c>
      <c r="G1450" s="8">
        <f t="shared" si="88"/>
        <v>6672</v>
      </c>
      <c r="H1450" s="6">
        <v>40000</v>
      </c>
      <c r="I1450" t="s">
        <v>69</v>
      </c>
      <c r="J1450" t="s">
        <v>72</v>
      </c>
      <c r="K1450" t="s">
        <v>1647</v>
      </c>
      <c r="L1450" t="s">
        <v>73</v>
      </c>
      <c r="M1450" t="s">
        <v>90</v>
      </c>
      <c r="N1450" s="6">
        <v>0</v>
      </c>
      <c r="O1450" t="str">
        <f t="shared" si="89"/>
        <v>Normal</v>
      </c>
      <c r="P1450" t="str">
        <f t="shared" si="90"/>
        <v>Duplicate ID</v>
      </c>
      <c r="Q1450" t="str">
        <f t="shared" si="91"/>
        <v>5,000-9,999</v>
      </c>
      <c r="R1450" s="6">
        <f>IF(COUNTIF($A$2:A1450,A1450)=1,1,0)</f>
        <v>1</v>
      </c>
    </row>
    <row r="1451" spans="1:18" x14ac:dyDescent="0.25">
      <c r="A1451" s="6">
        <v>1504</v>
      </c>
      <c r="B1451" s="7">
        <v>45080</v>
      </c>
      <c r="C1451" t="s">
        <v>51</v>
      </c>
      <c r="D1451" s="6">
        <v>2022</v>
      </c>
      <c r="E1451" s="8">
        <v>29661</v>
      </c>
      <c r="F1451" s="8">
        <v>31000</v>
      </c>
      <c r="G1451" s="8">
        <f t="shared" si="88"/>
        <v>1339</v>
      </c>
      <c r="H1451" s="6">
        <v>60000</v>
      </c>
      <c r="I1451" t="s">
        <v>58</v>
      </c>
      <c r="J1451" t="s">
        <v>35</v>
      </c>
      <c r="K1451" t="s">
        <v>36</v>
      </c>
      <c r="L1451" t="s">
        <v>1647</v>
      </c>
      <c r="M1451" t="s">
        <v>98</v>
      </c>
      <c r="N1451" s="6">
        <v>2</v>
      </c>
      <c r="O1451" t="str">
        <f t="shared" si="89"/>
        <v>Normal</v>
      </c>
      <c r="P1451" t="str">
        <f t="shared" si="90"/>
        <v>Duplicate ID</v>
      </c>
      <c r="Q1451" t="str">
        <f t="shared" si="91"/>
        <v>25,000-30,000</v>
      </c>
      <c r="R1451" s="6">
        <f>IF(COUNTIF($A$2:A1451,A1451)=1,1,0)</f>
        <v>0</v>
      </c>
    </row>
    <row r="1452" spans="1:18" x14ac:dyDescent="0.25">
      <c r="A1452" s="6">
        <v>1555</v>
      </c>
      <c r="B1452" s="7">
        <v>45153</v>
      </c>
      <c r="C1452" t="s">
        <v>32</v>
      </c>
      <c r="D1452" s="6">
        <v>2019</v>
      </c>
      <c r="E1452" s="8">
        <v>3213</v>
      </c>
      <c r="F1452" s="8">
        <v>7000</v>
      </c>
      <c r="G1452" s="8">
        <f t="shared" si="88"/>
        <v>3787</v>
      </c>
      <c r="H1452" s="6">
        <v>25000</v>
      </c>
      <c r="I1452" t="s">
        <v>69</v>
      </c>
      <c r="J1452" t="s">
        <v>1647</v>
      </c>
      <c r="K1452" t="s">
        <v>96</v>
      </c>
      <c r="L1452" t="s">
        <v>1647</v>
      </c>
      <c r="M1452" t="s">
        <v>1647</v>
      </c>
      <c r="N1452" s="6">
        <v>1</v>
      </c>
      <c r="O1452" t="str">
        <f t="shared" si="89"/>
        <v>Normal</v>
      </c>
      <c r="P1452" t="str">
        <f t="shared" si="90"/>
        <v>Duplicate ID</v>
      </c>
      <c r="Q1452" t="str">
        <f t="shared" si="91"/>
        <v>0-4,999</v>
      </c>
      <c r="R1452" s="6">
        <f>IF(COUNTIF($A$2:A1452,A1452)=1,1,0)</f>
        <v>0</v>
      </c>
    </row>
    <row r="1453" spans="1:18" x14ac:dyDescent="0.25">
      <c r="A1453" s="6">
        <v>1414</v>
      </c>
      <c r="B1453" s="7">
        <v>44473</v>
      </c>
      <c r="C1453" t="s">
        <v>57</v>
      </c>
      <c r="D1453" s="6">
        <v>2019</v>
      </c>
      <c r="E1453" s="8">
        <v>21086</v>
      </c>
      <c r="F1453" s="8">
        <v>26000</v>
      </c>
      <c r="G1453" s="8">
        <f t="shared" si="88"/>
        <v>4914</v>
      </c>
      <c r="H1453" s="6">
        <v>120000</v>
      </c>
      <c r="I1453" t="s">
        <v>34</v>
      </c>
      <c r="J1453" t="s">
        <v>72</v>
      </c>
      <c r="K1453" t="s">
        <v>36</v>
      </c>
      <c r="L1453" t="s">
        <v>100</v>
      </c>
      <c r="M1453" t="s">
        <v>45</v>
      </c>
      <c r="N1453" s="6">
        <v>2</v>
      </c>
      <c r="O1453" t="str">
        <f t="shared" si="89"/>
        <v>Normal</v>
      </c>
      <c r="P1453" t="str">
        <f t="shared" si="90"/>
        <v>Duplicate ID</v>
      </c>
      <c r="Q1453" t="str">
        <f t="shared" si="91"/>
        <v>20,000-24,999</v>
      </c>
      <c r="R1453" s="6">
        <f>IF(COUNTIF($A$2:A1453,A1453)=1,1,0)</f>
        <v>0</v>
      </c>
    </row>
    <row r="1454" spans="1:18" x14ac:dyDescent="0.25">
      <c r="A1454" s="6">
        <v>1599</v>
      </c>
      <c r="B1454" s="7">
        <v>44361</v>
      </c>
      <c r="C1454" t="s">
        <v>57</v>
      </c>
      <c r="D1454" s="6">
        <v>2018</v>
      </c>
      <c r="E1454" s="8">
        <v>17943</v>
      </c>
      <c r="F1454" s="8">
        <v>22000</v>
      </c>
      <c r="G1454" s="8">
        <f t="shared" si="88"/>
        <v>4057</v>
      </c>
      <c r="H1454" s="6">
        <v>120000</v>
      </c>
      <c r="I1454" t="s">
        <v>69</v>
      </c>
      <c r="J1454" t="s">
        <v>35</v>
      </c>
      <c r="K1454" t="s">
        <v>36</v>
      </c>
      <c r="L1454" t="s">
        <v>1647</v>
      </c>
      <c r="M1454" t="s">
        <v>90</v>
      </c>
      <c r="N1454" s="6">
        <v>2</v>
      </c>
      <c r="O1454" t="str">
        <f t="shared" si="89"/>
        <v>Normal</v>
      </c>
      <c r="P1454" t="str">
        <f t="shared" si="90"/>
        <v>Duplicate ID</v>
      </c>
      <c r="Q1454" t="str">
        <f t="shared" si="91"/>
        <v>15,000-19,999</v>
      </c>
      <c r="R1454" s="6">
        <f>IF(COUNTIF($A$2:A1454,A1454)=1,1,0)</f>
        <v>0</v>
      </c>
    </row>
    <row r="1455" spans="1:18" x14ac:dyDescent="0.25">
      <c r="A1455" s="6">
        <v>1421</v>
      </c>
      <c r="B1455" s="7">
        <v>45328</v>
      </c>
      <c r="C1455" t="s">
        <v>79</v>
      </c>
      <c r="D1455" s="6">
        <v>2016</v>
      </c>
      <c r="E1455" s="8">
        <v>15591</v>
      </c>
      <c r="F1455" s="8">
        <v>18000</v>
      </c>
      <c r="G1455" s="8">
        <f t="shared" si="88"/>
        <v>2409</v>
      </c>
      <c r="H1455" s="6">
        <v>60000</v>
      </c>
      <c r="I1455" t="s">
        <v>41</v>
      </c>
      <c r="J1455" t="s">
        <v>35</v>
      </c>
      <c r="K1455" t="s">
        <v>36</v>
      </c>
      <c r="L1455" t="s">
        <v>100</v>
      </c>
      <c r="M1455" t="s">
        <v>90</v>
      </c>
      <c r="N1455" s="6">
        <v>2</v>
      </c>
      <c r="O1455" t="str">
        <f t="shared" si="89"/>
        <v>Normal</v>
      </c>
      <c r="P1455" t="str">
        <f t="shared" si="90"/>
        <v>Duplicate ID</v>
      </c>
      <c r="Q1455" t="str">
        <f t="shared" si="91"/>
        <v>15,000-19,999</v>
      </c>
      <c r="R1455" s="6">
        <f>IF(COUNTIF($A$2:A1455,A1455)=1,1,0)</f>
        <v>0</v>
      </c>
    </row>
    <row r="1456" spans="1:18" x14ac:dyDescent="0.25">
      <c r="A1456" s="6">
        <v>1427</v>
      </c>
      <c r="B1456" s="7">
        <v>44224</v>
      </c>
      <c r="C1456" t="s">
        <v>40</v>
      </c>
      <c r="D1456" s="6">
        <v>2018</v>
      </c>
      <c r="E1456" s="8">
        <v>10907</v>
      </c>
      <c r="F1456" s="8">
        <v>12000</v>
      </c>
      <c r="G1456" s="8">
        <f t="shared" si="88"/>
        <v>1093</v>
      </c>
      <c r="H1456" s="6">
        <v>80000</v>
      </c>
      <c r="I1456" t="s">
        <v>58</v>
      </c>
      <c r="J1456" t="s">
        <v>72</v>
      </c>
      <c r="K1456" t="s">
        <v>96</v>
      </c>
      <c r="L1456" t="s">
        <v>73</v>
      </c>
      <c r="M1456" t="s">
        <v>45</v>
      </c>
      <c r="N1456" s="6">
        <v>2</v>
      </c>
      <c r="O1456" t="str">
        <f t="shared" si="89"/>
        <v>Normal</v>
      </c>
      <c r="P1456" t="str">
        <f t="shared" si="90"/>
        <v>Unique ID</v>
      </c>
      <c r="Q1456" t="str">
        <f t="shared" si="91"/>
        <v>10,000-14,999</v>
      </c>
      <c r="R1456" s="6">
        <f>IF(COUNTIF($A$2:A1456,A1456)=1,1,0)</f>
        <v>1</v>
      </c>
    </row>
    <row r="1457" spans="1:18" x14ac:dyDescent="0.25">
      <c r="A1457" s="6">
        <v>1068</v>
      </c>
      <c r="B1457" s="7">
        <v>44576</v>
      </c>
      <c r="C1457" t="s">
        <v>40</v>
      </c>
      <c r="D1457" s="6"/>
      <c r="E1457" s="8">
        <v>19410</v>
      </c>
      <c r="F1457" s="8">
        <v>22000</v>
      </c>
      <c r="G1457" s="8">
        <f t="shared" si="88"/>
        <v>2590</v>
      </c>
      <c r="H1457" s="6">
        <v>60000</v>
      </c>
      <c r="I1457" t="s">
        <v>58</v>
      </c>
      <c r="J1457" t="s">
        <v>1647</v>
      </c>
      <c r="K1457" t="s">
        <v>36</v>
      </c>
      <c r="L1457" t="s">
        <v>73</v>
      </c>
      <c r="M1457" t="s">
        <v>126</v>
      </c>
      <c r="N1457" s="6" t="s">
        <v>1647</v>
      </c>
      <c r="O1457" t="str">
        <f t="shared" si="89"/>
        <v>Normal</v>
      </c>
      <c r="P1457" t="str">
        <f t="shared" si="90"/>
        <v>Duplicate ID</v>
      </c>
      <c r="Q1457" t="str">
        <f t="shared" si="91"/>
        <v>15,000-19,999</v>
      </c>
      <c r="R1457" s="6">
        <f>IF(COUNTIF($A$2:A1457,A1457)=1,1,0)</f>
        <v>0</v>
      </c>
    </row>
    <row r="1458" spans="1:18" x14ac:dyDescent="0.25">
      <c r="A1458" s="6">
        <v>1137</v>
      </c>
      <c r="B1458" s="7">
        <v>44560</v>
      </c>
      <c r="C1458" t="s">
        <v>119</v>
      </c>
      <c r="D1458" s="6">
        <v>2017</v>
      </c>
      <c r="E1458" s="8">
        <v>16587</v>
      </c>
      <c r="F1458" s="8">
        <v>22000</v>
      </c>
      <c r="G1458" s="8">
        <f t="shared" si="88"/>
        <v>5413</v>
      </c>
      <c r="H1458" s="6">
        <v>25000</v>
      </c>
      <c r="I1458" t="s">
        <v>58</v>
      </c>
      <c r="J1458" t="s">
        <v>72</v>
      </c>
      <c r="K1458" t="s">
        <v>36</v>
      </c>
      <c r="L1458" t="s">
        <v>73</v>
      </c>
      <c r="M1458" t="s">
        <v>98</v>
      </c>
      <c r="N1458" s="6">
        <v>0</v>
      </c>
      <c r="O1458" t="str">
        <f t="shared" si="89"/>
        <v>Normal</v>
      </c>
      <c r="P1458" t="str">
        <f t="shared" si="90"/>
        <v>Duplicate ID</v>
      </c>
      <c r="Q1458" t="str">
        <f t="shared" si="91"/>
        <v>15,000-19,999</v>
      </c>
      <c r="R1458" s="6">
        <f>IF(COUNTIF($A$2:A1458,A1458)=1,1,0)</f>
        <v>0</v>
      </c>
    </row>
    <row r="1459" spans="1:18" x14ac:dyDescent="0.25">
      <c r="A1459" s="6">
        <v>1409</v>
      </c>
      <c r="B1459" s="7">
        <v>44853</v>
      </c>
      <c r="C1459" t="s">
        <v>32</v>
      </c>
      <c r="D1459" s="6">
        <v>2021</v>
      </c>
      <c r="E1459" s="8">
        <v>29695</v>
      </c>
      <c r="F1459" s="8">
        <v>31000</v>
      </c>
      <c r="G1459" s="8">
        <f t="shared" si="88"/>
        <v>1305</v>
      </c>
      <c r="H1459" s="6">
        <v>120000</v>
      </c>
      <c r="I1459" t="s">
        <v>34</v>
      </c>
      <c r="J1459" t="s">
        <v>35</v>
      </c>
      <c r="K1459" t="s">
        <v>96</v>
      </c>
      <c r="L1459" t="s">
        <v>48</v>
      </c>
      <c r="M1459" t="s">
        <v>90</v>
      </c>
      <c r="N1459" s="6">
        <v>3</v>
      </c>
      <c r="O1459" t="str">
        <f t="shared" si="89"/>
        <v>Normal</v>
      </c>
      <c r="P1459" t="str">
        <f t="shared" si="90"/>
        <v>Duplicate ID</v>
      </c>
      <c r="Q1459" t="str">
        <f t="shared" si="91"/>
        <v>25,000-30,000</v>
      </c>
      <c r="R1459" s="6">
        <f>IF(COUNTIF($A$2:A1459,A1459)=1,1,0)</f>
        <v>0</v>
      </c>
    </row>
    <row r="1460" spans="1:18" x14ac:dyDescent="0.25">
      <c r="A1460" s="6">
        <v>1333</v>
      </c>
      <c r="B1460" s="7">
        <v>45369</v>
      </c>
      <c r="C1460" t="s">
        <v>51</v>
      </c>
      <c r="D1460" s="6">
        <v>2017</v>
      </c>
      <c r="E1460" s="8">
        <v>20880</v>
      </c>
      <c r="F1460" s="8">
        <v>22000</v>
      </c>
      <c r="G1460" s="8">
        <f t="shared" si="88"/>
        <v>1120</v>
      </c>
      <c r="H1460" s="6">
        <v>15000</v>
      </c>
      <c r="I1460" t="s">
        <v>41</v>
      </c>
      <c r="J1460" t="s">
        <v>72</v>
      </c>
      <c r="K1460" t="s">
        <v>96</v>
      </c>
      <c r="L1460" t="s">
        <v>100</v>
      </c>
      <c r="M1460" t="s">
        <v>90</v>
      </c>
      <c r="N1460" s="6">
        <v>0</v>
      </c>
      <c r="O1460" t="str">
        <f t="shared" si="89"/>
        <v>Normal</v>
      </c>
      <c r="P1460" t="str">
        <f t="shared" si="90"/>
        <v>Duplicate ID</v>
      </c>
      <c r="Q1460" t="str">
        <f t="shared" si="91"/>
        <v>20,000-24,999</v>
      </c>
      <c r="R1460" s="6">
        <f>IF(COUNTIF($A$2:A1460,A1460)=1,1,0)</f>
        <v>0</v>
      </c>
    </row>
    <row r="1461" spans="1:18" x14ac:dyDescent="0.25">
      <c r="A1461" s="6">
        <v>1289</v>
      </c>
      <c r="B1461" s="7">
        <v>44727</v>
      </c>
      <c r="C1461" t="s">
        <v>57</v>
      </c>
      <c r="D1461" s="6">
        <v>2017</v>
      </c>
      <c r="E1461" s="8">
        <v>24899</v>
      </c>
      <c r="F1461" s="8">
        <v>26000</v>
      </c>
      <c r="G1461" s="8">
        <f t="shared" si="88"/>
        <v>1101</v>
      </c>
      <c r="H1461" s="6">
        <v>15000</v>
      </c>
      <c r="I1461" t="s">
        <v>58</v>
      </c>
      <c r="J1461" t="s">
        <v>35</v>
      </c>
      <c r="K1461" t="s">
        <v>96</v>
      </c>
      <c r="L1461" t="s">
        <v>54</v>
      </c>
      <c r="M1461" t="s">
        <v>45</v>
      </c>
      <c r="N1461" s="6">
        <v>2</v>
      </c>
      <c r="O1461" t="str">
        <f t="shared" si="89"/>
        <v>Normal</v>
      </c>
      <c r="P1461" t="str">
        <f t="shared" si="90"/>
        <v>Duplicate ID</v>
      </c>
      <c r="Q1461" t="str">
        <f t="shared" si="91"/>
        <v>20,000-24,999</v>
      </c>
      <c r="R1461" s="6">
        <f>IF(COUNTIF($A$2:A1461,A1461)=1,1,0)</f>
        <v>0</v>
      </c>
    </row>
    <row r="1462" spans="1:18" x14ac:dyDescent="0.25">
      <c r="A1462" s="6">
        <v>1397</v>
      </c>
      <c r="B1462" s="7">
        <v>45159</v>
      </c>
      <c r="C1462" t="s">
        <v>32</v>
      </c>
      <c r="D1462" s="6">
        <v>2017</v>
      </c>
      <c r="E1462" s="8">
        <v>26200</v>
      </c>
      <c r="F1462" s="8">
        <v>31000</v>
      </c>
      <c r="G1462" s="8">
        <f t="shared" si="88"/>
        <v>4800</v>
      </c>
      <c r="H1462" s="6">
        <v>25000</v>
      </c>
      <c r="I1462" t="s">
        <v>41</v>
      </c>
      <c r="J1462" t="s">
        <v>72</v>
      </c>
      <c r="K1462" t="s">
        <v>36</v>
      </c>
      <c r="L1462" t="s">
        <v>54</v>
      </c>
      <c r="M1462" t="s">
        <v>45</v>
      </c>
      <c r="N1462" s="6">
        <v>1</v>
      </c>
      <c r="O1462" t="str">
        <f t="shared" si="89"/>
        <v>Normal</v>
      </c>
      <c r="P1462" t="str">
        <f t="shared" si="90"/>
        <v>Duplicate ID</v>
      </c>
      <c r="Q1462" t="str">
        <f t="shared" si="91"/>
        <v>25,000-30,000</v>
      </c>
      <c r="R1462" s="6">
        <f>IF(COUNTIF($A$2:A1462,A1462)=1,1,0)</f>
        <v>0</v>
      </c>
    </row>
    <row r="1463" spans="1:18" x14ac:dyDescent="0.25">
      <c r="A1463" s="6">
        <v>1348</v>
      </c>
      <c r="B1463" s="7">
        <v>44868</v>
      </c>
      <c r="C1463" t="s">
        <v>40</v>
      </c>
      <c r="D1463" s="6">
        <v>2018</v>
      </c>
      <c r="E1463" s="8">
        <v>21123</v>
      </c>
      <c r="F1463" s="8">
        <v>26000</v>
      </c>
      <c r="G1463" s="8">
        <f t="shared" si="88"/>
        <v>4877</v>
      </c>
      <c r="H1463" s="6">
        <v>15000</v>
      </c>
      <c r="I1463" t="s">
        <v>41</v>
      </c>
      <c r="J1463" t="s">
        <v>72</v>
      </c>
      <c r="K1463" t="s">
        <v>1647</v>
      </c>
      <c r="L1463" t="s">
        <v>100</v>
      </c>
      <c r="M1463" t="s">
        <v>90</v>
      </c>
      <c r="N1463" s="6">
        <v>2</v>
      </c>
      <c r="O1463" t="str">
        <f t="shared" si="89"/>
        <v>Normal</v>
      </c>
      <c r="P1463" t="str">
        <f t="shared" si="90"/>
        <v>Duplicate ID</v>
      </c>
      <c r="Q1463" t="str">
        <f t="shared" si="91"/>
        <v>20,000-24,999</v>
      </c>
      <c r="R1463" s="6">
        <f>IF(COUNTIF($A$2:A1463,A1463)=1,1,0)</f>
        <v>0</v>
      </c>
    </row>
    <row r="1464" spans="1:18" x14ac:dyDescent="0.25">
      <c r="A1464" s="6">
        <v>1455</v>
      </c>
      <c r="B1464" s="7">
        <v>44645</v>
      </c>
      <c r="C1464" t="s">
        <v>57</v>
      </c>
      <c r="D1464" s="6">
        <v>2014</v>
      </c>
      <c r="E1464" s="8">
        <v>6410</v>
      </c>
      <c r="F1464" s="8">
        <v>12000</v>
      </c>
      <c r="G1464" s="8">
        <f t="shared" si="88"/>
        <v>5590</v>
      </c>
      <c r="H1464" s="6">
        <v>40000</v>
      </c>
      <c r="I1464" t="s">
        <v>1647</v>
      </c>
      <c r="J1464" t="s">
        <v>35</v>
      </c>
      <c r="K1464" t="s">
        <v>36</v>
      </c>
      <c r="L1464" t="s">
        <v>54</v>
      </c>
      <c r="M1464" t="s">
        <v>45</v>
      </c>
      <c r="N1464" s="6">
        <v>3</v>
      </c>
      <c r="O1464" t="str">
        <f t="shared" si="89"/>
        <v>Normal</v>
      </c>
      <c r="P1464" t="str">
        <f t="shared" si="90"/>
        <v>Duplicate ID</v>
      </c>
      <c r="Q1464" t="str">
        <f t="shared" si="91"/>
        <v>5,000-9,999</v>
      </c>
      <c r="R1464" s="6">
        <f>IF(COUNTIF($A$2:A1464,A1464)=1,1,0)</f>
        <v>0</v>
      </c>
    </row>
    <row r="1465" spans="1:18" x14ac:dyDescent="0.25">
      <c r="A1465" s="6">
        <v>1583</v>
      </c>
      <c r="B1465" s="7">
        <v>45115</v>
      </c>
      <c r="C1465" t="s">
        <v>51</v>
      </c>
      <c r="D1465" s="6">
        <v>2017</v>
      </c>
      <c r="E1465" s="8">
        <v>22907</v>
      </c>
      <c r="F1465" s="8">
        <v>26000</v>
      </c>
      <c r="G1465" s="8">
        <f t="shared" si="88"/>
        <v>3093</v>
      </c>
      <c r="H1465" s="6">
        <v>80000</v>
      </c>
      <c r="I1465" t="s">
        <v>69</v>
      </c>
      <c r="J1465" t="s">
        <v>1647</v>
      </c>
      <c r="K1465" t="s">
        <v>96</v>
      </c>
      <c r="L1465" t="s">
        <v>100</v>
      </c>
      <c r="M1465" t="s">
        <v>98</v>
      </c>
      <c r="N1465" s="6">
        <v>1</v>
      </c>
      <c r="O1465" t="str">
        <f t="shared" si="89"/>
        <v>Normal</v>
      </c>
      <c r="P1465" t="str">
        <f t="shared" si="90"/>
        <v>Duplicate ID</v>
      </c>
      <c r="Q1465" t="str">
        <f t="shared" si="91"/>
        <v>20,000-24,999</v>
      </c>
      <c r="R1465" s="6">
        <f>IF(COUNTIF($A$2:A1465,A1465)=1,1,0)</f>
        <v>1</v>
      </c>
    </row>
    <row r="1466" spans="1:18" x14ac:dyDescent="0.25">
      <c r="A1466" s="6">
        <v>1177</v>
      </c>
      <c r="B1466" s="7">
        <v>45154</v>
      </c>
      <c r="C1466" t="s">
        <v>1648</v>
      </c>
      <c r="D1466" s="6">
        <v>2022</v>
      </c>
      <c r="E1466" s="8">
        <v>363</v>
      </c>
      <c r="F1466" s="8">
        <v>7000</v>
      </c>
      <c r="G1466" s="8">
        <f t="shared" si="88"/>
        <v>6637</v>
      </c>
      <c r="H1466" s="6">
        <v>40000</v>
      </c>
      <c r="I1466" t="s">
        <v>41</v>
      </c>
      <c r="J1466" t="s">
        <v>35</v>
      </c>
      <c r="K1466" t="s">
        <v>36</v>
      </c>
      <c r="L1466" t="s">
        <v>54</v>
      </c>
      <c r="M1466" t="s">
        <v>90</v>
      </c>
      <c r="N1466" s="6" t="s">
        <v>1647</v>
      </c>
      <c r="O1466" t="str">
        <f t="shared" si="89"/>
        <v>Outlier</v>
      </c>
      <c r="P1466" t="str">
        <f t="shared" si="90"/>
        <v>Duplicate ID</v>
      </c>
      <c r="Q1466" t="str">
        <f t="shared" si="91"/>
        <v>0-4,999</v>
      </c>
      <c r="R1466" s="6">
        <f>IF(COUNTIF($A$2:A1466,A1466)=1,1,0)</f>
        <v>0</v>
      </c>
    </row>
    <row r="1467" spans="1:18" x14ac:dyDescent="0.25">
      <c r="A1467" s="6">
        <v>1093</v>
      </c>
      <c r="B1467" s="7">
        <v>44554</v>
      </c>
      <c r="C1467" t="s">
        <v>51</v>
      </c>
      <c r="D1467" s="6">
        <v>2018</v>
      </c>
      <c r="E1467" s="8">
        <v>18806</v>
      </c>
      <c r="F1467" s="8">
        <v>22000</v>
      </c>
      <c r="G1467" s="8">
        <f t="shared" si="88"/>
        <v>3194</v>
      </c>
      <c r="H1467" s="6">
        <v>60000</v>
      </c>
      <c r="I1467" t="s">
        <v>41</v>
      </c>
      <c r="J1467" t="s">
        <v>35</v>
      </c>
      <c r="K1467" t="s">
        <v>1647</v>
      </c>
      <c r="L1467" t="s">
        <v>100</v>
      </c>
      <c r="M1467" t="s">
        <v>98</v>
      </c>
      <c r="N1467" s="6" t="s">
        <v>1647</v>
      </c>
      <c r="O1467" t="str">
        <f t="shared" si="89"/>
        <v>Normal</v>
      </c>
      <c r="P1467" t="str">
        <f t="shared" si="90"/>
        <v>Duplicate ID</v>
      </c>
      <c r="Q1467" t="str">
        <f t="shared" si="91"/>
        <v>15,000-19,999</v>
      </c>
      <c r="R1467" s="6">
        <f>IF(COUNTIF($A$2:A1467,A1467)=1,1,0)</f>
        <v>0</v>
      </c>
    </row>
    <row r="1468" spans="1:18" x14ac:dyDescent="0.25">
      <c r="A1468" s="6">
        <v>1420</v>
      </c>
      <c r="B1468" s="7">
        <v>45197</v>
      </c>
      <c r="C1468" t="s">
        <v>40</v>
      </c>
      <c r="D1468" s="6">
        <v>2018</v>
      </c>
      <c r="E1468" s="8">
        <v>22504</v>
      </c>
      <c r="F1468" s="8">
        <v>26000</v>
      </c>
      <c r="G1468" s="8">
        <f t="shared" si="88"/>
        <v>3496</v>
      </c>
      <c r="H1468" s="6">
        <v>15000</v>
      </c>
      <c r="I1468" t="s">
        <v>69</v>
      </c>
      <c r="J1468" t="s">
        <v>72</v>
      </c>
      <c r="K1468" t="s">
        <v>36</v>
      </c>
      <c r="L1468" t="s">
        <v>48</v>
      </c>
      <c r="M1468" t="s">
        <v>126</v>
      </c>
      <c r="N1468" s="6">
        <v>3</v>
      </c>
      <c r="O1468" t="str">
        <f t="shared" si="89"/>
        <v>Normal</v>
      </c>
      <c r="P1468" t="str">
        <f t="shared" si="90"/>
        <v>Duplicate ID</v>
      </c>
      <c r="Q1468" t="str">
        <f t="shared" si="91"/>
        <v>20,000-24,999</v>
      </c>
      <c r="R1468" s="6">
        <f>IF(COUNTIF($A$2:A1468,A1468)=1,1,0)</f>
        <v>0</v>
      </c>
    </row>
    <row r="1469" spans="1:18" x14ac:dyDescent="0.25">
      <c r="A1469" s="6">
        <v>1262</v>
      </c>
      <c r="B1469" s="7">
        <v>45048</v>
      </c>
      <c r="C1469" t="s">
        <v>79</v>
      </c>
      <c r="D1469" s="6">
        <v>2015</v>
      </c>
      <c r="E1469" s="8">
        <v>27122</v>
      </c>
      <c r="F1469" s="8">
        <v>31000</v>
      </c>
      <c r="G1469" s="8">
        <f t="shared" si="88"/>
        <v>3878</v>
      </c>
      <c r="H1469" s="6">
        <v>120000</v>
      </c>
      <c r="I1469" t="s">
        <v>34</v>
      </c>
      <c r="J1469" t="s">
        <v>35</v>
      </c>
      <c r="K1469" t="s">
        <v>96</v>
      </c>
      <c r="L1469" t="s">
        <v>1647</v>
      </c>
      <c r="M1469" t="s">
        <v>126</v>
      </c>
      <c r="N1469" s="6">
        <v>2</v>
      </c>
      <c r="O1469" t="str">
        <f t="shared" si="89"/>
        <v>Normal</v>
      </c>
      <c r="P1469" t="str">
        <f t="shared" si="90"/>
        <v>Duplicate ID</v>
      </c>
      <c r="Q1469" t="str">
        <f t="shared" si="91"/>
        <v>25,000-30,000</v>
      </c>
      <c r="R1469" s="6">
        <f>IF(COUNTIF($A$2:A1469,A1469)=1,1,0)</f>
        <v>0</v>
      </c>
    </row>
    <row r="1470" spans="1:18" x14ac:dyDescent="0.25">
      <c r="A1470" s="6">
        <v>1034</v>
      </c>
      <c r="B1470" s="7">
        <v>45366</v>
      </c>
      <c r="C1470" t="s">
        <v>51</v>
      </c>
      <c r="D1470" s="6">
        <v>2015</v>
      </c>
      <c r="E1470" s="8">
        <v>16012</v>
      </c>
      <c r="F1470" s="8">
        <v>22000</v>
      </c>
      <c r="G1470" s="8">
        <f t="shared" si="88"/>
        <v>5988</v>
      </c>
      <c r="H1470" s="6">
        <v>80000</v>
      </c>
      <c r="I1470" t="s">
        <v>58</v>
      </c>
      <c r="J1470" t="s">
        <v>1647</v>
      </c>
      <c r="K1470" t="s">
        <v>36</v>
      </c>
      <c r="L1470" t="s">
        <v>73</v>
      </c>
      <c r="M1470" t="s">
        <v>1647</v>
      </c>
      <c r="N1470" s="6">
        <v>2</v>
      </c>
      <c r="O1470" t="str">
        <f t="shared" si="89"/>
        <v>Normal</v>
      </c>
      <c r="P1470" t="str">
        <f t="shared" si="90"/>
        <v>Duplicate ID</v>
      </c>
      <c r="Q1470" t="str">
        <f t="shared" si="91"/>
        <v>15,000-19,999</v>
      </c>
      <c r="R1470" s="6">
        <f>IF(COUNTIF($A$2:A1470,A1470)=1,1,0)</f>
        <v>0</v>
      </c>
    </row>
    <row r="1471" spans="1:18" x14ac:dyDescent="0.25">
      <c r="A1471" s="6">
        <v>1020</v>
      </c>
      <c r="B1471" s="7">
        <v>44985</v>
      </c>
      <c r="C1471" t="s">
        <v>51</v>
      </c>
      <c r="D1471" s="6">
        <v>2014</v>
      </c>
      <c r="E1471" s="8">
        <v>25396</v>
      </c>
      <c r="F1471" s="8">
        <v>31000</v>
      </c>
      <c r="G1471" s="8">
        <f t="shared" si="88"/>
        <v>5604</v>
      </c>
      <c r="H1471" s="6">
        <v>120000</v>
      </c>
      <c r="I1471" t="s">
        <v>34</v>
      </c>
      <c r="J1471" t="s">
        <v>35</v>
      </c>
      <c r="K1471" t="s">
        <v>96</v>
      </c>
      <c r="L1471" t="s">
        <v>73</v>
      </c>
      <c r="M1471" t="s">
        <v>90</v>
      </c>
      <c r="N1471" s="6">
        <v>1</v>
      </c>
      <c r="O1471" t="str">
        <f t="shared" si="89"/>
        <v>Normal</v>
      </c>
      <c r="P1471" t="str">
        <f t="shared" si="90"/>
        <v>Duplicate ID</v>
      </c>
      <c r="Q1471" t="str">
        <f t="shared" si="91"/>
        <v>25,000-30,000</v>
      </c>
      <c r="R1471" s="6">
        <f>IF(COUNTIF($A$2:A1471,A1471)=1,1,0)</f>
        <v>0</v>
      </c>
    </row>
    <row r="1472" spans="1:18" x14ac:dyDescent="0.25">
      <c r="A1472" s="6">
        <v>1216</v>
      </c>
      <c r="B1472" s="7">
        <v>44700</v>
      </c>
      <c r="C1472" t="s">
        <v>1648</v>
      </c>
      <c r="D1472" s="6">
        <v>2018</v>
      </c>
      <c r="E1472" s="8">
        <v>20829</v>
      </c>
      <c r="F1472" s="8">
        <v>26000</v>
      </c>
      <c r="G1472" s="8">
        <f t="shared" si="88"/>
        <v>5171</v>
      </c>
      <c r="H1472" s="6">
        <v>80000</v>
      </c>
      <c r="I1472" t="s">
        <v>58</v>
      </c>
      <c r="J1472" t="s">
        <v>35</v>
      </c>
      <c r="K1472" t="s">
        <v>96</v>
      </c>
      <c r="L1472" t="s">
        <v>48</v>
      </c>
      <c r="M1472" t="s">
        <v>126</v>
      </c>
      <c r="N1472" s="6" t="s">
        <v>1647</v>
      </c>
      <c r="O1472" t="str">
        <f t="shared" si="89"/>
        <v>Normal</v>
      </c>
      <c r="P1472" t="str">
        <f t="shared" si="90"/>
        <v>Duplicate ID</v>
      </c>
      <c r="Q1472" t="str">
        <f t="shared" si="91"/>
        <v>20,000-24,999</v>
      </c>
      <c r="R1472" s="6">
        <f>IF(COUNTIF($A$2:A1472,A1472)=1,1,0)</f>
        <v>0</v>
      </c>
    </row>
    <row r="1473" spans="1:18" x14ac:dyDescent="0.25">
      <c r="A1473" s="6">
        <v>1588</v>
      </c>
      <c r="B1473" s="7">
        <v>45170</v>
      </c>
      <c r="C1473" t="s">
        <v>32</v>
      </c>
      <c r="D1473" s="6">
        <v>2016</v>
      </c>
      <c r="E1473" s="8">
        <v>7639</v>
      </c>
      <c r="F1473" s="8">
        <v>12000</v>
      </c>
      <c r="G1473" s="8">
        <f t="shared" si="88"/>
        <v>4361</v>
      </c>
      <c r="H1473" s="6">
        <v>60000</v>
      </c>
      <c r="I1473" t="s">
        <v>1647</v>
      </c>
      <c r="J1473" t="s">
        <v>1647</v>
      </c>
      <c r="K1473" t="s">
        <v>1647</v>
      </c>
      <c r="L1473" t="s">
        <v>48</v>
      </c>
      <c r="M1473" t="s">
        <v>45</v>
      </c>
      <c r="N1473" s="6">
        <v>1</v>
      </c>
      <c r="O1473" t="str">
        <f t="shared" si="89"/>
        <v>Normal</v>
      </c>
      <c r="P1473" t="str">
        <f t="shared" si="90"/>
        <v>Duplicate ID</v>
      </c>
      <c r="Q1473" t="str">
        <f t="shared" si="91"/>
        <v>5,000-9,999</v>
      </c>
      <c r="R1473" s="6">
        <f>IF(COUNTIF($A$2:A1473,A1473)=1,1,0)</f>
        <v>0</v>
      </c>
    </row>
    <row r="1474" spans="1:18" x14ac:dyDescent="0.25">
      <c r="A1474" s="6">
        <v>1586</v>
      </c>
      <c r="B1474" s="7">
        <v>44617</v>
      </c>
      <c r="C1474" t="s">
        <v>51</v>
      </c>
      <c r="D1474" s="6">
        <v>2018</v>
      </c>
      <c r="E1474" s="8">
        <v>2144</v>
      </c>
      <c r="F1474" s="8">
        <v>7000</v>
      </c>
      <c r="G1474" s="8">
        <f t="shared" ref="G1474:G1537" si="92">IF(OR(F1474="",E1474=""),"",F1474-E1474)</f>
        <v>4856</v>
      </c>
      <c r="H1474" s="6">
        <v>60000</v>
      </c>
      <c r="I1474" t="s">
        <v>1647</v>
      </c>
      <c r="J1474" t="s">
        <v>72</v>
      </c>
      <c r="K1474" t="s">
        <v>36</v>
      </c>
      <c r="L1474" t="s">
        <v>54</v>
      </c>
      <c r="M1474" t="s">
        <v>45</v>
      </c>
      <c r="N1474" s="6">
        <v>0</v>
      </c>
      <c r="O1474" t="str">
        <f t="shared" ref="O1474:O1537" si="93">IF(E1474&lt;1000,"Outlier","Normal")</f>
        <v>Normal</v>
      </c>
      <c r="P1474" t="str">
        <f t="shared" ref="P1474:P1537" si="94">IF(COUNTIF($A$2:$A$2501,A1474)&gt;1,"Duplicate ID","Unique ID")</f>
        <v>Duplicate ID</v>
      </c>
      <c r="Q1474" t="str">
        <f t="shared" ref="Q1474:Q1537" si="95">IF(E1474&lt;5000,"0-4,999",IF(E1474&lt;10000,"5,000-9,999",IF(E1474&lt;15000,"10,000-14,999",IF(E1474&lt;20000,"15,000-19,999",IF(E1474&lt;25000,"20,000-24,999","25,000-30,000")))))</f>
        <v>0-4,999</v>
      </c>
      <c r="R1474" s="6">
        <f>IF(COUNTIF($A$2:A1474,A1474)=1,1,0)</f>
        <v>0</v>
      </c>
    </row>
    <row r="1475" spans="1:18" x14ac:dyDescent="0.25">
      <c r="A1475" s="6">
        <v>1060</v>
      </c>
      <c r="B1475" s="7">
        <v>45129</v>
      </c>
      <c r="C1475" t="s">
        <v>51</v>
      </c>
      <c r="D1475" s="6"/>
      <c r="E1475" s="8">
        <v>10034</v>
      </c>
      <c r="F1475" s="8">
        <v>12000</v>
      </c>
      <c r="G1475" s="8">
        <f t="shared" si="92"/>
        <v>1966</v>
      </c>
      <c r="H1475" s="6">
        <v>25000</v>
      </c>
      <c r="I1475" t="s">
        <v>41</v>
      </c>
      <c r="J1475" t="s">
        <v>1647</v>
      </c>
      <c r="K1475" t="s">
        <v>96</v>
      </c>
      <c r="L1475" t="s">
        <v>48</v>
      </c>
      <c r="M1475" t="s">
        <v>126</v>
      </c>
      <c r="N1475" s="6">
        <v>3</v>
      </c>
      <c r="O1475" t="str">
        <f t="shared" si="93"/>
        <v>Normal</v>
      </c>
      <c r="P1475" t="str">
        <f t="shared" si="94"/>
        <v>Duplicate ID</v>
      </c>
      <c r="Q1475" t="str">
        <f t="shared" si="95"/>
        <v>10,000-14,999</v>
      </c>
      <c r="R1475" s="6">
        <f>IF(COUNTIF($A$2:A1475,A1475)=1,1,0)</f>
        <v>0</v>
      </c>
    </row>
    <row r="1476" spans="1:18" x14ac:dyDescent="0.25">
      <c r="A1476" s="6">
        <v>1166</v>
      </c>
      <c r="B1476" s="7">
        <v>45020</v>
      </c>
      <c r="C1476" t="s">
        <v>79</v>
      </c>
      <c r="D1476" s="6">
        <v>2017</v>
      </c>
      <c r="E1476" s="8">
        <v>10429</v>
      </c>
      <c r="F1476" s="8">
        <v>12000</v>
      </c>
      <c r="G1476" s="8">
        <f t="shared" si="92"/>
        <v>1571</v>
      </c>
      <c r="H1476" s="6">
        <v>15000</v>
      </c>
      <c r="I1476" t="s">
        <v>41</v>
      </c>
      <c r="J1476" t="s">
        <v>72</v>
      </c>
      <c r="K1476" t="s">
        <v>36</v>
      </c>
      <c r="L1476" t="s">
        <v>100</v>
      </c>
      <c r="M1476" t="s">
        <v>1647</v>
      </c>
      <c r="N1476" s="6" t="s">
        <v>1647</v>
      </c>
      <c r="O1476" t="str">
        <f t="shared" si="93"/>
        <v>Normal</v>
      </c>
      <c r="P1476" t="str">
        <f t="shared" si="94"/>
        <v>Duplicate ID</v>
      </c>
      <c r="Q1476" t="str">
        <f t="shared" si="95"/>
        <v>10,000-14,999</v>
      </c>
      <c r="R1476" s="6">
        <f>IF(COUNTIF($A$2:A1476,A1476)=1,1,0)</f>
        <v>0</v>
      </c>
    </row>
    <row r="1477" spans="1:18" x14ac:dyDescent="0.25">
      <c r="A1477" s="6">
        <v>1157</v>
      </c>
      <c r="B1477" s="7">
        <v>45347</v>
      </c>
      <c r="C1477" t="s">
        <v>40</v>
      </c>
      <c r="D1477" s="6">
        <v>2018</v>
      </c>
      <c r="E1477" s="8">
        <v>10017</v>
      </c>
      <c r="F1477" s="8">
        <v>12000</v>
      </c>
      <c r="G1477" s="8">
        <f t="shared" si="92"/>
        <v>1983</v>
      </c>
      <c r="H1477" s="6">
        <v>60000</v>
      </c>
      <c r="I1477" t="s">
        <v>58</v>
      </c>
      <c r="J1477" t="s">
        <v>35</v>
      </c>
      <c r="K1477" t="s">
        <v>96</v>
      </c>
      <c r="L1477" t="s">
        <v>73</v>
      </c>
      <c r="M1477" t="s">
        <v>98</v>
      </c>
      <c r="N1477" s="6">
        <v>0</v>
      </c>
      <c r="O1477" t="str">
        <f t="shared" si="93"/>
        <v>Normal</v>
      </c>
      <c r="P1477" t="str">
        <f t="shared" si="94"/>
        <v>Duplicate ID</v>
      </c>
      <c r="Q1477" t="str">
        <f t="shared" si="95"/>
        <v>10,000-14,999</v>
      </c>
      <c r="R1477" s="6">
        <f>IF(COUNTIF($A$2:A1477,A1477)=1,1,0)</f>
        <v>0</v>
      </c>
    </row>
    <row r="1478" spans="1:18" x14ac:dyDescent="0.25">
      <c r="A1478" s="6">
        <v>1161</v>
      </c>
      <c r="B1478" s="7">
        <v>44794</v>
      </c>
      <c r="C1478" t="s">
        <v>1648</v>
      </c>
      <c r="D1478" s="6">
        <v>2018</v>
      </c>
      <c r="E1478" s="8">
        <v>13681</v>
      </c>
      <c r="F1478" s="8">
        <v>18000</v>
      </c>
      <c r="G1478" s="8">
        <f t="shared" si="92"/>
        <v>4319</v>
      </c>
      <c r="H1478" s="6">
        <v>25000</v>
      </c>
      <c r="I1478" t="s">
        <v>58</v>
      </c>
      <c r="J1478" t="s">
        <v>35</v>
      </c>
      <c r="K1478" t="s">
        <v>36</v>
      </c>
      <c r="L1478" t="s">
        <v>54</v>
      </c>
      <c r="M1478" t="s">
        <v>45</v>
      </c>
      <c r="N1478" s="6" t="s">
        <v>1647</v>
      </c>
      <c r="O1478" t="str">
        <f t="shared" si="93"/>
        <v>Normal</v>
      </c>
      <c r="P1478" t="str">
        <f t="shared" si="94"/>
        <v>Duplicate ID</v>
      </c>
      <c r="Q1478" t="str">
        <f t="shared" si="95"/>
        <v>10,000-14,999</v>
      </c>
      <c r="R1478" s="6">
        <f>IF(COUNTIF($A$2:A1478,A1478)=1,1,0)</f>
        <v>0</v>
      </c>
    </row>
    <row r="1479" spans="1:18" x14ac:dyDescent="0.25">
      <c r="A1479" s="6">
        <v>1460</v>
      </c>
      <c r="B1479" s="7">
        <v>45054</v>
      </c>
      <c r="C1479" t="s">
        <v>40</v>
      </c>
      <c r="D1479" s="6">
        <v>2015</v>
      </c>
      <c r="E1479" s="8">
        <v>12367</v>
      </c>
      <c r="F1479" s="8">
        <v>18000</v>
      </c>
      <c r="G1479" s="8">
        <f t="shared" si="92"/>
        <v>5633</v>
      </c>
      <c r="H1479" s="6">
        <v>40000</v>
      </c>
      <c r="I1479" t="s">
        <v>69</v>
      </c>
      <c r="J1479" t="s">
        <v>1647</v>
      </c>
      <c r="K1479" t="s">
        <v>96</v>
      </c>
      <c r="L1479" t="s">
        <v>100</v>
      </c>
      <c r="M1479" t="s">
        <v>126</v>
      </c>
      <c r="N1479" s="6">
        <v>2</v>
      </c>
      <c r="O1479" t="str">
        <f t="shared" si="93"/>
        <v>Normal</v>
      </c>
      <c r="P1479" t="str">
        <f t="shared" si="94"/>
        <v>Duplicate ID</v>
      </c>
      <c r="Q1479" t="str">
        <f t="shared" si="95"/>
        <v>10,000-14,999</v>
      </c>
      <c r="R1479" s="6">
        <f>IF(COUNTIF($A$2:A1479,A1479)=1,1,0)</f>
        <v>0</v>
      </c>
    </row>
    <row r="1480" spans="1:18" x14ac:dyDescent="0.25">
      <c r="A1480" s="6">
        <v>1524</v>
      </c>
      <c r="B1480" s="7">
        <v>45346</v>
      </c>
      <c r="C1480" t="s">
        <v>119</v>
      </c>
      <c r="D1480" s="6"/>
      <c r="E1480" s="8">
        <v>9100</v>
      </c>
      <c r="F1480" s="8">
        <v>12000</v>
      </c>
      <c r="G1480" s="8">
        <f t="shared" si="92"/>
        <v>2900</v>
      </c>
      <c r="H1480" s="6">
        <v>40000</v>
      </c>
      <c r="I1480" t="s">
        <v>41</v>
      </c>
      <c r="J1480" t="s">
        <v>35</v>
      </c>
      <c r="K1480" t="s">
        <v>36</v>
      </c>
      <c r="L1480" t="s">
        <v>48</v>
      </c>
      <c r="M1480" t="s">
        <v>1647</v>
      </c>
      <c r="N1480" s="6">
        <v>0</v>
      </c>
      <c r="O1480" t="str">
        <f t="shared" si="93"/>
        <v>Normal</v>
      </c>
      <c r="P1480" t="str">
        <f t="shared" si="94"/>
        <v>Duplicate ID</v>
      </c>
      <c r="Q1480" t="str">
        <f t="shared" si="95"/>
        <v>5,000-9,999</v>
      </c>
      <c r="R1480" s="6">
        <f>IF(COUNTIF($A$2:A1480,A1480)=1,1,0)</f>
        <v>0</v>
      </c>
    </row>
    <row r="1481" spans="1:18" x14ac:dyDescent="0.25">
      <c r="A1481" s="6">
        <v>1277</v>
      </c>
      <c r="B1481" s="7">
        <v>44968</v>
      </c>
      <c r="C1481" t="s">
        <v>1648</v>
      </c>
      <c r="D1481" s="6">
        <v>2021</v>
      </c>
      <c r="E1481" s="8">
        <v>807</v>
      </c>
      <c r="F1481" s="8">
        <v>7000</v>
      </c>
      <c r="G1481" s="8">
        <f t="shared" si="92"/>
        <v>6193</v>
      </c>
      <c r="H1481" s="6">
        <v>60000</v>
      </c>
      <c r="I1481" t="s">
        <v>41</v>
      </c>
      <c r="J1481" t="s">
        <v>35</v>
      </c>
      <c r="K1481" t="s">
        <v>96</v>
      </c>
      <c r="L1481" t="s">
        <v>54</v>
      </c>
      <c r="M1481" t="s">
        <v>90</v>
      </c>
      <c r="N1481" s="6" t="s">
        <v>1647</v>
      </c>
      <c r="O1481" t="str">
        <f t="shared" si="93"/>
        <v>Outlier</v>
      </c>
      <c r="P1481" t="str">
        <f t="shared" si="94"/>
        <v>Duplicate ID</v>
      </c>
      <c r="Q1481" t="str">
        <f t="shared" si="95"/>
        <v>0-4,999</v>
      </c>
      <c r="R1481" s="6">
        <f>IF(COUNTIF($A$2:A1481,A1481)=1,1,0)</f>
        <v>0</v>
      </c>
    </row>
    <row r="1482" spans="1:18" x14ac:dyDescent="0.25">
      <c r="A1482" s="6">
        <v>1117</v>
      </c>
      <c r="B1482" s="7">
        <v>44291</v>
      </c>
      <c r="C1482" t="s">
        <v>40</v>
      </c>
      <c r="D1482" s="6">
        <v>2019</v>
      </c>
      <c r="E1482" s="8">
        <v>2324</v>
      </c>
      <c r="F1482" s="8">
        <v>7000</v>
      </c>
      <c r="G1482" s="8">
        <f t="shared" si="92"/>
        <v>4676</v>
      </c>
      <c r="H1482" s="6">
        <v>25000</v>
      </c>
      <c r="I1482" t="s">
        <v>34</v>
      </c>
      <c r="J1482" t="s">
        <v>72</v>
      </c>
      <c r="K1482" t="s">
        <v>36</v>
      </c>
      <c r="L1482" t="s">
        <v>48</v>
      </c>
      <c r="M1482" t="s">
        <v>126</v>
      </c>
      <c r="N1482" s="6">
        <v>1</v>
      </c>
      <c r="O1482" t="str">
        <f t="shared" si="93"/>
        <v>Normal</v>
      </c>
      <c r="P1482" t="str">
        <f t="shared" si="94"/>
        <v>Duplicate ID</v>
      </c>
      <c r="Q1482" t="str">
        <f t="shared" si="95"/>
        <v>0-4,999</v>
      </c>
      <c r="R1482" s="6">
        <f>IF(COUNTIF($A$2:A1482,A1482)=1,1,0)</f>
        <v>0</v>
      </c>
    </row>
    <row r="1483" spans="1:18" x14ac:dyDescent="0.25">
      <c r="A1483" s="6">
        <v>1465</v>
      </c>
      <c r="B1483" s="7">
        <v>44331</v>
      </c>
      <c r="C1483" t="s">
        <v>40</v>
      </c>
      <c r="D1483" s="6">
        <v>2022</v>
      </c>
      <c r="E1483" s="8">
        <v>753</v>
      </c>
      <c r="F1483" s="8">
        <v>7000</v>
      </c>
      <c r="G1483" s="8">
        <f t="shared" si="92"/>
        <v>6247</v>
      </c>
      <c r="H1483" s="6">
        <v>80000</v>
      </c>
      <c r="I1483" t="s">
        <v>34</v>
      </c>
      <c r="J1483" t="s">
        <v>1647</v>
      </c>
      <c r="K1483" t="s">
        <v>36</v>
      </c>
      <c r="L1483" t="s">
        <v>54</v>
      </c>
      <c r="M1483" t="s">
        <v>45</v>
      </c>
      <c r="N1483" s="6" t="s">
        <v>1647</v>
      </c>
      <c r="O1483" t="str">
        <f t="shared" si="93"/>
        <v>Outlier</v>
      </c>
      <c r="P1483" t="str">
        <f t="shared" si="94"/>
        <v>Duplicate ID</v>
      </c>
      <c r="Q1483" t="str">
        <f t="shared" si="95"/>
        <v>0-4,999</v>
      </c>
      <c r="R1483" s="6">
        <f>IF(COUNTIF($A$2:A1483,A1483)=1,1,0)</f>
        <v>0</v>
      </c>
    </row>
    <row r="1484" spans="1:18" x14ac:dyDescent="0.25">
      <c r="A1484" s="6">
        <v>1519</v>
      </c>
      <c r="B1484" s="7">
        <v>45254</v>
      </c>
      <c r="C1484" t="s">
        <v>51</v>
      </c>
      <c r="D1484" s="6">
        <v>2014</v>
      </c>
      <c r="E1484" s="8">
        <v>4794</v>
      </c>
      <c r="F1484" s="8">
        <v>7000</v>
      </c>
      <c r="G1484" s="8">
        <f t="shared" si="92"/>
        <v>2206</v>
      </c>
      <c r="H1484" s="6">
        <v>60000</v>
      </c>
      <c r="I1484" t="s">
        <v>58</v>
      </c>
      <c r="J1484" t="s">
        <v>72</v>
      </c>
      <c r="K1484" t="s">
        <v>96</v>
      </c>
      <c r="L1484" t="s">
        <v>73</v>
      </c>
      <c r="M1484" t="s">
        <v>126</v>
      </c>
      <c r="N1484" s="6">
        <v>3</v>
      </c>
      <c r="O1484" t="str">
        <f t="shared" si="93"/>
        <v>Normal</v>
      </c>
      <c r="P1484" t="str">
        <f t="shared" si="94"/>
        <v>Duplicate ID</v>
      </c>
      <c r="Q1484" t="str">
        <f t="shared" si="95"/>
        <v>0-4,999</v>
      </c>
      <c r="R1484" s="6">
        <f>IF(COUNTIF($A$2:A1484,A1484)=1,1,0)</f>
        <v>0</v>
      </c>
    </row>
    <row r="1485" spans="1:18" x14ac:dyDescent="0.25">
      <c r="A1485" s="6">
        <v>1112</v>
      </c>
      <c r="B1485" s="7">
        <v>44985</v>
      </c>
      <c r="C1485" t="s">
        <v>40</v>
      </c>
      <c r="D1485" s="6">
        <v>2020</v>
      </c>
      <c r="E1485" s="8">
        <v>3087</v>
      </c>
      <c r="F1485" s="8">
        <v>9000</v>
      </c>
      <c r="G1485" s="8">
        <f t="shared" si="92"/>
        <v>5913</v>
      </c>
      <c r="H1485" s="6">
        <v>120000</v>
      </c>
      <c r="I1485" t="s">
        <v>41</v>
      </c>
      <c r="J1485" t="s">
        <v>1647</v>
      </c>
      <c r="K1485" t="s">
        <v>36</v>
      </c>
      <c r="L1485" t="s">
        <v>1647</v>
      </c>
      <c r="M1485" t="s">
        <v>90</v>
      </c>
      <c r="N1485" s="6">
        <v>0</v>
      </c>
      <c r="O1485" t="str">
        <f t="shared" si="93"/>
        <v>Normal</v>
      </c>
      <c r="P1485" t="str">
        <f t="shared" si="94"/>
        <v>Duplicate ID</v>
      </c>
      <c r="Q1485" t="str">
        <f t="shared" si="95"/>
        <v>0-4,999</v>
      </c>
      <c r="R1485" s="6">
        <f>IF(COUNTIF($A$2:A1485,A1485)=1,1,0)</f>
        <v>0</v>
      </c>
    </row>
    <row r="1486" spans="1:18" x14ac:dyDescent="0.25">
      <c r="A1486" s="6">
        <v>1431</v>
      </c>
      <c r="B1486" s="7">
        <v>44555</v>
      </c>
      <c r="C1486" t="s">
        <v>119</v>
      </c>
      <c r="D1486" s="6"/>
      <c r="E1486" s="8">
        <v>7535</v>
      </c>
      <c r="F1486" s="8">
        <v>9000</v>
      </c>
      <c r="G1486" s="8">
        <f t="shared" si="92"/>
        <v>1465</v>
      </c>
      <c r="H1486" s="6">
        <v>60000</v>
      </c>
      <c r="I1486" t="s">
        <v>69</v>
      </c>
      <c r="J1486" t="s">
        <v>35</v>
      </c>
      <c r="K1486" t="s">
        <v>96</v>
      </c>
      <c r="L1486" t="s">
        <v>48</v>
      </c>
      <c r="M1486" t="s">
        <v>90</v>
      </c>
      <c r="N1486" s="6">
        <v>2</v>
      </c>
      <c r="O1486" t="str">
        <f t="shared" si="93"/>
        <v>Normal</v>
      </c>
      <c r="P1486" t="str">
        <f t="shared" si="94"/>
        <v>Duplicate ID</v>
      </c>
      <c r="Q1486" t="str">
        <f t="shared" si="95"/>
        <v>5,000-9,999</v>
      </c>
      <c r="R1486" s="6">
        <f>IF(COUNTIF($A$2:A1486,A1486)=1,1,0)</f>
        <v>0</v>
      </c>
    </row>
    <row r="1487" spans="1:18" x14ac:dyDescent="0.25">
      <c r="A1487" s="6">
        <v>1011</v>
      </c>
      <c r="B1487" s="7">
        <v>44562</v>
      </c>
      <c r="C1487" t="s">
        <v>51</v>
      </c>
      <c r="D1487" s="6">
        <v>2022</v>
      </c>
      <c r="E1487" s="8">
        <v>29335</v>
      </c>
      <c r="F1487" s="8">
        <v>31000</v>
      </c>
      <c r="G1487" s="8">
        <f t="shared" si="92"/>
        <v>1665</v>
      </c>
      <c r="H1487" s="6">
        <v>15000</v>
      </c>
      <c r="I1487" t="s">
        <v>58</v>
      </c>
      <c r="J1487" t="s">
        <v>72</v>
      </c>
      <c r="K1487" t="s">
        <v>36</v>
      </c>
      <c r="L1487" t="s">
        <v>54</v>
      </c>
      <c r="M1487" t="s">
        <v>90</v>
      </c>
      <c r="N1487" s="6">
        <v>3</v>
      </c>
      <c r="O1487" t="str">
        <f t="shared" si="93"/>
        <v>Normal</v>
      </c>
      <c r="P1487" t="str">
        <f t="shared" si="94"/>
        <v>Duplicate ID</v>
      </c>
      <c r="Q1487" t="str">
        <f t="shared" si="95"/>
        <v>25,000-30,000</v>
      </c>
      <c r="R1487" s="6">
        <f>IF(COUNTIF($A$2:A1487,A1487)=1,1,0)</f>
        <v>0</v>
      </c>
    </row>
    <row r="1488" spans="1:18" x14ac:dyDescent="0.25">
      <c r="A1488" s="6">
        <v>1372</v>
      </c>
      <c r="B1488" s="7">
        <v>45136</v>
      </c>
      <c r="C1488" t="s">
        <v>40</v>
      </c>
      <c r="D1488" s="6"/>
      <c r="E1488" s="8">
        <v>6175</v>
      </c>
      <c r="F1488" s="8">
        <v>9000</v>
      </c>
      <c r="G1488" s="8">
        <f t="shared" si="92"/>
        <v>2825</v>
      </c>
      <c r="H1488" s="6">
        <v>25000</v>
      </c>
      <c r="I1488" t="s">
        <v>1647</v>
      </c>
      <c r="J1488" t="s">
        <v>72</v>
      </c>
      <c r="K1488" t="s">
        <v>36</v>
      </c>
      <c r="L1488" t="s">
        <v>100</v>
      </c>
      <c r="M1488" t="s">
        <v>98</v>
      </c>
      <c r="N1488" s="6">
        <v>3</v>
      </c>
      <c r="O1488" t="str">
        <f t="shared" si="93"/>
        <v>Normal</v>
      </c>
      <c r="P1488" t="str">
        <f t="shared" si="94"/>
        <v>Duplicate ID</v>
      </c>
      <c r="Q1488" t="str">
        <f t="shared" si="95"/>
        <v>5,000-9,999</v>
      </c>
      <c r="R1488" s="6">
        <f>IF(COUNTIF($A$2:A1488,A1488)=1,1,0)</f>
        <v>0</v>
      </c>
    </row>
    <row r="1489" spans="1:18" x14ac:dyDescent="0.25">
      <c r="A1489" s="6">
        <v>1136</v>
      </c>
      <c r="B1489" s="7">
        <v>44848</v>
      </c>
      <c r="C1489" t="s">
        <v>40</v>
      </c>
      <c r="D1489" s="6">
        <v>2016</v>
      </c>
      <c r="E1489" s="8">
        <v>13925</v>
      </c>
      <c r="F1489" s="8">
        <v>18000</v>
      </c>
      <c r="G1489" s="8">
        <f t="shared" si="92"/>
        <v>4075</v>
      </c>
      <c r="H1489" s="6">
        <v>25000</v>
      </c>
      <c r="I1489" t="s">
        <v>69</v>
      </c>
      <c r="J1489" t="s">
        <v>72</v>
      </c>
      <c r="K1489" t="s">
        <v>36</v>
      </c>
      <c r="L1489" t="s">
        <v>48</v>
      </c>
      <c r="M1489" t="s">
        <v>45</v>
      </c>
      <c r="N1489" s="6" t="s">
        <v>1647</v>
      </c>
      <c r="O1489" t="str">
        <f t="shared" si="93"/>
        <v>Normal</v>
      </c>
      <c r="P1489" t="str">
        <f t="shared" si="94"/>
        <v>Duplicate ID</v>
      </c>
      <c r="Q1489" t="str">
        <f t="shared" si="95"/>
        <v>10,000-14,999</v>
      </c>
      <c r="R1489" s="6">
        <f>IF(COUNTIF($A$2:A1489,A1489)=1,1,0)</f>
        <v>1</v>
      </c>
    </row>
    <row r="1490" spans="1:18" x14ac:dyDescent="0.25">
      <c r="A1490" s="6">
        <v>1248</v>
      </c>
      <c r="B1490" s="7">
        <v>44230</v>
      </c>
      <c r="C1490" t="s">
        <v>40</v>
      </c>
      <c r="D1490" s="6">
        <v>2022</v>
      </c>
      <c r="E1490" s="8">
        <v>27720</v>
      </c>
      <c r="F1490" s="8">
        <v>31000</v>
      </c>
      <c r="G1490" s="8">
        <f t="shared" si="92"/>
        <v>3280</v>
      </c>
      <c r="H1490" s="6">
        <v>40000</v>
      </c>
      <c r="I1490" t="s">
        <v>58</v>
      </c>
      <c r="J1490" t="s">
        <v>35</v>
      </c>
      <c r="K1490" t="s">
        <v>96</v>
      </c>
      <c r="L1490" t="s">
        <v>48</v>
      </c>
      <c r="M1490" t="s">
        <v>98</v>
      </c>
      <c r="N1490" s="6">
        <v>1</v>
      </c>
      <c r="O1490" t="str">
        <f t="shared" si="93"/>
        <v>Normal</v>
      </c>
      <c r="P1490" t="str">
        <f t="shared" si="94"/>
        <v>Duplicate ID</v>
      </c>
      <c r="Q1490" t="str">
        <f t="shared" si="95"/>
        <v>25,000-30,000</v>
      </c>
      <c r="R1490" s="6">
        <f>IF(COUNTIF($A$2:A1490,A1490)=1,1,0)</f>
        <v>0</v>
      </c>
    </row>
    <row r="1491" spans="1:18" x14ac:dyDescent="0.25">
      <c r="A1491" s="6">
        <v>1130</v>
      </c>
      <c r="B1491" s="7">
        <v>44601</v>
      </c>
      <c r="C1491" t="s">
        <v>79</v>
      </c>
      <c r="D1491" s="6">
        <v>2018</v>
      </c>
      <c r="E1491" s="8">
        <v>23753</v>
      </c>
      <c r="F1491" s="8">
        <v>26000</v>
      </c>
      <c r="G1491" s="8">
        <f t="shared" si="92"/>
        <v>2247</v>
      </c>
      <c r="H1491" s="6">
        <v>60000</v>
      </c>
      <c r="I1491" t="s">
        <v>1647</v>
      </c>
      <c r="J1491" t="s">
        <v>1647</v>
      </c>
      <c r="K1491" t="s">
        <v>1647</v>
      </c>
      <c r="L1491" t="s">
        <v>1647</v>
      </c>
      <c r="M1491" t="s">
        <v>98</v>
      </c>
      <c r="N1491" s="6">
        <v>2</v>
      </c>
      <c r="O1491" t="str">
        <f t="shared" si="93"/>
        <v>Normal</v>
      </c>
      <c r="P1491" t="str">
        <f t="shared" si="94"/>
        <v>Duplicate ID</v>
      </c>
      <c r="Q1491" t="str">
        <f t="shared" si="95"/>
        <v>20,000-24,999</v>
      </c>
      <c r="R1491" s="6">
        <f>IF(COUNTIF($A$2:A1491,A1491)=1,1,0)</f>
        <v>0</v>
      </c>
    </row>
    <row r="1492" spans="1:18" x14ac:dyDescent="0.25">
      <c r="A1492" s="6">
        <v>1496</v>
      </c>
      <c r="B1492" s="7">
        <v>45358</v>
      </c>
      <c r="C1492" t="s">
        <v>40</v>
      </c>
      <c r="D1492" s="6">
        <v>2016</v>
      </c>
      <c r="E1492" s="8">
        <v>18458</v>
      </c>
      <c r="F1492" s="8">
        <v>22000</v>
      </c>
      <c r="G1492" s="8">
        <f t="shared" si="92"/>
        <v>3542</v>
      </c>
      <c r="H1492" s="6">
        <v>80000</v>
      </c>
      <c r="I1492" t="s">
        <v>58</v>
      </c>
      <c r="J1492" t="s">
        <v>35</v>
      </c>
      <c r="K1492" t="s">
        <v>36</v>
      </c>
      <c r="L1492" t="s">
        <v>54</v>
      </c>
      <c r="M1492" t="s">
        <v>90</v>
      </c>
      <c r="N1492" s="6" t="s">
        <v>1647</v>
      </c>
      <c r="O1492" t="str">
        <f t="shared" si="93"/>
        <v>Normal</v>
      </c>
      <c r="P1492" t="str">
        <f t="shared" si="94"/>
        <v>Duplicate ID</v>
      </c>
      <c r="Q1492" t="str">
        <f t="shared" si="95"/>
        <v>15,000-19,999</v>
      </c>
      <c r="R1492" s="6">
        <f>IF(COUNTIF($A$2:A1492,A1492)=1,1,0)</f>
        <v>0</v>
      </c>
    </row>
    <row r="1493" spans="1:18" x14ac:dyDescent="0.25">
      <c r="A1493" s="6">
        <v>1011</v>
      </c>
      <c r="B1493" s="7">
        <v>44460</v>
      </c>
      <c r="C1493" t="s">
        <v>79</v>
      </c>
      <c r="D1493" s="6">
        <v>2016</v>
      </c>
      <c r="E1493" s="8">
        <v>6383</v>
      </c>
      <c r="F1493" s="8">
        <v>12000</v>
      </c>
      <c r="G1493" s="8">
        <f t="shared" si="92"/>
        <v>5617</v>
      </c>
      <c r="H1493" s="6">
        <v>60000</v>
      </c>
      <c r="I1493" t="s">
        <v>34</v>
      </c>
      <c r="J1493" t="s">
        <v>35</v>
      </c>
      <c r="K1493" t="s">
        <v>36</v>
      </c>
      <c r="L1493" t="s">
        <v>54</v>
      </c>
      <c r="M1493" t="s">
        <v>98</v>
      </c>
      <c r="N1493" s="6" t="s">
        <v>1647</v>
      </c>
      <c r="O1493" t="str">
        <f t="shared" si="93"/>
        <v>Normal</v>
      </c>
      <c r="P1493" t="str">
        <f t="shared" si="94"/>
        <v>Duplicate ID</v>
      </c>
      <c r="Q1493" t="str">
        <f t="shared" si="95"/>
        <v>5,000-9,999</v>
      </c>
      <c r="R1493" s="6">
        <f>IF(COUNTIF($A$2:A1493,A1493)=1,1,0)</f>
        <v>0</v>
      </c>
    </row>
    <row r="1494" spans="1:18" x14ac:dyDescent="0.25">
      <c r="A1494" s="6">
        <v>1488</v>
      </c>
      <c r="B1494" s="7">
        <v>45329</v>
      </c>
      <c r="C1494" t="s">
        <v>32</v>
      </c>
      <c r="D1494" s="6"/>
      <c r="E1494" s="8">
        <v>11374</v>
      </c>
      <c r="F1494" s="8">
        <v>15000</v>
      </c>
      <c r="G1494" s="8">
        <f t="shared" si="92"/>
        <v>3626</v>
      </c>
      <c r="H1494" s="6">
        <v>25000</v>
      </c>
      <c r="I1494" t="s">
        <v>1647</v>
      </c>
      <c r="J1494" t="s">
        <v>72</v>
      </c>
      <c r="K1494" t="s">
        <v>1647</v>
      </c>
      <c r="L1494" t="s">
        <v>100</v>
      </c>
      <c r="M1494" t="s">
        <v>45</v>
      </c>
      <c r="N1494" s="6">
        <v>3</v>
      </c>
      <c r="O1494" t="str">
        <f t="shared" si="93"/>
        <v>Normal</v>
      </c>
      <c r="P1494" t="str">
        <f t="shared" si="94"/>
        <v>Duplicate ID</v>
      </c>
      <c r="Q1494" t="str">
        <f t="shared" si="95"/>
        <v>10,000-14,999</v>
      </c>
      <c r="R1494" s="6">
        <f>IF(COUNTIF($A$2:A1494,A1494)=1,1,0)</f>
        <v>1</v>
      </c>
    </row>
    <row r="1495" spans="1:18" x14ac:dyDescent="0.25">
      <c r="A1495" s="6">
        <v>1176</v>
      </c>
      <c r="B1495" s="7">
        <v>45272</v>
      </c>
      <c r="C1495" t="s">
        <v>40</v>
      </c>
      <c r="D1495" s="6">
        <v>2018</v>
      </c>
      <c r="E1495" s="8">
        <v>5913</v>
      </c>
      <c r="F1495" s="8">
        <v>9000</v>
      </c>
      <c r="G1495" s="8">
        <f t="shared" si="92"/>
        <v>3087</v>
      </c>
      <c r="H1495" s="6">
        <v>25000</v>
      </c>
      <c r="I1495" t="s">
        <v>58</v>
      </c>
      <c r="J1495" t="s">
        <v>35</v>
      </c>
      <c r="K1495" t="s">
        <v>96</v>
      </c>
      <c r="L1495" t="s">
        <v>100</v>
      </c>
      <c r="M1495" t="s">
        <v>1647</v>
      </c>
      <c r="N1495" s="6">
        <v>1</v>
      </c>
      <c r="O1495" t="str">
        <f t="shared" si="93"/>
        <v>Normal</v>
      </c>
      <c r="P1495" t="str">
        <f t="shared" si="94"/>
        <v>Duplicate ID</v>
      </c>
      <c r="Q1495" t="str">
        <f t="shared" si="95"/>
        <v>5,000-9,999</v>
      </c>
      <c r="R1495" s="6">
        <f>IF(COUNTIF($A$2:A1495,A1495)=1,1,0)</f>
        <v>0</v>
      </c>
    </row>
    <row r="1496" spans="1:18" x14ac:dyDescent="0.25">
      <c r="A1496" s="6">
        <v>1004</v>
      </c>
      <c r="B1496" s="7">
        <v>44257</v>
      </c>
      <c r="C1496" t="s">
        <v>40</v>
      </c>
      <c r="D1496" s="6">
        <v>2016</v>
      </c>
      <c r="E1496" s="8">
        <v>10920</v>
      </c>
      <c r="F1496" s="8">
        <v>12000</v>
      </c>
      <c r="G1496" s="8">
        <f t="shared" si="92"/>
        <v>1080</v>
      </c>
      <c r="H1496" s="6">
        <v>60000</v>
      </c>
      <c r="I1496" t="s">
        <v>1647</v>
      </c>
      <c r="J1496" t="s">
        <v>72</v>
      </c>
      <c r="K1496" t="s">
        <v>36</v>
      </c>
      <c r="L1496" t="s">
        <v>73</v>
      </c>
      <c r="M1496" t="s">
        <v>45</v>
      </c>
      <c r="N1496" s="6">
        <v>1</v>
      </c>
      <c r="O1496" t="str">
        <f t="shared" si="93"/>
        <v>Normal</v>
      </c>
      <c r="P1496" t="str">
        <f t="shared" si="94"/>
        <v>Duplicate ID</v>
      </c>
      <c r="Q1496" t="str">
        <f t="shared" si="95"/>
        <v>10,000-14,999</v>
      </c>
      <c r="R1496" s="6">
        <f>IF(COUNTIF($A$2:A1496,A1496)=1,1,0)</f>
        <v>0</v>
      </c>
    </row>
    <row r="1497" spans="1:18" x14ac:dyDescent="0.25">
      <c r="A1497" s="6">
        <v>1017</v>
      </c>
      <c r="B1497" s="7">
        <v>44439</v>
      </c>
      <c r="C1497" t="s">
        <v>40</v>
      </c>
      <c r="D1497" s="6">
        <v>2018</v>
      </c>
      <c r="E1497" s="8">
        <v>5539</v>
      </c>
      <c r="F1497" s="8">
        <v>9000</v>
      </c>
      <c r="G1497" s="8">
        <f t="shared" si="92"/>
        <v>3461</v>
      </c>
      <c r="H1497" s="6">
        <v>25000</v>
      </c>
      <c r="I1497" t="s">
        <v>58</v>
      </c>
      <c r="J1497" t="s">
        <v>1647</v>
      </c>
      <c r="K1497" t="s">
        <v>96</v>
      </c>
      <c r="L1497" t="s">
        <v>100</v>
      </c>
      <c r="M1497" t="s">
        <v>126</v>
      </c>
      <c r="N1497" s="6" t="s">
        <v>1647</v>
      </c>
      <c r="O1497" t="str">
        <f t="shared" si="93"/>
        <v>Normal</v>
      </c>
      <c r="P1497" t="str">
        <f t="shared" si="94"/>
        <v>Duplicate ID</v>
      </c>
      <c r="Q1497" t="str">
        <f t="shared" si="95"/>
        <v>5,000-9,999</v>
      </c>
      <c r="R1497" s="6">
        <f>IF(COUNTIF($A$2:A1497,A1497)=1,1,0)</f>
        <v>0</v>
      </c>
    </row>
    <row r="1498" spans="1:18" x14ac:dyDescent="0.25">
      <c r="A1498" s="6">
        <v>1163</v>
      </c>
      <c r="B1498" s="7">
        <v>44805</v>
      </c>
      <c r="C1498" t="s">
        <v>1648</v>
      </c>
      <c r="D1498" s="6">
        <v>2018</v>
      </c>
      <c r="E1498" s="8">
        <v>17857</v>
      </c>
      <c r="F1498" s="8">
        <v>22000</v>
      </c>
      <c r="G1498" s="8">
        <f t="shared" si="92"/>
        <v>4143</v>
      </c>
      <c r="H1498" s="6">
        <v>120000</v>
      </c>
      <c r="I1498" t="s">
        <v>69</v>
      </c>
      <c r="J1498" t="s">
        <v>35</v>
      </c>
      <c r="K1498" t="s">
        <v>96</v>
      </c>
      <c r="L1498" t="s">
        <v>100</v>
      </c>
      <c r="M1498" t="s">
        <v>126</v>
      </c>
      <c r="N1498" s="6" t="s">
        <v>1647</v>
      </c>
      <c r="O1498" t="str">
        <f t="shared" si="93"/>
        <v>Normal</v>
      </c>
      <c r="P1498" t="str">
        <f t="shared" si="94"/>
        <v>Duplicate ID</v>
      </c>
      <c r="Q1498" t="str">
        <f t="shared" si="95"/>
        <v>15,000-19,999</v>
      </c>
      <c r="R1498" s="6">
        <f>IF(COUNTIF($A$2:A1498,A1498)=1,1,0)</f>
        <v>1</v>
      </c>
    </row>
    <row r="1499" spans="1:18" x14ac:dyDescent="0.25">
      <c r="A1499" s="6">
        <v>1496</v>
      </c>
      <c r="B1499" s="7">
        <v>45364</v>
      </c>
      <c r="C1499" t="s">
        <v>57</v>
      </c>
      <c r="D1499" s="6">
        <v>2017</v>
      </c>
      <c r="E1499" s="8">
        <v>20747</v>
      </c>
      <c r="F1499" s="8">
        <v>22000</v>
      </c>
      <c r="G1499" s="8">
        <f t="shared" si="92"/>
        <v>1253</v>
      </c>
      <c r="H1499" s="6">
        <v>25000</v>
      </c>
      <c r="I1499" t="s">
        <v>41</v>
      </c>
      <c r="J1499" t="s">
        <v>1647</v>
      </c>
      <c r="K1499" t="s">
        <v>96</v>
      </c>
      <c r="L1499" t="s">
        <v>1647</v>
      </c>
      <c r="M1499" t="s">
        <v>98</v>
      </c>
      <c r="N1499" s="6">
        <v>1</v>
      </c>
      <c r="O1499" t="str">
        <f t="shared" si="93"/>
        <v>Normal</v>
      </c>
      <c r="P1499" t="str">
        <f t="shared" si="94"/>
        <v>Duplicate ID</v>
      </c>
      <c r="Q1499" t="str">
        <f t="shared" si="95"/>
        <v>20,000-24,999</v>
      </c>
      <c r="R1499" s="6">
        <f>IF(COUNTIF($A$2:A1499,A1499)=1,1,0)</f>
        <v>0</v>
      </c>
    </row>
    <row r="1500" spans="1:18" x14ac:dyDescent="0.25">
      <c r="A1500" s="6">
        <v>1004</v>
      </c>
      <c r="B1500" s="7">
        <v>44466</v>
      </c>
      <c r="C1500" t="s">
        <v>40</v>
      </c>
      <c r="D1500" s="6">
        <v>2018</v>
      </c>
      <c r="E1500" s="8">
        <v>16626</v>
      </c>
      <c r="F1500" s="8">
        <v>22000</v>
      </c>
      <c r="G1500" s="8">
        <f t="shared" si="92"/>
        <v>5374</v>
      </c>
      <c r="H1500" s="6">
        <v>60000</v>
      </c>
      <c r="I1500" t="s">
        <v>41</v>
      </c>
      <c r="J1500" t="s">
        <v>72</v>
      </c>
      <c r="K1500" t="s">
        <v>1647</v>
      </c>
      <c r="L1500" t="s">
        <v>48</v>
      </c>
      <c r="M1500" t="s">
        <v>98</v>
      </c>
      <c r="N1500" s="6">
        <v>0</v>
      </c>
      <c r="O1500" t="str">
        <f t="shared" si="93"/>
        <v>Normal</v>
      </c>
      <c r="P1500" t="str">
        <f t="shared" si="94"/>
        <v>Duplicate ID</v>
      </c>
      <c r="Q1500" t="str">
        <f t="shared" si="95"/>
        <v>15,000-19,999</v>
      </c>
      <c r="R1500" s="6">
        <f>IF(COUNTIF($A$2:A1500,A1500)=1,1,0)</f>
        <v>0</v>
      </c>
    </row>
    <row r="1501" spans="1:18" x14ac:dyDescent="0.25">
      <c r="A1501" s="6">
        <v>1006</v>
      </c>
      <c r="B1501" s="7">
        <v>44791</v>
      </c>
      <c r="C1501" t="s">
        <v>1648</v>
      </c>
      <c r="D1501" s="6"/>
      <c r="E1501" s="8">
        <v>19748</v>
      </c>
      <c r="F1501" s="8">
        <v>22000</v>
      </c>
      <c r="G1501" s="8">
        <f t="shared" si="92"/>
        <v>2252</v>
      </c>
      <c r="H1501" s="6">
        <v>60000</v>
      </c>
      <c r="I1501" t="s">
        <v>69</v>
      </c>
      <c r="J1501" t="s">
        <v>35</v>
      </c>
      <c r="K1501" t="s">
        <v>36</v>
      </c>
      <c r="L1501" t="s">
        <v>54</v>
      </c>
      <c r="M1501" t="s">
        <v>90</v>
      </c>
      <c r="N1501" s="6">
        <v>0</v>
      </c>
      <c r="O1501" t="str">
        <f t="shared" si="93"/>
        <v>Normal</v>
      </c>
      <c r="P1501" t="str">
        <f t="shared" si="94"/>
        <v>Duplicate ID</v>
      </c>
      <c r="Q1501" t="str">
        <f t="shared" si="95"/>
        <v>15,000-19,999</v>
      </c>
      <c r="R1501" s="6">
        <f>IF(COUNTIF($A$2:A1501,A1501)=1,1,0)</f>
        <v>0</v>
      </c>
    </row>
    <row r="1502" spans="1:18" x14ac:dyDescent="0.25">
      <c r="A1502" s="6">
        <v>1053</v>
      </c>
      <c r="B1502" s="7">
        <v>44223</v>
      </c>
      <c r="C1502" t="s">
        <v>57</v>
      </c>
      <c r="D1502" s="6">
        <v>2021</v>
      </c>
      <c r="E1502" s="8">
        <v>20206</v>
      </c>
      <c r="F1502" s="8">
        <v>22000</v>
      </c>
      <c r="G1502" s="8">
        <f t="shared" si="92"/>
        <v>1794</v>
      </c>
      <c r="H1502" s="6">
        <v>60000</v>
      </c>
      <c r="I1502" t="s">
        <v>41</v>
      </c>
      <c r="J1502" t="s">
        <v>72</v>
      </c>
      <c r="K1502" t="s">
        <v>96</v>
      </c>
      <c r="L1502" t="s">
        <v>73</v>
      </c>
      <c r="M1502" t="s">
        <v>90</v>
      </c>
      <c r="N1502" s="6">
        <v>3</v>
      </c>
      <c r="O1502" t="str">
        <f t="shared" si="93"/>
        <v>Normal</v>
      </c>
      <c r="P1502" t="str">
        <f t="shared" si="94"/>
        <v>Unique ID</v>
      </c>
      <c r="Q1502" t="str">
        <f t="shared" si="95"/>
        <v>20,000-24,999</v>
      </c>
      <c r="R1502" s="6">
        <f>IF(COUNTIF($A$2:A1502,A1502)=1,1,0)</f>
        <v>1</v>
      </c>
    </row>
    <row r="1503" spans="1:18" x14ac:dyDescent="0.25">
      <c r="A1503" s="6">
        <v>1597</v>
      </c>
      <c r="B1503" s="7">
        <v>44880</v>
      </c>
      <c r="C1503" t="s">
        <v>40</v>
      </c>
      <c r="D1503" s="6"/>
      <c r="E1503" s="8">
        <v>9799</v>
      </c>
      <c r="F1503" s="8">
        <v>12000</v>
      </c>
      <c r="G1503" s="8">
        <f t="shared" si="92"/>
        <v>2201</v>
      </c>
      <c r="H1503" s="6">
        <v>15000</v>
      </c>
      <c r="I1503" t="s">
        <v>1647</v>
      </c>
      <c r="J1503" t="s">
        <v>35</v>
      </c>
      <c r="K1503" t="s">
        <v>36</v>
      </c>
      <c r="L1503" t="s">
        <v>48</v>
      </c>
      <c r="M1503" t="s">
        <v>126</v>
      </c>
      <c r="N1503" s="6">
        <v>1</v>
      </c>
      <c r="O1503" t="str">
        <f t="shared" si="93"/>
        <v>Normal</v>
      </c>
      <c r="P1503" t="str">
        <f t="shared" si="94"/>
        <v>Duplicate ID</v>
      </c>
      <c r="Q1503" t="str">
        <f t="shared" si="95"/>
        <v>5,000-9,999</v>
      </c>
      <c r="R1503" s="6">
        <f>IF(COUNTIF($A$2:A1503,A1503)=1,1,0)</f>
        <v>1</v>
      </c>
    </row>
    <row r="1504" spans="1:18" x14ac:dyDescent="0.25">
      <c r="A1504" s="6">
        <v>1293</v>
      </c>
      <c r="B1504" s="7">
        <v>45115</v>
      </c>
      <c r="C1504" t="s">
        <v>51</v>
      </c>
      <c r="D1504" s="6">
        <v>2016</v>
      </c>
      <c r="E1504" s="8">
        <v>14747</v>
      </c>
      <c r="F1504" s="8">
        <v>18000</v>
      </c>
      <c r="G1504" s="8">
        <f t="shared" si="92"/>
        <v>3253</v>
      </c>
      <c r="H1504" s="6">
        <v>40000</v>
      </c>
      <c r="I1504" t="s">
        <v>34</v>
      </c>
      <c r="J1504" t="s">
        <v>35</v>
      </c>
      <c r="K1504" t="s">
        <v>96</v>
      </c>
      <c r="L1504" t="s">
        <v>1647</v>
      </c>
      <c r="M1504" t="s">
        <v>98</v>
      </c>
      <c r="N1504" s="6">
        <v>1</v>
      </c>
      <c r="O1504" t="str">
        <f t="shared" si="93"/>
        <v>Normal</v>
      </c>
      <c r="P1504" t="str">
        <f t="shared" si="94"/>
        <v>Duplicate ID</v>
      </c>
      <c r="Q1504" t="str">
        <f t="shared" si="95"/>
        <v>10,000-14,999</v>
      </c>
      <c r="R1504" s="6">
        <f>IF(COUNTIF($A$2:A1504,A1504)=1,1,0)</f>
        <v>0</v>
      </c>
    </row>
    <row r="1505" spans="1:18" x14ac:dyDescent="0.25">
      <c r="A1505" s="6">
        <v>1423</v>
      </c>
      <c r="B1505" s="7">
        <v>45160</v>
      </c>
      <c r="C1505" t="s">
        <v>119</v>
      </c>
      <c r="D1505" s="6">
        <v>2019</v>
      </c>
      <c r="E1505" s="8">
        <v>2333</v>
      </c>
      <c r="F1505" s="8">
        <v>9000</v>
      </c>
      <c r="G1505" s="8">
        <f t="shared" si="92"/>
        <v>6667</v>
      </c>
      <c r="H1505" s="6">
        <v>15000</v>
      </c>
      <c r="I1505" t="s">
        <v>1647</v>
      </c>
      <c r="J1505" t="s">
        <v>35</v>
      </c>
      <c r="K1505" t="s">
        <v>1647</v>
      </c>
      <c r="L1505" t="s">
        <v>54</v>
      </c>
      <c r="M1505" t="s">
        <v>126</v>
      </c>
      <c r="N1505" s="6">
        <v>3</v>
      </c>
      <c r="O1505" t="str">
        <f t="shared" si="93"/>
        <v>Normal</v>
      </c>
      <c r="P1505" t="str">
        <f t="shared" si="94"/>
        <v>Duplicate ID</v>
      </c>
      <c r="Q1505" t="str">
        <f t="shared" si="95"/>
        <v>0-4,999</v>
      </c>
      <c r="R1505" s="6">
        <f>IF(COUNTIF($A$2:A1505,A1505)=1,1,0)</f>
        <v>0</v>
      </c>
    </row>
    <row r="1506" spans="1:18" x14ac:dyDescent="0.25">
      <c r="A1506" s="6">
        <v>1080</v>
      </c>
      <c r="B1506" s="7">
        <v>44907</v>
      </c>
      <c r="C1506" t="s">
        <v>119</v>
      </c>
      <c r="D1506" s="6">
        <v>2018</v>
      </c>
      <c r="E1506" s="8">
        <v>6142</v>
      </c>
      <c r="F1506" s="8">
        <v>12000</v>
      </c>
      <c r="G1506" s="8">
        <f t="shared" si="92"/>
        <v>5858</v>
      </c>
      <c r="H1506" s="6">
        <v>80000</v>
      </c>
      <c r="I1506" t="s">
        <v>41</v>
      </c>
      <c r="J1506" t="s">
        <v>1647</v>
      </c>
      <c r="K1506" t="s">
        <v>36</v>
      </c>
      <c r="L1506" t="s">
        <v>1647</v>
      </c>
      <c r="M1506" t="s">
        <v>45</v>
      </c>
      <c r="N1506" s="6" t="s">
        <v>1647</v>
      </c>
      <c r="O1506" t="str">
        <f t="shared" si="93"/>
        <v>Normal</v>
      </c>
      <c r="P1506" t="str">
        <f t="shared" si="94"/>
        <v>Duplicate ID</v>
      </c>
      <c r="Q1506" t="str">
        <f t="shared" si="95"/>
        <v>5,000-9,999</v>
      </c>
      <c r="R1506" s="6">
        <f>IF(COUNTIF($A$2:A1506,A1506)=1,1,0)</f>
        <v>0</v>
      </c>
    </row>
    <row r="1507" spans="1:18" x14ac:dyDescent="0.25">
      <c r="A1507" s="6">
        <v>1328</v>
      </c>
      <c r="B1507" s="7">
        <v>44392</v>
      </c>
      <c r="C1507" t="s">
        <v>40</v>
      </c>
      <c r="D1507" s="6">
        <v>2019</v>
      </c>
      <c r="E1507" s="8">
        <v>20353</v>
      </c>
      <c r="F1507" s="8">
        <v>22000</v>
      </c>
      <c r="G1507" s="8">
        <f t="shared" si="92"/>
        <v>1647</v>
      </c>
      <c r="H1507" s="6">
        <v>80000</v>
      </c>
      <c r="I1507" t="s">
        <v>34</v>
      </c>
      <c r="J1507" t="s">
        <v>72</v>
      </c>
      <c r="K1507" t="s">
        <v>36</v>
      </c>
      <c r="L1507" t="s">
        <v>73</v>
      </c>
      <c r="M1507" t="s">
        <v>98</v>
      </c>
      <c r="N1507" s="6">
        <v>0</v>
      </c>
      <c r="O1507" t="str">
        <f t="shared" si="93"/>
        <v>Normal</v>
      </c>
      <c r="P1507" t="str">
        <f t="shared" si="94"/>
        <v>Duplicate ID</v>
      </c>
      <c r="Q1507" t="str">
        <f t="shared" si="95"/>
        <v>20,000-24,999</v>
      </c>
      <c r="R1507" s="6">
        <f>IF(COUNTIF($A$2:A1507,A1507)=1,1,0)</f>
        <v>0</v>
      </c>
    </row>
    <row r="1508" spans="1:18" x14ac:dyDescent="0.25">
      <c r="A1508" s="6">
        <v>1251</v>
      </c>
      <c r="B1508" s="7">
        <v>44220</v>
      </c>
      <c r="C1508" t="s">
        <v>1648</v>
      </c>
      <c r="D1508" s="6">
        <v>2021</v>
      </c>
      <c r="E1508" s="8">
        <v>3665</v>
      </c>
      <c r="F1508" s="8">
        <v>7000</v>
      </c>
      <c r="G1508" s="8">
        <f t="shared" si="92"/>
        <v>3335</v>
      </c>
      <c r="H1508" s="6">
        <v>15000</v>
      </c>
      <c r="I1508" t="s">
        <v>69</v>
      </c>
      <c r="J1508" t="s">
        <v>72</v>
      </c>
      <c r="K1508" t="s">
        <v>36</v>
      </c>
      <c r="L1508" t="s">
        <v>1647</v>
      </c>
      <c r="M1508" t="s">
        <v>45</v>
      </c>
      <c r="N1508" s="6">
        <v>0</v>
      </c>
      <c r="O1508" t="str">
        <f t="shared" si="93"/>
        <v>Normal</v>
      </c>
      <c r="P1508" t="str">
        <f t="shared" si="94"/>
        <v>Duplicate ID</v>
      </c>
      <c r="Q1508" t="str">
        <f t="shared" si="95"/>
        <v>0-4,999</v>
      </c>
      <c r="R1508" s="6">
        <f>IF(COUNTIF($A$2:A1508,A1508)=1,1,0)</f>
        <v>0</v>
      </c>
    </row>
    <row r="1509" spans="1:18" x14ac:dyDescent="0.25">
      <c r="A1509" s="6">
        <v>1024</v>
      </c>
      <c r="B1509" s="7">
        <v>45302</v>
      </c>
      <c r="C1509" t="s">
        <v>119</v>
      </c>
      <c r="D1509" s="6"/>
      <c r="E1509" s="8">
        <v>10333</v>
      </c>
      <c r="F1509" s="8">
        <v>12000</v>
      </c>
      <c r="G1509" s="8">
        <f t="shared" si="92"/>
        <v>1667</v>
      </c>
      <c r="H1509" s="6">
        <v>25000</v>
      </c>
      <c r="I1509" t="s">
        <v>58</v>
      </c>
      <c r="J1509" t="s">
        <v>35</v>
      </c>
      <c r="K1509" t="s">
        <v>36</v>
      </c>
      <c r="L1509" t="s">
        <v>1647</v>
      </c>
      <c r="M1509" t="s">
        <v>45</v>
      </c>
      <c r="N1509" s="6" t="s">
        <v>1647</v>
      </c>
      <c r="O1509" t="str">
        <f t="shared" si="93"/>
        <v>Normal</v>
      </c>
      <c r="P1509" t="str">
        <f t="shared" si="94"/>
        <v>Duplicate ID</v>
      </c>
      <c r="Q1509" t="str">
        <f t="shared" si="95"/>
        <v>10,000-14,999</v>
      </c>
      <c r="R1509" s="6">
        <f>IF(COUNTIF($A$2:A1509,A1509)=1,1,0)</f>
        <v>0</v>
      </c>
    </row>
    <row r="1510" spans="1:18" x14ac:dyDescent="0.25">
      <c r="A1510" s="6">
        <v>1455</v>
      </c>
      <c r="B1510" s="7">
        <v>44240</v>
      </c>
      <c r="C1510" t="s">
        <v>79</v>
      </c>
      <c r="D1510" s="6">
        <v>2018</v>
      </c>
      <c r="E1510" s="8">
        <v>11320</v>
      </c>
      <c r="F1510" s="8">
        <v>18000</v>
      </c>
      <c r="G1510" s="8">
        <f t="shared" si="92"/>
        <v>6680</v>
      </c>
      <c r="H1510" s="6">
        <v>120000</v>
      </c>
      <c r="I1510" t="s">
        <v>58</v>
      </c>
      <c r="J1510" t="s">
        <v>1647</v>
      </c>
      <c r="K1510" t="s">
        <v>96</v>
      </c>
      <c r="L1510" t="s">
        <v>73</v>
      </c>
      <c r="M1510" t="s">
        <v>98</v>
      </c>
      <c r="N1510" s="6">
        <v>2</v>
      </c>
      <c r="O1510" t="str">
        <f t="shared" si="93"/>
        <v>Normal</v>
      </c>
      <c r="P1510" t="str">
        <f t="shared" si="94"/>
        <v>Duplicate ID</v>
      </c>
      <c r="Q1510" t="str">
        <f t="shared" si="95"/>
        <v>10,000-14,999</v>
      </c>
      <c r="R1510" s="6">
        <f>IF(COUNTIF($A$2:A1510,A1510)=1,1,0)</f>
        <v>0</v>
      </c>
    </row>
    <row r="1511" spans="1:18" x14ac:dyDescent="0.25">
      <c r="A1511" s="6">
        <v>1350</v>
      </c>
      <c r="B1511" s="7">
        <v>44681</v>
      </c>
      <c r="C1511" t="s">
        <v>1648</v>
      </c>
      <c r="D1511" s="6"/>
      <c r="E1511" s="8">
        <v>8083</v>
      </c>
      <c r="F1511" s="8">
        <v>15000</v>
      </c>
      <c r="G1511" s="8">
        <f t="shared" si="92"/>
        <v>6917</v>
      </c>
      <c r="H1511" s="6">
        <v>25000</v>
      </c>
      <c r="I1511" t="s">
        <v>58</v>
      </c>
      <c r="J1511" t="s">
        <v>1647</v>
      </c>
      <c r="K1511" t="s">
        <v>96</v>
      </c>
      <c r="L1511" t="s">
        <v>54</v>
      </c>
      <c r="M1511" t="s">
        <v>45</v>
      </c>
      <c r="N1511" s="6">
        <v>0</v>
      </c>
      <c r="O1511" t="str">
        <f t="shared" si="93"/>
        <v>Normal</v>
      </c>
      <c r="P1511" t="str">
        <f t="shared" si="94"/>
        <v>Duplicate ID</v>
      </c>
      <c r="Q1511" t="str">
        <f t="shared" si="95"/>
        <v>5,000-9,999</v>
      </c>
      <c r="R1511" s="6">
        <f>IF(COUNTIF($A$2:A1511,A1511)=1,1,0)</f>
        <v>0</v>
      </c>
    </row>
    <row r="1512" spans="1:18" x14ac:dyDescent="0.25">
      <c r="A1512" s="6">
        <v>1494</v>
      </c>
      <c r="B1512" s="7">
        <v>45340</v>
      </c>
      <c r="C1512" t="s">
        <v>40</v>
      </c>
      <c r="D1512" s="6">
        <v>2020</v>
      </c>
      <c r="E1512" s="8">
        <v>25859</v>
      </c>
      <c r="F1512" s="8">
        <v>31000</v>
      </c>
      <c r="G1512" s="8">
        <f t="shared" si="92"/>
        <v>5141</v>
      </c>
      <c r="H1512" s="6">
        <v>15000</v>
      </c>
      <c r="I1512" t="s">
        <v>41</v>
      </c>
      <c r="J1512" t="s">
        <v>1647</v>
      </c>
      <c r="K1512" t="s">
        <v>1647</v>
      </c>
      <c r="L1512" t="s">
        <v>73</v>
      </c>
      <c r="M1512" t="s">
        <v>1647</v>
      </c>
      <c r="N1512" s="6">
        <v>2</v>
      </c>
      <c r="O1512" t="str">
        <f t="shared" si="93"/>
        <v>Normal</v>
      </c>
      <c r="P1512" t="str">
        <f t="shared" si="94"/>
        <v>Duplicate ID</v>
      </c>
      <c r="Q1512" t="str">
        <f t="shared" si="95"/>
        <v>25,000-30,000</v>
      </c>
      <c r="R1512" s="6">
        <f>IF(COUNTIF($A$2:A1512,A1512)=1,1,0)</f>
        <v>0</v>
      </c>
    </row>
    <row r="1513" spans="1:18" x14ac:dyDescent="0.25">
      <c r="A1513" s="6">
        <v>1399</v>
      </c>
      <c r="B1513" s="7">
        <v>44494</v>
      </c>
      <c r="C1513" t="s">
        <v>119</v>
      </c>
      <c r="D1513" s="6">
        <v>2015</v>
      </c>
      <c r="E1513" s="8">
        <v>2424</v>
      </c>
      <c r="F1513" s="8">
        <v>9000</v>
      </c>
      <c r="G1513" s="8">
        <f t="shared" si="92"/>
        <v>6576</v>
      </c>
      <c r="H1513" s="6">
        <v>25000</v>
      </c>
      <c r="I1513" t="s">
        <v>69</v>
      </c>
      <c r="J1513" t="s">
        <v>1647</v>
      </c>
      <c r="K1513" t="s">
        <v>36</v>
      </c>
      <c r="L1513" t="s">
        <v>54</v>
      </c>
      <c r="M1513" t="s">
        <v>90</v>
      </c>
      <c r="N1513" s="6">
        <v>3</v>
      </c>
      <c r="O1513" t="str">
        <f t="shared" si="93"/>
        <v>Normal</v>
      </c>
      <c r="P1513" t="str">
        <f t="shared" si="94"/>
        <v>Duplicate ID</v>
      </c>
      <c r="Q1513" t="str">
        <f t="shared" si="95"/>
        <v>0-4,999</v>
      </c>
      <c r="R1513" s="6">
        <f>IF(COUNTIF($A$2:A1513,A1513)=1,1,0)</f>
        <v>0</v>
      </c>
    </row>
    <row r="1514" spans="1:18" x14ac:dyDescent="0.25">
      <c r="A1514" s="6">
        <v>1033</v>
      </c>
      <c r="B1514" s="7">
        <v>45022</v>
      </c>
      <c r="C1514" t="s">
        <v>119</v>
      </c>
      <c r="D1514" s="6">
        <v>2016</v>
      </c>
      <c r="E1514" s="8">
        <v>3134</v>
      </c>
      <c r="F1514" s="8">
        <v>9000</v>
      </c>
      <c r="G1514" s="8">
        <f t="shared" si="92"/>
        <v>5866</v>
      </c>
      <c r="H1514" s="6">
        <v>15000</v>
      </c>
      <c r="I1514" t="s">
        <v>58</v>
      </c>
      <c r="J1514" t="s">
        <v>35</v>
      </c>
      <c r="K1514" t="s">
        <v>36</v>
      </c>
      <c r="L1514" t="s">
        <v>54</v>
      </c>
      <c r="M1514" t="s">
        <v>90</v>
      </c>
      <c r="N1514" s="6" t="s">
        <v>1647</v>
      </c>
      <c r="O1514" t="str">
        <f t="shared" si="93"/>
        <v>Normal</v>
      </c>
      <c r="P1514" t="str">
        <f t="shared" si="94"/>
        <v>Duplicate ID</v>
      </c>
      <c r="Q1514" t="str">
        <f t="shared" si="95"/>
        <v>0-4,999</v>
      </c>
      <c r="R1514" s="6">
        <f>IF(COUNTIF($A$2:A1514,A1514)=1,1,0)</f>
        <v>0</v>
      </c>
    </row>
    <row r="1515" spans="1:18" x14ac:dyDescent="0.25">
      <c r="A1515" s="6">
        <v>1372</v>
      </c>
      <c r="B1515" s="7">
        <v>44755</v>
      </c>
      <c r="C1515" t="s">
        <v>1648</v>
      </c>
      <c r="D1515" s="6">
        <v>2018</v>
      </c>
      <c r="E1515" s="8">
        <v>2090</v>
      </c>
      <c r="F1515" s="8">
        <v>7000</v>
      </c>
      <c r="G1515" s="8">
        <f t="shared" si="92"/>
        <v>4910</v>
      </c>
      <c r="H1515" s="6">
        <v>60000</v>
      </c>
      <c r="I1515" t="s">
        <v>41</v>
      </c>
      <c r="J1515" t="s">
        <v>1647</v>
      </c>
      <c r="K1515" t="s">
        <v>36</v>
      </c>
      <c r="L1515" t="s">
        <v>100</v>
      </c>
      <c r="M1515" t="s">
        <v>126</v>
      </c>
      <c r="N1515" s="6">
        <v>3</v>
      </c>
      <c r="O1515" t="str">
        <f t="shared" si="93"/>
        <v>Normal</v>
      </c>
      <c r="P1515" t="str">
        <f t="shared" si="94"/>
        <v>Duplicate ID</v>
      </c>
      <c r="Q1515" t="str">
        <f t="shared" si="95"/>
        <v>0-4,999</v>
      </c>
      <c r="R1515" s="6">
        <f>IF(COUNTIF($A$2:A1515,A1515)=1,1,0)</f>
        <v>0</v>
      </c>
    </row>
    <row r="1516" spans="1:18" x14ac:dyDescent="0.25">
      <c r="A1516" s="6">
        <v>1347</v>
      </c>
      <c r="B1516" s="7">
        <v>45369</v>
      </c>
      <c r="C1516" t="s">
        <v>40</v>
      </c>
      <c r="D1516" s="6">
        <v>2018</v>
      </c>
      <c r="E1516" s="8">
        <v>24399</v>
      </c>
      <c r="F1516" s="8">
        <v>26000</v>
      </c>
      <c r="G1516" s="8">
        <f t="shared" si="92"/>
        <v>1601</v>
      </c>
      <c r="H1516" s="6">
        <v>120000</v>
      </c>
      <c r="I1516" t="s">
        <v>1647</v>
      </c>
      <c r="J1516" t="s">
        <v>72</v>
      </c>
      <c r="K1516" t="s">
        <v>96</v>
      </c>
      <c r="L1516" t="s">
        <v>100</v>
      </c>
      <c r="M1516" t="s">
        <v>98</v>
      </c>
      <c r="N1516" s="6">
        <v>1</v>
      </c>
      <c r="O1516" t="str">
        <f t="shared" si="93"/>
        <v>Normal</v>
      </c>
      <c r="P1516" t="str">
        <f t="shared" si="94"/>
        <v>Duplicate ID</v>
      </c>
      <c r="Q1516" t="str">
        <f t="shared" si="95"/>
        <v>20,000-24,999</v>
      </c>
      <c r="R1516" s="6">
        <f>IF(COUNTIF($A$2:A1516,A1516)=1,1,0)</f>
        <v>0</v>
      </c>
    </row>
    <row r="1517" spans="1:18" x14ac:dyDescent="0.25">
      <c r="A1517" s="6">
        <v>1013</v>
      </c>
      <c r="B1517" s="7">
        <v>44672</v>
      </c>
      <c r="C1517" t="s">
        <v>119</v>
      </c>
      <c r="D1517" s="6">
        <v>2019</v>
      </c>
      <c r="E1517" s="8">
        <v>22024</v>
      </c>
      <c r="F1517" s="8">
        <v>26000</v>
      </c>
      <c r="G1517" s="8">
        <f t="shared" si="92"/>
        <v>3976</v>
      </c>
      <c r="H1517" s="6">
        <v>15000</v>
      </c>
      <c r="I1517" t="s">
        <v>69</v>
      </c>
      <c r="J1517" t="s">
        <v>35</v>
      </c>
      <c r="K1517" t="s">
        <v>36</v>
      </c>
      <c r="L1517" t="s">
        <v>54</v>
      </c>
      <c r="M1517" t="s">
        <v>98</v>
      </c>
      <c r="N1517" s="6" t="s">
        <v>1647</v>
      </c>
      <c r="O1517" t="str">
        <f t="shared" si="93"/>
        <v>Normal</v>
      </c>
      <c r="P1517" t="str">
        <f t="shared" si="94"/>
        <v>Duplicate ID</v>
      </c>
      <c r="Q1517" t="str">
        <f t="shared" si="95"/>
        <v>20,000-24,999</v>
      </c>
      <c r="R1517" s="6">
        <f>IF(COUNTIF($A$2:A1517,A1517)=1,1,0)</f>
        <v>0</v>
      </c>
    </row>
    <row r="1518" spans="1:18" x14ac:dyDescent="0.25">
      <c r="A1518" s="6">
        <v>1049</v>
      </c>
      <c r="B1518" s="7">
        <v>45018</v>
      </c>
      <c r="C1518" t="s">
        <v>1648</v>
      </c>
      <c r="D1518" s="6">
        <v>2014</v>
      </c>
      <c r="E1518" s="8">
        <v>9766</v>
      </c>
      <c r="F1518" s="8">
        <v>15000</v>
      </c>
      <c r="G1518" s="8">
        <f t="shared" si="92"/>
        <v>5234</v>
      </c>
      <c r="H1518" s="6">
        <v>60000</v>
      </c>
      <c r="I1518" t="s">
        <v>41</v>
      </c>
      <c r="J1518" t="s">
        <v>72</v>
      </c>
      <c r="K1518" t="s">
        <v>96</v>
      </c>
      <c r="L1518" t="s">
        <v>100</v>
      </c>
      <c r="M1518" t="s">
        <v>98</v>
      </c>
      <c r="N1518" s="6">
        <v>0</v>
      </c>
      <c r="O1518" t="str">
        <f t="shared" si="93"/>
        <v>Normal</v>
      </c>
      <c r="P1518" t="str">
        <f t="shared" si="94"/>
        <v>Duplicate ID</v>
      </c>
      <c r="Q1518" t="str">
        <f t="shared" si="95"/>
        <v>5,000-9,999</v>
      </c>
      <c r="R1518" s="6">
        <f>IF(COUNTIF($A$2:A1518,A1518)=1,1,0)</f>
        <v>0</v>
      </c>
    </row>
    <row r="1519" spans="1:18" x14ac:dyDescent="0.25">
      <c r="A1519" s="6">
        <v>1439</v>
      </c>
      <c r="B1519" s="7">
        <v>44376</v>
      </c>
      <c r="C1519" t="s">
        <v>79</v>
      </c>
      <c r="D1519" s="6">
        <v>2014</v>
      </c>
      <c r="E1519" s="8">
        <v>6651</v>
      </c>
      <c r="F1519" s="8">
        <v>12000</v>
      </c>
      <c r="G1519" s="8">
        <f t="shared" si="92"/>
        <v>5349</v>
      </c>
      <c r="H1519" s="6">
        <v>120000</v>
      </c>
      <c r="I1519" t="s">
        <v>41</v>
      </c>
      <c r="J1519" t="s">
        <v>35</v>
      </c>
      <c r="K1519" t="s">
        <v>36</v>
      </c>
      <c r="L1519" t="s">
        <v>73</v>
      </c>
      <c r="M1519" t="s">
        <v>126</v>
      </c>
      <c r="N1519" s="6">
        <v>1</v>
      </c>
      <c r="O1519" t="str">
        <f t="shared" si="93"/>
        <v>Normal</v>
      </c>
      <c r="P1519" t="str">
        <f t="shared" si="94"/>
        <v>Duplicate ID</v>
      </c>
      <c r="Q1519" t="str">
        <f t="shared" si="95"/>
        <v>5,000-9,999</v>
      </c>
      <c r="R1519" s="6">
        <f>IF(COUNTIF($A$2:A1519,A1519)=1,1,0)</f>
        <v>0</v>
      </c>
    </row>
    <row r="1520" spans="1:18" x14ac:dyDescent="0.25">
      <c r="A1520" s="6">
        <v>1023</v>
      </c>
      <c r="B1520" s="7">
        <v>44474</v>
      </c>
      <c r="C1520" t="s">
        <v>40</v>
      </c>
      <c r="D1520" s="6">
        <v>2017</v>
      </c>
      <c r="E1520" s="8">
        <v>3012</v>
      </c>
      <c r="F1520" s="8">
        <v>7000</v>
      </c>
      <c r="G1520" s="8">
        <f t="shared" si="92"/>
        <v>3988</v>
      </c>
      <c r="H1520" s="6">
        <v>25000</v>
      </c>
      <c r="I1520" t="s">
        <v>1647</v>
      </c>
      <c r="J1520" t="s">
        <v>72</v>
      </c>
      <c r="K1520" t="s">
        <v>1647</v>
      </c>
      <c r="L1520" t="s">
        <v>48</v>
      </c>
      <c r="M1520" t="s">
        <v>45</v>
      </c>
      <c r="N1520" s="6">
        <v>1</v>
      </c>
      <c r="O1520" t="str">
        <f t="shared" si="93"/>
        <v>Normal</v>
      </c>
      <c r="P1520" t="str">
        <f t="shared" si="94"/>
        <v>Duplicate ID</v>
      </c>
      <c r="Q1520" t="str">
        <f t="shared" si="95"/>
        <v>0-4,999</v>
      </c>
      <c r="R1520" s="6">
        <f>IF(COUNTIF($A$2:A1520,A1520)=1,1,0)</f>
        <v>0</v>
      </c>
    </row>
    <row r="1521" spans="1:18" x14ac:dyDescent="0.25">
      <c r="A1521" s="6">
        <v>1546</v>
      </c>
      <c r="B1521" s="7">
        <v>44298</v>
      </c>
      <c r="C1521" t="s">
        <v>32</v>
      </c>
      <c r="D1521" s="6"/>
      <c r="E1521" s="8">
        <v>10659</v>
      </c>
      <c r="F1521" s="8">
        <v>12000</v>
      </c>
      <c r="G1521" s="8">
        <f t="shared" si="92"/>
        <v>1341</v>
      </c>
      <c r="H1521" s="6">
        <v>60000</v>
      </c>
      <c r="I1521" t="s">
        <v>69</v>
      </c>
      <c r="J1521" t="s">
        <v>72</v>
      </c>
      <c r="K1521" t="s">
        <v>96</v>
      </c>
      <c r="L1521" t="s">
        <v>54</v>
      </c>
      <c r="M1521" t="s">
        <v>45</v>
      </c>
      <c r="N1521" s="6">
        <v>2</v>
      </c>
      <c r="O1521" t="str">
        <f t="shared" si="93"/>
        <v>Normal</v>
      </c>
      <c r="P1521" t="str">
        <f t="shared" si="94"/>
        <v>Duplicate ID</v>
      </c>
      <c r="Q1521" t="str">
        <f t="shared" si="95"/>
        <v>10,000-14,999</v>
      </c>
      <c r="R1521" s="6">
        <f>IF(COUNTIF($A$2:A1521,A1521)=1,1,0)</f>
        <v>0</v>
      </c>
    </row>
    <row r="1522" spans="1:18" x14ac:dyDescent="0.25">
      <c r="A1522" s="6">
        <v>1292</v>
      </c>
      <c r="B1522" s="7">
        <v>44773</v>
      </c>
      <c r="C1522" t="s">
        <v>32</v>
      </c>
      <c r="D1522" s="6">
        <v>2014</v>
      </c>
      <c r="E1522" s="8">
        <v>16439</v>
      </c>
      <c r="F1522" s="8">
        <v>22000</v>
      </c>
      <c r="G1522" s="8">
        <f t="shared" si="92"/>
        <v>5561</v>
      </c>
      <c r="H1522" s="6">
        <v>40000</v>
      </c>
      <c r="I1522" t="s">
        <v>41</v>
      </c>
      <c r="J1522" t="s">
        <v>1647</v>
      </c>
      <c r="K1522" t="s">
        <v>36</v>
      </c>
      <c r="L1522" t="s">
        <v>1647</v>
      </c>
      <c r="M1522" t="s">
        <v>98</v>
      </c>
      <c r="N1522" s="6">
        <v>2</v>
      </c>
      <c r="O1522" t="str">
        <f t="shared" si="93"/>
        <v>Normal</v>
      </c>
      <c r="P1522" t="str">
        <f t="shared" si="94"/>
        <v>Duplicate ID</v>
      </c>
      <c r="Q1522" t="str">
        <f t="shared" si="95"/>
        <v>15,000-19,999</v>
      </c>
      <c r="R1522" s="6">
        <f>IF(COUNTIF($A$2:A1522,A1522)=1,1,0)</f>
        <v>1</v>
      </c>
    </row>
    <row r="1523" spans="1:18" x14ac:dyDescent="0.25">
      <c r="A1523" s="6">
        <v>1407</v>
      </c>
      <c r="B1523" s="7">
        <v>44873</v>
      </c>
      <c r="C1523" t="s">
        <v>79</v>
      </c>
      <c r="D1523" s="6">
        <v>2022</v>
      </c>
      <c r="E1523" s="8">
        <v>11682</v>
      </c>
      <c r="F1523" s="8">
        <v>15000</v>
      </c>
      <c r="G1523" s="8">
        <f t="shared" si="92"/>
        <v>3318</v>
      </c>
      <c r="H1523" s="6">
        <v>40000</v>
      </c>
      <c r="I1523" t="s">
        <v>69</v>
      </c>
      <c r="J1523" t="s">
        <v>35</v>
      </c>
      <c r="K1523" t="s">
        <v>36</v>
      </c>
      <c r="L1523" t="s">
        <v>48</v>
      </c>
      <c r="M1523" t="s">
        <v>98</v>
      </c>
      <c r="N1523" s="6">
        <v>0</v>
      </c>
      <c r="O1523" t="str">
        <f t="shared" si="93"/>
        <v>Normal</v>
      </c>
      <c r="P1523" t="str">
        <f t="shared" si="94"/>
        <v>Duplicate ID</v>
      </c>
      <c r="Q1523" t="str">
        <f t="shared" si="95"/>
        <v>10,000-14,999</v>
      </c>
      <c r="R1523" s="6">
        <f>IF(COUNTIF($A$2:A1523,A1523)=1,1,0)</f>
        <v>0</v>
      </c>
    </row>
    <row r="1524" spans="1:18" x14ac:dyDescent="0.25">
      <c r="A1524" s="6">
        <v>1105</v>
      </c>
      <c r="B1524" s="7">
        <v>45033</v>
      </c>
      <c r="C1524" t="s">
        <v>51</v>
      </c>
      <c r="D1524" s="6">
        <v>2020</v>
      </c>
      <c r="E1524" s="8">
        <v>23078</v>
      </c>
      <c r="F1524" s="8">
        <v>26000</v>
      </c>
      <c r="G1524" s="8">
        <f t="shared" si="92"/>
        <v>2922</v>
      </c>
      <c r="H1524" s="6">
        <v>15000</v>
      </c>
      <c r="I1524" t="s">
        <v>34</v>
      </c>
      <c r="J1524" t="s">
        <v>35</v>
      </c>
      <c r="K1524" t="s">
        <v>96</v>
      </c>
      <c r="L1524" t="s">
        <v>73</v>
      </c>
      <c r="M1524" t="s">
        <v>45</v>
      </c>
      <c r="N1524" s="6">
        <v>3</v>
      </c>
      <c r="O1524" t="str">
        <f t="shared" si="93"/>
        <v>Normal</v>
      </c>
      <c r="P1524" t="str">
        <f t="shared" si="94"/>
        <v>Duplicate ID</v>
      </c>
      <c r="Q1524" t="str">
        <f t="shared" si="95"/>
        <v>20,000-24,999</v>
      </c>
      <c r="R1524" s="6">
        <f>IF(COUNTIF($A$2:A1524,A1524)=1,1,0)</f>
        <v>0</v>
      </c>
    </row>
    <row r="1525" spans="1:18" x14ac:dyDescent="0.25">
      <c r="A1525" s="6">
        <v>1361</v>
      </c>
      <c r="B1525" s="7">
        <v>44599</v>
      </c>
      <c r="C1525" t="s">
        <v>32</v>
      </c>
      <c r="D1525" s="6">
        <v>2020</v>
      </c>
      <c r="E1525" s="8">
        <v>23927</v>
      </c>
      <c r="F1525" s="8">
        <v>26000</v>
      </c>
      <c r="G1525" s="8">
        <f t="shared" si="92"/>
        <v>2073</v>
      </c>
      <c r="H1525" s="6">
        <v>15000</v>
      </c>
      <c r="I1525" t="s">
        <v>41</v>
      </c>
      <c r="J1525" t="s">
        <v>35</v>
      </c>
      <c r="K1525" t="s">
        <v>96</v>
      </c>
      <c r="L1525" t="s">
        <v>100</v>
      </c>
      <c r="M1525" t="s">
        <v>126</v>
      </c>
      <c r="N1525" s="6">
        <v>0</v>
      </c>
      <c r="O1525" t="str">
        <f t="shared" si="93"/>
        <v>Normal</v>
      </c>
      <c r="P1525" t="str">
        <f t="shared" si="94"/>
        <v>Duplicate ID</v>
      </c>
      <c r="Q1525" t="str">
        <f t="shared" si="95"/>
        <v>20,000-24,999</v>
      </c>
      <c r="R1525" s="6">
        <f>IF(COUNTIF($A$2:A1525,A1525)=1,1,0)</f>
        <v>0</v>
      </c>
    </row>
    <row r="1526" spans="1:18" x14ac:dyDescent="0.25">
      <c r="A1526" s="6">
        <v>1323</v>
      </c>
      <c r="B1526" s="7">
        <v>44389</v>
      </c>
      <c r="C1526" t="s">
        <v>1648</v>
      </c>
      <c r="D1526" s="6">
        <v>2017</v>
      </c>
      <c r="E1526" s="8">
        <v>3929</v>
      </c>
      <c r="F1526" s="8">
        <v>9000</v>
      </c>
      <c r="G1526" s="8">
        <f t="shared" si="92"/>
        <v>5071</v>
      </c>
      <c r="H1526" s="6">
        <v>60000</v>
      </c>
      <c r="I1526" t="s">
        <v>41</v>
      </c>
      <c r="J1526" t="s">
        <v>72</v>
      </c>
      <c r="K1526" t="s">
        <v>36</v>
      </c>
      <c r="L1526" t="s">
        <v>100</v>
      </c>
      <c r="M1526" t="s">
        <v>45</v>
      </c>
      <c r="N1526" s="6">
        <v>2</v>
      </c>
      <c r="O1526" t="str">
        <f t="shared" si="93"/>
        <v>Normal</v>
      </c>
      <c r="P1526" t="str">
        <f t="shared" si="94"/>
        <v>Duplicate ID</v>
      </c>
      <c r="Q1526" t="str">
        <f t="shared" si="95"/>
        <v>0-4,999</v>
      </c>
      <c r="R1526" s="6">
        <f>IF(COUNTIF($A$2:A1526,A1526)=1,1,0)</f>
        <v>0</v>
      </c>
    </row>
    <row r="1527" spans="1:18" x14ac:dyDescent="0.25">
      <c r="A1527" s="6">
        <v>1452</v>
      </c>
      <c r="B1527" s="7">
        <v>44826</v>
      </c>
      <c r="C1527" t="s">
        <v>40</v>
      </c>
      <c r="D1527" s="6">
        <v>2017</v>
      </c>
      <c r="E1527" s="8">
        <v>11327</v>
      </c>
      <c r="F1527" s="8">
        <v>15000</v>
      </c>
      <c r="G1527" s="8">
        <f t="shared" si="92"/>
        <v>3673</v>
      </c>
      <c r="H1527" s="6">
        <v>80000</v>
      </c>
      <c r="I1527" t="s">
        <v>69</v>
      </c>
      <c r="J1527" t="s">
        <v>72</v>
      </c>
      <c r="K1527" t="s">
        <v>36</v>
      </c>
      <c r="L1527" t="s">
        <v>73</v>
      </c>
      <c r="M1527" t="s">
        <v>45</v>
      </c>
      <c r="N1527" s="6">
        <v>3</v>
      </c>
      <c r="O1527" t="str">
        <f t="shared" si="93"/>
        <v>Normal</v>
      </c>
      <c r="P1527" t="str">
        <f t="shared" si="94"/>
        <v>Duplicate ID</v>
      </c>
      <c r="Q1527" t="str">
        <f t="shared" si="95"/>
        <v>10,000-14,999</v>
      </c>
      <c r="R1527" s="6">
        <f>IF(COUNTIF($A$2:A1527,A1527)=1,1,0)</f>
        <v>0</v>
      </c>
    </row>
    <row r="1528" spans="1:18" x14ac:dyDescent="0.25">
      <c r="A1528" s="6">
        <v>1537</v>
      </c>
      <c r="B1528" s="7">
        <v>44360</v>
      </c>
      <c r="C1528" t="s">
        <v>40</v>
      </c>
      <c r="D1528" s="6">
        <v>2019</v>
      </c>
      <c r="E1528" s="8">
        <v>25309</v>
      </c>
      <c r="F1528" s="8">
        <v>31000</v>
      </c>
      <c r="G1528" s="8">
        <f t="shared" si="92"/>
        <v>5691</v>
      </c>
      <c r="H1528" s="6">
        <v>15000</v>
      </c>
      <c r="I1528" t="s">
        <v>69</v>
      </c>
      <c r="J1528" t="s">
        <v>72</v>
      </c>
      <c r="K1528" t="s">
        <v>1647</v>
      </c>
      <c r="L1528" t="s">
        <v>100</v>
      </c>
      <c r="M1528" t="s">
        <v>98</v>
      </c>
      <c r="N1528" s="6">
        <v>2</v>
      </c>
      <c r="O1528" t="str">
        <f t="shared" si="93"/>
        <v>Normal</v>
      </c>
      <c r="P1528" t="str">
        <f t="shared" si="94"/>
        <v>Duplicate ID</v>
      </c>
      <c r="Q1528" t="str">
        <f t="shared" si="95"/>
        <v>25,000-30,000</v>
      </c>
      <c r="R1528" s="6">
        <f>IF(COUNTIF($A$2:A1528,A1528)=1,1,0)</f>
        <v>0</v>
      </c>
    </row>
    <row r="1529" spans="1:18" x14ac:dyDescent="0.25">
      <c r="A1529" s="6">
        <v>1270</v>
      </c>
      <c r="B1529" s="7">
        <v>45210</v>
      </c>
      <c r="C1529" t="s">
        <v>79</v>
      </c>
      <c r="D1529" s="6">
        <v>2015</v>
      </c>
      <c r="E1529" s="8">
        <v>11360</v>
      </c>
      <c r="F1529" s="8">
        <v>15000</v>
      </c>
      <c r="G1529" s="8">
        <f t="shared" si="92"/>
        <v>3640</v>
      </c>
      <c r="H1529" s="6">
        <v>25000</v>
      </c>
      <c r="I1529" t="s">
        <v>41</v>
      </c>
      <c r="J1529" t="s">
        <v>72</v>
      </c>
      <c r="K1529" t="s">
        <v>96</v>
      </c>
      <c r="L1529" t="s">
        <v>73</v>
      </c>
      <c r="M1529" t="s">
        <v>90</v>
      </c>
      <c r="N1529" s="6">
        <v>1</v>
      </c>
      <c r="O1529" t="str">
        <f t="shared" si="93"/>
        <v>Normal</v>
      </c>
      <c r="P1529" t="str">
        <f t="shared" si="94"/>
        <v>Duplicate ID</v>
      </c>
      <c r="Q1529" t="str">
        <f t="shared" si="95"/>
        <v>10,000-14,999</v>
      </c>
      <c r="R1529" s="6">
        <f>IF(COUNTIF($A$2:A1529,A1529)=1,1,0)</f>
        <v>0</v>
      </c>
    </row>
    <row r="1530" spans="1:18" x14ac:dyDescent="0.25">
      <c r="A1530" s="6">
        <v>1006</v>
      </c>
      <c r="B1530" s="7">
        <v>44697</v>
      </c>
      <c r="C1530" t="s">
        <v>1648</v>
      </c>
      <c r="D1530" s="6">
        <v>2021</v>
      </c>
      <c r="E1530" s="8">
        <v>5827</v>
      </c>
      <c r="F1530" s="8">
        <v>9000</v>
      </c>
      <c r="G1530" s="8">
        <f t="shared" si="92"/>
        <v>3173</v>
      </c>
      <c r="H1530" s="6">
        <v>80000</v>
      </c>
      <c r="I1530" t="s">
        <v>41</v>
      </c>
      <c r="J1530" t="s">
        <v>1647</v>
      </c>
      <c r="K1530" t="s">
        <v>96</v>
      </c>
      <c r="L1530" t="s">
        <v>48</v>
      </c>
      <c r="M1530" t="s">
        <v>98</v>
      </c>
      <c r="N1530" s="6">
        <v>1</v>
      </c>
      <c r="O1530" t="str">
        <f t="shared" si="93"/>
        <v>Normal</v>
      </c>
      <c r="P1530" t="str">
        <f t="shared" si="94"/>
        <v>Duplicate ID</v>
      </c>
      <c r="Q1530" t="str">
        <f t="shared" si="95"/>
        <v>5,000-9,999</v>
      </c>
      <c r="R1530" s="6">
        <f>IF(COUNTIF($A$2:A1530,A1530)=1,1,0)</f>
        <v>0</v>
      </c>
    </row>
    <row r="1531" spans="1:18" x14ac:dyDescent="0.25">
      <c r="A1531" s="6">
        <v>1217</v>
      </c>
      <c r="B1531" s="7">
        <v>45178</v>
      </c>
      <c r="C1531" t="s">
        <v>57</v>
      </c>
      <c r="D1531" s="6">
        <v>2017</v>
      </c>
      <c r="E1531" s="8">
        <v>5213</v>
      </c>
      <c r="F1531" s="8">
        <v>12000</v>
      </c>
      <c r="G1531" s="8">
        <f t="shared" si="92"/>
        <v>6787</v>
      </c>
      <c r="H1531" s="6">
        <v>120000</v>
      </c>
      <c r="I1531" t="s">
        <v>34</v>
      </c>
      <c r="J1531" t="s">
        <v>72</v>
      </c>
      <c r="K1531" t="s">
        <v>96</v>
      </c>
      <c r="L1531" t="s">
        <v>73</v>
      </c>
      <c r="M1531" t="s">
        <v>90</v>
      </c>
      <c r="N1531" s="6" t="s">
        <v>1647</v>
      </c>
      <c r="O1531" t="str">
        <f t="shared" si="93"/>
        <v>Normal</v>
      </c>
      <c r="P1531" t="str">
        <f t="shared" si="94"/>
        <v>Duplicate ID</v>
      </c>
      <c r="Q1531" t="str">
        <f t="shared" si="95"/>
        <v>5,000-9,999</v>
      </c>
      <c r="R1531" s="6">
        <f>IF(COUNTIF($A$2:A1531,A1531)=1,1,0)</f>
        <v>0</v>
      </c>
    </row>
    <row r="1532" spans="1:18" x14ac:dyDescent="0.25">
      <c r="A1532" s="6">
        <v>1385</v>
      </c>
      <c r="B1532" s="7">
        <v>45139</v>
      </c>
      <c r="C1532" t="s">
        <v>32</v>
      </c>
      <c r="D1532" s="6">
        <v>2019</v>
      </c>
      <c r="E1532" s="8">
        <v>10766</v>
      </c>
      <c r="F1532" s="8">
        <v>15000</v>
      </c>
      <c r="G1532" s="8">
        <f t="shared" si="92"/>
        <v>4234</v>
      </c>
      <c r="H1532" s="6">
        <v>25000</v>
      </c>
      <c r="I1532" t="s">
        <v>58</v>
      </c>
      <c r="J1532" t="s">
        <v>72</v>
      </c>
      <c r="K1532" t="s">
        <v>96</v>
      </c>
      <c r="L1532" t="s">
        <v>100</v>
      </c>
      <c r="M1532" t="s">
        <v>90</v>
      </c>
      <c r="N1532" s="6">
        <v>1</v>
      </c>
      <c r="O1532" t="str">
        <f t="shared" si="93"/>
        <v>Normal</v>
      </c>
      <c r="P1532" t="str">
        <f t="shared" si="94"/>
        <v>Duplicate ID</v>
      </c>
      <c r="Q1532" t="str">
        <f t="shared" si="95"/>
        <v>10,000-14,999</v>
      </c>
      <c r="R1532" s="6">
        <f>IF(COUNTIF($A$2:A1532,A1532)=1,1,0)</f>
        <v>0</v>
      </c>
    </row>
    <row r="1533" spans="1:18" x14ac:dyDescent="0.25">
      <c r="A1533" s="6">
        <v>1186</v>
      </c>
      <c r="B1533" s="7">
        <v>44685</v>
      </c>
      <c r="C1533" t="s">
        <v>51</v>
      </c>
      <c r="D1533" s="6">
        <v>2018</v>
      </c>
      <c r="E1533" s="8">
        <v>9881</v>
      </c>
      <c r="F1533" s="8">
        <v>12000</v>
      </c>
      <c r="G1533" s="8">
        <f t="shared" si="92"/>
        <v>2119</v>
      </c>
      <c r="H1533" s="6">
        <v>15000</v>
      </c>
      <c r="I1533" t="s">
        <v>41</v>
      </c>
      <c r="J1533" t="s">
        <v>35</v>
      </c>
      <c r="K1533" t="s">
        <v>96</v>
      </c>
      <c r="L1533" t="s">
        <v>100</v>
      </c>
      <c r="M1533" t="s">
        <v>90</v>
      </c>
      <c r="N1533" s="6">
        <v>1</v>
      </c>
      <c r="O1533" t="str">
        <f t="shared" si="93"/>
        <v>Normal</v>
      </c>
      <c r="P1533" t="str">
        <f t="shared" si="94"/>
        <v>Duplicate ID</v>
      </c>
      <c r="Q1533" t="str">
        <f t="shared" si="95"/>
        <v>5,000-9,999</v>
      </c>
      <c r="R1533" s="6">
        <f>IF(COUNTIF($A$2:A1533,A1533)=1,1,0)</f>
        <v>0</v>
      </c>
    </row>
    <row r="1534" spans="1:18" x14ac:dyDescent="0.25">
      <c r="A1534" s="6">
        <v>1072</v>
      </c>
      <c r="B1534" s="7">
        <v>45210</v>
      </c>
      <c r="C1534" t="s">
        <v>119</v>
      </c>
      <c r="D1534" s="6">
        <v>2018</v>
      </c>
      <c r="E1534" s="8">
        <v>8568</v>
      </c>
      <c r="F1534" s="8">
        <v>12000</v>
      </c>
      <c r="G1534" s="8">
        <f t="shared" si="92"/>
        <v>3432</v>
      </c>
      <c r="H1534" s="6">
        <v>25000</v>
      </c>
      <c r="I1534" t="s">
        <v>41</v>
      </c>
      <c r="J1534" t="s">
        <v>72</v>
      </c>
      <c r="K1534" t="s">
        <v>96</v>
      </c>
      <c r="L1534" t="s">
        <v>54</v>
      </c>
      <c r="M1534" t="s">
        <v>126</v>
      </c>
      <c r="N1534" s="6">
        <v>2</v>
      </c>
      <c r="O1534" t="str">
        <f t="shared" si="93"/>
        <v>Normal</v>
      </c>
      <c r="P1534" t="str">
        <f t="shared" si="94"/>
        <v>Duplicate ID</v>
      </c>
      <c r="Q1534" t="str">
        <f t="shared" si="95"/>
        <v>5,000-9,999</v>
      </c>
      <c r="R1534" s="6">
        <f>IF(COUNTIF($A$2:A1534,A1534)=1,1,0)</f>
        <v>0</v>
      </c>
    </row>
    <row r="1535" spans="1:18" x14ac:dyDescent="0.25">
      <c r="A1535" s="6">
        <v>1331</v>
      </c>
      <c r="B1535" s="7">
        <v>45103</v>
      </c>
      <c r="C1535" t="s">
        <v>119</v>
      </c>
      <c r="D1535" s="6">
        <v>2019</v>
      </c>
      <c r="E1535" s="8">
        <v>10529</v>
      </c>
      <c r="F1535" s="8">
        <v>12000</v>
      </c>
      <c r="G1535" s="8">
        <f t="shared" si="92"/>
        <v>1471</v>
      </c>
      <c r="H1535" s="6">
        <v>60000</v>
      </c>
      <c r="I1535" t="s">
        <v>58</v>
      </c>
      <c r="J1535" t="s">
        <v>1647</v>
      </c>
      <c r="K1535" t="s">
        <v>36</v>
      </c>
      <c r="L1535" t="s">
        <v>73</v>
      </c>
      <c r="M1535" t="s">
        <v>126</v>
      </c>
      <c r="N1535" s="6">
        <v>0</v>
      </c>
      <c r="O1535" t="str">
        <f t="shared" si="93"/>
        <v>Normal</v>
      </c>
      <c r="P1535" t="str">
        <f t="shared" si="94"/>
        <v>Duplicate ID</v>
      </c>
      <c r="Q1535" t="str">
        <f t="shared" si="95"/>
        <v>10,000-14,999</v>
      </c>
      <c r="R1535" s="6">
        <f>IF(COUNTIF($A$2:A1535,A1535)=1,1,0)</f>
        <v>0</v>
      </c>
    </row>
    <row r="1536" spans="1:18" x14ac:dyDescent="0.25">
      <c r="A1536" s="6">
        <v>1188</v>
      </c>
      <c r="B1536" s="7">
        <v>44513</v>
      </c>
      <c r="C1536" t="s">
        <v>79</v>
      </c>
      <c r="D1536" s="6">
        <v>2018</v>
      </c>
      <c r="E1536" s="8">
        <v>8484</v>
      </c>
      <c r="F1536" s="8">
        <v>15000</v>
      </c>
      <c r="G1536" s="8">
        <f t="shared" si="92"/>
        <v>6516</v>
      </c>
      <c r="H1536" s="6">
        <v>25000</v>
      </c>
      <c r="I1536" t="s">
        <v>58</v>
      </c>
      <c r="J1536" t="s">
        <v>35</v>
      </c>
      <c r="K1536" t="s">
        <v>96</v>
      </c>
      <c r="L1536" t="s">
        <v>48</v>
      </c>
      <c r="M1536" t="s">
        <v>98</v>
      </c>
      <c r="N1536" s="6">
        <v>3</v>
      </c>
      <c r="O1536" t="str">
        <f t="shared" si="93"/>
        <v>Normal</v>
      </c>
      <c r="P1536" t="str">
        <f t="shared" si="94"/>
        <v>Duplicate ID</v>
      </c>
      <c r="Q1536" t="str">
        <f t="shared" si="95"/>
        <v>5,000-9,999</v>
      </c>
      <c r="R1536" s="6">
        <f>IF(COUNTIF($A$2:A1536,A1536)=1,1,0)</f>
        <v>0</v>
      </c>
    </row>
    <row r="1537" spans="1:18" x14ac:dyDescent="0.25">
      <c r="A1537" s="6">
        <v>1034</v>
      </c>
      <c r="B1537" s="7">
        <v>45233</v>
      </c>
      <c r="C1537" t="s">
        <v>57</v>
      </c>
      <c r="D1537" s="6">
        <v>2017</v>
      </c>
      <c r="E1537" s="8">
        <v>2053</v>
      </c>
      <c r="F1537" s="8">
        <v>9000</v>
      </c>
      <c r="G1537" s="8">
        <f t="shared" si="92"/>
        <v>6947</v>
      </c>
      <c r="H1537" s="6">
        <v>60000</v>
      </c>
      <c r="I1537" t="s">
        <v>1647</v>
      </c>
      <c r="J1537" t="s">
        <v>35</v>
      </c>
      <c r="K1537" t="s">
        <v>96</v>
      </c>
      <c r="L1537" t="s">
        <v>73</v>
      </c>
      <c r="M1537" t="s">
        <v>90</v>
      </c>
      <c r="N1537" s="6" t="s">
        <v>1647</v>
      </c>
      <c r="O1537" t="str">
        <f t="shared" si="93"/>
        <v>Normal</v>
      </c>
      <c r="P1537" t="str">
        <f t="shared" si="94"/>
        <v>Duplicate ID</v>
      </c>
      <c r="Q1537" t="str">
        <f t="shared" si="95"/>
        <v>0-4,999</v>
      </c>
      <c r="R1537" s="6">
        <f>IF(COUNTIF($A$2:A1537,A1537)=1,1,0)</f>
        <v>0</v>
      </c>
    </row>
    <row r="1538" spans="1:18" x14ac:dyDescent="0.25">
      <c r="A1538" s="6">
        <v>1320</v>
      </c>
      <c r="B1538" s="7">
        <v>44883</v>
      </c>
      <c r="C1538" t="s">
        <v>79</v>
      </c>
      <c r="D1538" s="6">
        <v>2014</v>
      </c>
      <c r="E1538" s="8">
        <v>13717</v>
      </c>
      <c r="F1538" s="8">
        <v>15000</v>
      </c>
      <c r="G1538" s="8">
        <f t="shared" ref="G1538:G1601" si="96">IF(OR(F1538="",E1538=""),"",F1538-E1538)</f>
        <v>1283</v>
      </c>
      <c r="H1538" s="6">
        <v>60000</v>
      </c>
      <c r="I1538" t="s">
        <v>69</v>
      </c>
      <c r="J1538" t="s">
        <v>35</v>
      </c>
      <c r="K1538" t="s">
        <v>36</v>
      </c>
      <c r="L1538" t="s">
        <v>48</v>
      </c>
      <c r="M1538" t="s">
        <v>45</v>
      </c>
      <c r="N1538" s="6">
        <v>0</v>
      </c>
      <c r="O1538" t="str">
        <f t="shared" ref="O1538:O1601" si="97">IF(E1538&lt;1000,"Outlier","Normal")</f>
        <v>Normal</v>
      </c>
      <c r="P1538" t="str">
        <f t="shared" ref="P1538:P1601" si="98">IF(COUNTIF($A$2:$A$2501,A1538)&gt;1,"Duplicate ID","Unique ID")</f>
        <v>Duplicate ID</v>
      </c>
      <c r="Q1538" t="str">
        <f t="shared" ref="Q1538:Q1601" si="99">IF(E1538&lt;5000,"0-4,999",IF(E1538&lt;10000,"5,000-9,999",IF(E1538&lt;15000,"10,000-14,999",IF(E1538&lt;20000,"15,000-19,999",IF(E1538&lt;25000,"20,000-24,999","25,000-30,000")))))</f>
        <v>10,000-14,999</v>
      </c>
      <c r="R1538" s="6">
        <f>IF(COUNTIF($A$2:A1538,A1538)=1,1,0)</f>
        <v>0</v>
      </c>
    </row>
    <row r="1539" spans="1:18" x14ac:dyDescent="0.25">
      <c r="A1539" s="6">
        <v>1484</v>
      </c>
      <c r="B1539" s="7">
        <v>45086</v>
      </c>
      <c r="C1539" t="s">
        <v>32</v>
      </c>
      <c r="D1539" s="6">
        <v>2021</v>
      </c>
      <c r="E1539" s="8">
        <v>11468</v>
      </c>
      <c r="F1539" s="8">
        <v>18000</v>
      </c>
      <c r="G1539" s="8">
        <f t="shared" si="96"/>
        <v>6532</v>
      </c>
      <c r="H1539" s="6">
        <v>15000</v>
      </c>
      <c r="I1539" t="s">
        <v>1647</v>
      </c>
      <c r="J1539" t="s">
        <v>72</v>
      </c>
      <c r="K1539" t="s">
        <v>36</v>
      </c>
      <c r="L1539" t="s">
        <v>54</v>
      </c>
      <c r="M1539" t="s">
        <v>126</v>
      </c>
      <c r="N1539" s="6">
        <v>3</v>
      </c>
      <c r="O1539" t="str">
        <f t="shared" si="97"/>
        <v>Normal</v>
      </c>
      <c r="P1539" t="str">
        <f t="shared" si="98"/>
        <v>Duplicate ID</v>
      </c>
      <c r="Q1539" t="str">
        <f t="shared" si="99"/>
        <v>10,000-14,999</v>
      </c>
      <c r="R1539" s="6">
        <f>IF(COUNTIF($A$2:A1539,A1539)=1,1,0)</f>
        <v>0</v>
      </c>
    </row>
    <row r="1540" spans="1:18" x14ac:dyDescent="0.25">
      <c r="A1540" s="6">
        <v>1195</v>
      </c>
      <c r="B1540" s="7">
        <v>45026</v>
      </c>
      <c r="C1540" t="s">
        <v>57</v>
      </c>
      <c r="D1540" s="6">
        <v>2014</v>
      </c>
      <c r="E1540" s="8">
        <v>212</v>
      </c>
      <c r="F1540" s="8">
        <v>7000</v>
      </c>
      <c r="G1540" s="8">
        <f t="shared" si="96"/>
        <v>6788</v>
      </c>
      <c r="H1540" s="6">
        <v>25000</v>
      </c>
      <c r="I1540" t="s">
        <v>34</v>
      </c>
      <c r="J1540" t="s">
        <v>72</v>
      </c>
      <c r="K1540" t="s">
        <v>96</v>
      </c>
      <c r="L1540" t="s">
        <v>73</v>
      </c>
      <c r="M1540" t="s">
        <v>45</v>
      </c>
      <c r="N1540" s="6" t="s">
        <v>1647</v>
      </c>
      <c r="O1540" t="str">
        <f t="shared" si="97"/>
        <v>Outlier</v>
      </c>
      <c r="P1540" t="str">
        <f t="shared" si="98"/>
        <v>Duplicate ID</v>
      </c>
      <c r="Q1540" t="str">
        <f t="shared" si="99"/>
        <v>0-4,999</v>
      </c>
      <c r="R1540" s="6">
        <f>IF(COUNTIF($A$2:A1540,A1540)=1,1,0)</f>
        <v>0</v>
      </c>
    </row>
    <row r="1541" spans="1:18" x14ac:dyDescent="0.25">
      <c r="A1541" s="6">
        <v>1213</v>
      </c>
      <c r="B1541" s="7">
        <v>45397</v>
      </c>
      <c r="C1541" t="s">
        <v>1648</v>
      </c>
      <c r="D1541" s="6">
        <v>2018</v>
      </c>
      <c r="E1541" s="8">
        <v>17022</v>
      </c>
      <c r="F1541" s="8">
        <v>22000</v>
      </c>
      <c r="G1541" s="8">
        <f t="shared" si="96"/>
        <v>4978</v>
      </c>
      <c r="H1541" s="6">
        <v>80000</v>
      </c>
      <c r="I1541" t="s">
        <v>1647</v>
      </c>
      <c r="J1541" t="s">
        <v>1647</v>
      </c>
      <c r="K1541" t="s">
        <v>1647</v>
      </c>
      <c r="L1541" t="s">
        <v>54</v>
      </c>
      <c r="M1541" t="s">
        <v>126</v>
      </c>
      <c r="N1541" s="6">
        <v>2</v>
      </c>
      <c r="O1541" t="str">
        <f t="shared" si="97"/>
        <v>Normal</v>
      </c>
      <c r="P1541" t="str">
        <f t="shared" si="98"/>
        <v>Duplicate ID</v>
      </c>
      <c r="Q1541" t="str">
        <f t="shared" si="99"/>
        <v>15,000-19,999</v>
      </c>
      <c r="R1541" s="6">
        <f>IF(COUNTIF($A$2:A1541,A1541)=1,1,0)</f>
        <v>0</v>
      </c>
    </row>
    <row r="1542" spans="1:18" x14ac:dyDescent="0.25">
      <c r="A1542" s="6">
        <v>1212</v>
      </c>
      <c r="B1542" s="7">
        <v>44774</v>
      </c>
      <c r="C1542" t="s">
        <v>1648</v>
      </c>
      <c r="D1542" s="6">
        <v>2014</v>
      </c>
      <c r="E1542" s="8">
        <v>20884</v>
      </c>
      <c r="F1542" s="8">
        <v>22000</v>
      </c>
      <c r="G1542" s="8">
        <f t="shared" si="96"/>
        <v>1116</v>
      </c>
      <c r="H1542" s="6">
        <v>40000</v>
      </c>
      <c r="I1542" t="s">
        <v>69</v>
      </c>
      <c r="J1542" t="s">
        <v>35</v>
      </c>
      <c r="K1542" t="s">
        <v>36</v>
      </c>
      <c r="L1542" t="s">
        <v>100</v>
      </c>
      <c r="M1542" t="s">
        <v>90</v>
      </c>
      <c r="N1542" s="6" t="s">
        <v>1647</v>
      </c>
      <c r="O1542" t="str">
        <f t="shared" si="97"/>
        <v>Normal</v>
      </c>
      <c r="P1542" t="str">
        <f t="shared" si="98"/>
        <v>Duplicate ID</v>
      </c>
      <c r="Q1542" t="str">
        <f t="shared" si="99"/>
        <v>20,000-24,999</v>
      </c>
      <c r="R1542" s="6">
        <f>IF(COUNTIF($A$2:A1542,A1542)=1,1,0)</f>
        <v>0</v>
      </c>
    </row>
    <row r="1543" spans="1:18" x14ac:dyDescent="0.25">
      <c r="A1543" s="6">
        <v>1561</v>
      </c>
      <c r="B1543" s="7">
        <v>44518</v>
      </c>
      <c r="C1543" t="s">
        <v>119</v>
      </c>
      <c r="D1543" s="6">
        <v>2020</v>
      </c>
      <c r="E1543" s="8">
        <v>7174</v>
      </c>
      <c r="F1543" s="8">
        <v>9000</v>
      </c>
      <c r="G1543" s="8">
        <f t="shared" si="96"/>
        <v>1826</v>
      </c>
      <c r="H1543" s="6">
        <v>25000</v>
      </c>
      <c r="I1543" t="s">
        <v>41</v>
      </c>
      <c r="J1543" t="s">
        <v>35</v>
      </c>
      <c r="K1543" t="s">
        <v>96</v>
      </c>
      <c r="L1543" t="s">
        <v>54</v>
      </c>
      <c r="M1543" t="s">
        <v>1647</v>
      </c>
      <c r="N1543" s="6">
        <v>2</v>
      </c>
      <c r="O1543" t="str">
        <f t="shared" si="97"/>
        <v>Normal</v>
      </c>
      <c r="P1543" t="str">
        <f t="shared" si="98"/>
        <v>Duplicate ID</v>
      </c>
      <c r="Q1543" t="str">
        <f t="shared" si="99"/>
        <v>5,000-9,999</v>
      </c>
      <c r="R1543" s="6">
        <f>IF(COUNTIF($A$2:A1543,A1543)=1,1,0)</f>
        <v>0</v>
      </c>
    </row>
    <row r="1544" spans="1:18" x14ac:dyDescent="0.25">
      <c r="A1544" s="6">
        <v>1186</v>
      </c>
      <c r="B1544" s="7">
        <v>44346</v>
      </c>
      <c r="C1544" t="s">
        <v>119</v>
      </c>
      <c r="D1544" s="6">
        <v>2018</v>
      </c>
      <c r="E1544" s="8">
        <v>268</v>
      </c>
      <c r="F1544" s="8">
        <v>7000</v>
      </c>
      <c r="G1544" s="8">
        <f t="shared" si="96"/>
        <v>6732</v>
      </c>
      <c r="H1544" s="6">
        <v>15000</v>
      </c>
      <c r="I1544" t="s">
        <v>58</v>
      </c>
      <c r="J1544" t="s">
        <v>35</v>
      </c>
      <c r="K1544" t="s">
        <v>36</v>
      </c>
      <c r="L1544" t="s">
        <v>1647</v>
      </c>
      <c r="M1544" t="s">
        <v>45</v>
      </c>
      <c r="N1544" s="6">
        <v>3</v>
      </c>
      <c r="O1544" t="str">
        <f t="shared" si="97"/>
        <v>Outlier</v>
      </c>
      <c r="P1544" t="str">
        <f t="shared" si="98"/>
        <v>Duplicate ID</v>
      </c>
      <c r="Q1544" t="str">
        <f t="shared" si="99"/>
        <v>0-4,999</v>
      </c>
      <c r="R1544" s="6">
        <f>IF(COUNTIF($A$2:A1544,A1544)=1,1,0)</f>
        <v>0</v>
      </c>
    </row>
    <row r="1545" spans="1:18" x14ac:dyDescent="0.25">
      <c r="A1545" s="6">
        <v>1516</v>
      </c>
      <c r="B1545" s="7">
        <v>45141</v>
      </c>
      <c r="C1545" t="s">
        <v>51</v>
      </c>
      <c r="D1545" s="6">
        <v>2016</v>
      </c>
      <c r="E1545" s="8">
        <v>7743</v>
      </c>
      <c r="F1545" s="8">
        <v>12000</v>
      </c>
      <c r="G1545" s="8">
        <f t="shared" si="96"/>
        <v>4257</v>
      </c>
      <c r="H1545" s="6">
        <v>40000</v>
      </c>
      <c r="I1545" t="s">
        <v>58</v>
      </c>
      <c r="J1545" t="s">
        <v>35</v>
      </c>
      <c r="K1545" t="s">
        <v>36</v>
      </c>
      <c r="L1545" t="s">
        <v>48</v>
      </c>
      <c r="M1545" t="s">
        <v>1647</v>
      </c>
      <c r="N1545" s="6" t="s">
        <v>1647</v>
      </c>
      <c r="O1545" t="str">
        <f t="shared" si="97"/>
        <v>Normal</v>
      </c>
      <c r="P1545" t="str">
        <f t="shared" si="98"/>
        <v>Duplicate ID</v>
      </c>
      <c r="Q1545" t="str">
        <f t="shared" si="99"/>
        <v>5,000-9,999</v>
      </c>
      <c r="R1545" s="6">
        <f>IF(COUNTIF($A$2:A1545,A1545)=1,1,0)</f>
        <v>0</v>
      </c>
    </row>
    <row r="1546" spans="1:18" x14ac:dyDescent="0.25">
      <c r="A1546" s="6">
        <v>1069</v>
      </c>
      <c r="B1546" s="7">
        <v>44791</v>
      </c>
      <c r="C1546" t="s">
        <v>1648</v>
      </c>
      <c r="D1546" s="6">
        <v>2014</v>
      </c>
      <c r="E1546" s="8">
        <v>16522</v>
      </c>
      <c r="F1546" s="8">
        <v>22000</v>
      </c>
      <c r="G1546" s="8">
        <f t="shared" si="96"/>
        <v>5478</v>
      </c>
      <c r="H1546" s="6">
        <v>120000</v>
      </c>
      <c r="I1546" t="s">
        <v>58</v>
      </c>
      <c r="J1546" t="s">
        <v>72</v>
      </c>
      <c r="K1546" t="s">
        <v>1647</v>
      </c>
      <c r="L1546" t="s">
        <v>54</v>
      </c>
      <c r="M1546" t="s">
        <v>98</v>
      </c>
      <c r="N1546" s="6">
        <v>2</v>
      </c>
      <c r="O1546" t="str">
        <f t="shared" si="97"/>
        <v>Normal</v>
      </c>
      <c r="P1546" t="str">
        <f t="shared" si="98"/>
        <v>Duplicate ID</v>
      </c>
      <c r="Q1546" t="str">
        <f t="shared" si="99"/>
        <v>15,000-19,999</v>
      </c>
      <c r="R1546" s="6">
        <f>IF(COUNTIF($A$2:A1546,A1546)=1,1,0)</f>
        <v>0</v>
      </c>
    </row>
    <row r="1547" spans="1:18" x14ac:dyDescent="0.25">
      <c r="A1547" s="6">
        <v>1527</v>
      </c>
      <c r="B1547" s="7">
        <v>44861</v>
      </c>
      <c r="C1547" t="s">
        <v>1648</v>
      </c>
      <c r="D1547" s="6"/>
      <c r="E1547" s="8">
        <v>16800</v>
      </c>
      <c r="F1547" s="8">
        <v>18000</v>
      </c>
      <c r="G1547" s="8">
        <f t="shared" si="96"/>
        <v>1200</v>
      </c>
      <c r="H1547" s="6">
        <v>60000</v>
      </c>
      <c r="I1547" t="s">
        <v>34</v>
      </c>
      <c r="J1547" t="s">
        <v>35</v>
      </c>
      <c r="K1547" t="s">
        <v>1647</v>
      </c>
      <c r="L1547" t="s">
        <v>100</v>
      </c>
      <c r="M1547" t="s">
        <v>126</v>
      </c>
      <c r="N1547" s="6" t="s">
        <v>1647</v>
      </c>
      <c r="O1547" t="str">
        <f t="shared" si="97"/>
        <v>Normal</v>
      </c>
      <c r="P1547" t="str">
        <f t="shared" si="98"/>
        <v>Duplicate ID</v>
      </c>
      <c r="Q1547" t="str">
        <f t="shared" si="99"/>
        <v>15,000-19,999</v>
      </c>
      <c r="R1547" s="6">
        <f>IF(COUNTIF($A$2:A1547,A1547)=1,1,0)</f>
        <v>0</v>
      </c>
    </row>
    <row r="1548" spans="1:18" x14ac:dyDescent="0.25">
      <c r="A1548" s="6">
        <v>1556</v>
      </c>
      <c r="B1548" s="7">
        <v>44300</v>
      </c>
      <c r="C1548" t="s">
        <v>1648</v>
      </c>
      <c r="D1548" s="6">
        <v>2016</v>
      </c>
      <c r="E1548" s="8">
        <v>13023</v>
      </c>
      <c r="F1548" s="8">
        <v>15000</v>
      </c>
      <c r="G1548" s="8">
        <f t="shared" si="96"/>
        <v>1977</v>
      </c>
      <c r="H1548" s="6">
        <v>60000</v>
      </c>
      <c r="I1548" t="s">
        <v>34</v>
      </c>
      <c r="J1548" t="s">
        <v>72</v>
      </c>
      <c r="K1548" t="s">
        <v>36</v>
      </c>
      <c r="L1548" t="s">
        <v>73</v>
      </c>
      <c r="M1548" t="s">
        <v>126</v>
      </c>
      <c r="N1548" s="6">
        <v>3</v>
      </c>
      <c r="O1548" t="str">
        <f t="shared" si="97"/>
        <v>Normal</v>
      </c>
      <c r="P1548" t="str">
        <f t="shared" si="98"/>
        <v>Duplicate ID</v>
      </c>
      <c r="Q1548" t="str">
        <f t="shared" si="99"/>
        <v>10,000-14,999</v>
      </c>
      <c r="R1548" s="6">
        <f>IF(COUNTIF($A$2:A1548,A1548)=1,1,0)</f>
        <v>0</v>
      </c>
    </row>
    <row r="1549" spans="1:18" x14ac:dyDescent="0.25">
      <c r="A1549" s="6">
        <v>1416</v>
      </c>
      <c r="B1549" s="7">
        <v>45234</v>
      </c>
      <c r="C1549" t="s">
        <v>51</v>
      </c>
      <c r="D1549" s="6">
        <v>2019</v>
      </c>
      <c r="E1549" s="8">
        <v>17317</v>
      </c>
      <c r="F1549" s="8">
        <v>22000</v>
      </c>
      <c r="G1549" s="8">
        <f t="shared" si="96"/>
        <v>4683</v>
      </c>
      <c r="H1549" s="6">
        <v>120000</v>
      </c>
      <c r="I1549" t="s">
        <v>34</v>
      </c>
      <c r="J1549" t="s">
        <v>72</v>
      </c>
      <c r="K1549" t="s">
        <v>96</v>
      </c>
      <c r="L1549" t="s">
        <v>54</v>
      </c>
      <c r="M1549" t="s">
        <v>98</v>
      </c>
      <c r="N1549" s="6">
        <v>2</v>
      </c>
      <c r="O1549" t="str">
        <f t="shared" si="97"/>
        <v>Normal</v>
      </c>
      <c r="P1549" t="str">
        <f t="shared" si="98"/>
        <v>Duplicate ID</v>
      </c>
      <c r="Q1549" t="str">
        <f t="shared" si="99"/>
        <v>15,000-19,999</v>
      </c>
      <c r="R1549" s="6">
        <f>IF(COUNTIF($A$2:A1549,A1549)=1,1,0)</f>
        <v>0</v>
      </c>
    </row>
    <row r="1550" spans="1:18" x14ac:dyDescent="0.25">
      <c r="A1550" s="6">
        <v>1005</v>
      </c>
      <c r="B1550" s="7">
        <v>44759</v>
      </c>
      <c r="C1550" t="s">
        <v>32</v>
      </c>
      <c r="D1550" s="6">
        <v>2016</v>
      </c>
      <c r="E1550" s="8">
        <v>13470</v>
      </c>
      <c r="F1550" s="8">
        <v>18000</v>
      </c>
      <c r="G1550" s="8">
        <f t="shared" si="96"/>
        <v>4530</v>
      </c>
      <c r="H1550" s="6">
        <v>60000</v>
      </c>
      <c r="I1550" t="s">
        <v>34</v>
      </c>
      <c r="J1550" t="s">
        <v>1647</v>
      </c>
      <c r="K1550" t="s">
        <v>36</v>
      </c>
      <c r="L1550" t="s">
        <v>54</v>
      </c>
      <c r="M1550" t="s">
        <v>126</v>
      </c>
      <c r="N1550" s="6">
        <v>2</v>
      </c>
      <c r="O1550" t="str">
        <f t="shared" si="97"/>
        <v>Normal</v>
      </c>
      <c r="P1550" t="str">
        <f t="shared" si="98"/>
        <v>Duplicate ID</v>
      </c>
      <c r="Q1550" t="str">
        <f t="shared" si="99"/>
        <v>10,000-14,999</v>
      </c>
      <c r="R1550" s="6">
        <f>IF(COUNTIF($A$2:A1550,A1550)=1,1,0)</f>
        <v>0</v>
      </c>
    </row>
    <row r="1551" spans="1:18" x14ac:dyDescent="0.25">
      <c r="A1551" s="6">
        <v>1109</v>
      </c>
      <c r="B1551" s="7">
        <v>44862</v>
      </c>
      <c r="C1551" t="s">
        <v>40</v>
      </c>
      <c r="D1551" s="6">
        <v>2020</v>
      </c>
      <c r="E1551" s="8">
        <v>22909</v>
      </c>
      <c r="F1551" s="8">
        <v>26000</v>
      </c>
      <c r="G1551" s="8">
        <f t="shared" si="96"/>
        <v>3091</v>
      </c>
      <c r="H1551" s="6">
        <v>40000</v>
      </c>
      <c r="I1551" t="s">
        <v>69</v>
      </c>
      <c r="J1551" t="s">
        <v>35</v>
      </c>
      <c r="K1551" t="s">
        <v>1647</v>
      </c>
      <c r="L1551" t="s">
        <v>48</v>
      </c>
      <c r="M1551" t="s">
        <v>45</v>
      </c>
      <c r="N1551" s="6">
        <v>0</v>
      </c>
      <c r="O1551" t="str">
        <f t="shared" si="97"/>
        <v>Normal</v>
      </c>
      <c r="P1551" t="str">
        <f t="shared" si="98"/>
        <v>Duplicate ID</v>
      </c>
      <c r="Q1551" t="str">
        <f t="shared" si="99"/>
        <v>20,000-24,999</v>
      </c>
      <c r="R1551" s="6">
        <f>IF(COUNTIF($A$2:A1551,A1551)=1,1,0)</f>
        <v>0</v>
      </c>
    </row>
    <row r="1552" spans="1:18" x14ac:dyDescent="0.25">
      <c r="A1552" s="6">
        <v>1436</v>
      </c>
      <c r="B1552" s="7">
        <v>45291</v>
      </c>
      <c r="C1552" t="s">
        <v>32</v>
      </c>
      <c r="D1552" s="6">
        <v>2017</v>
      </c>
      <c r="E1552" s="8">
        <v>10670</v>
      </c>
      <c r="F1552" s="8">
        <v>15000</v>
      </c>
      <c r="G1552" s="8">
        <f t="shared" si="96"/>
        <v>4330</v>
      </c>
      <c r="H1552" s="6">
        <v>80000</v>
      </c>
      <c r="I1552" t="s">
        <v>1647</v>
      </c>
      <c r="J1552" t="s">
        <v>35</v>
      </c>
      <c r="K1552" t="s">
        <v>36</v>
      </c>
      <c r="L1552" t="s">
        <v>48</v>
      </c>
      <c r="M1552" t="s">
        <v>126</v>
      </c>
      <c r="N1552" s="6">
        <v>1</v>
      </c>
      <c r="O1552" t="str">
        <f t="shared" si="97"/>
        <v>Normal</v>
      </c>
      <c r="P1552" t="str">
        <f t="shared" si="98"/>
        <v>Duplicate ID</v>
      </c>
      <c r="Q1552" t="str">
        <f t="shared" si="99"/>
        <v>10,000-14,999</v>
      </c>
      <c r="R1552" s="6">
        <f>IF(COUNTIF($A$2:A1552,A1552)=1,1,0)</f>
        <v>0</v>
      </c>
    </row>
    <row r="1553" spans="1:18" x14ac:dyDescent="0.25">
      <c r="A1553" s="6">
        <v>1157</v>
      </c>
      <c r="B1553" s="7">
        <v>44745</v>
      </c>
      <c r="C1553" t="s">
        <v>1648</v>
      </c>
      <c r="D1553" s="6">
        <v>2017</v>
      </c>
      <c r="E1553" s="8">
        <v>3557</v>
      </c>
      <c r="F1553" s="8">
        <v>7000</v>
      </c>
      <c r="G1553" s="8">
        <f t="shared" si="96"/>
        <v>3443</v>
      </c>
      <c r="H1553" s="6">
        <v>80000</v>
      </c>
      <c r="I1553" t="s">
        <v>58</v>
      </c>
      <c r="J1553" t="s">
        <v>35</v>
      </c>
      <c r="K1553" t="s">
        <v>96</v>
      </c>
      <c r="L1553" t="s">
        <v>73</v>
      </c>
      <c r="M1553" t="s">
        <v>1647</v>
      </c>
      <c r="N1553" s="6" t="s">
        <v>1647</v>
      </c>
      <c r="O1553" t="str">
        <f t="shared" si="97"/>
        <v>Normal</v>
      </c>
      <c r="P1553" t="str">
        <f t="shared" si="98"/>
        <v>Duplicate ID</v>
      </c>
      <c r="Q1553" t="str">
        <f t="shared" si="99"/>
        <v>0-4,999</v>
      </c>
      <c r="R1553" s="6">
        <f>IF(COUNTIF($A$2:A1553,A1553)=1,1,0)</f>
        <v>0</v>
      </c>
    </row>
    <row r="1554" spans="1:18" x14ac:dyDescent="0.25">
      <c r="A1554" s="6">
        <v>1275</v>
      </c>
      <c r="B1554" s="7">
        <v>44632</v>
      </c>
      <c r="C1554" t="s">
        <v>119</v>
      </c>
      <c r="D1554" s="6">
        <v>2014</v>
      </c>
      <c r="E1554" s="8">
        <v>16434</v>
      </c>
      <c r="F1554" s="8">
        <v>18000</v>
      </c>
      <c r="G1554" s="8">
        <f t="shared" si="96"/>
        <v>1566</v>
      </c>
      <c r="H1554" s="6">
        <v>120000</v>
      </c>
      <c r="I1554" t="s">
        <v>41</v>
      </c>
      <c r="J1554" t="s">
        <v>1647</v>
      </c>
      <c r="K1554" t="s">
        <v>96</v>
      </c>
      <c r="L1554" t="s">
        <v>48</v>
      </c>
      <c r="M1554" t="s">
        <v>98</v>
      </c>
      <c r="N1554" s="6">
        <v>1</v>
      </c>
      <c r="O1554" t="str">
        <f t="shared" si="97"/>
        <v>Normal</v>
      </c>
      <c r="P1554" t="str">
        <f t="shared" si="98"/>
        <v>Duplicate ID</v>
      </c>
      <c r="Q1554" t="str">
        <f t="shared" si="99"/>
        <v>15,000-19,999</v>
      </c>
      <c r="R1554" s="6">
        <f>IF(COUNTIF($A$2:A1554,A1554)=1,1,0)</f>
        <v>0</v>
      </c>
    </row>
    <row r="1555" spans="1:18" x14ac:dyDescent="0.25">
      <c r="A1555" s="6">
        <v>1214</v>
      </c>
      <c r="B1555" s="7">
        <v>44421</v>
      </c>
      <c r="C1555" t="s">
        <v>119</v>
      </c>
      <c r="D1555" s="6">
        <v>2019</v>
      </c>
      <c r="E1555" s="8">
        <v>8799</v>
      </c>
      <c r="F1555" s="8">
        <v>12000</v>
      </c>
      <c r="G1555" s="8">
        <f t="shared" si="96"/>
        <v>3201</v>
      </c>
      <c r="H1555" s="6">
        <v>80000</v>
      </c>
      <c r="I1555" t="s">
        <v>69</v>
      </c>
      <c r="J1555" t="s">
        <v>72</v>
      </c>
      <c r="K1555" t="s">
        <v>36</v>
      </c>
      <c r="L1555" t="s">
        <v>48</v>
      </c>
      <c r="M1555" t="s">
        <v>90</v>
      </c>
      <c r="N1555" s="6">
        <v>2</v>
      </c>
      <c r="O1555" t="str">
        <f t="shared" si="97"/>
        <v>Normal</v>
      </c>
      <c r="P1555" t="str">
        <f t="shared" si="98"/>
        <v>Duplicate ID</v>
      </c>
      <c r="Q1555" t="str">
        <f t="shared" si="99"/>
        <v>5,000-9,999</v>
      </c>
      <c r="R1555" s="6">
        <f>IF(COUNTIF($A$2:A1555,A1555)=1,1,0)</f>
        <v>0</v>
      </c>
    </row>
    <row r="1556" spans="1:18" x14ac:dyDescent="0.25">
      <c r="A1556" s="6">
        <v>1329</v>
      </c>
      <c r="B1556" s="7">
        <v>45370</v>
      </c>
      <c r="C1556" t="s">
        <v>79</v>
      </c>
      <c r="D1556" s="6">
        <v>2021</v>
      </c>
      <c r="E1556" s="8">
        <v>16884</v>
      </c>
      <c r="F1556" s="8">
        <v>18000</v>
      </c>
      <c r="G1556" s="8">
        <f t="shared" si="96"/>
        <v>1116</v>
      </c>
      <c r="H1556" s="6">
        <v>80000</v>
      </c>
      <c r="I1556" t="s">
        <v>69</v>
      </c>
      <c r="J1556" t="s">
        <v>35</v>
      </c>
      <c r="K1556" t="s">
        <v>96</v>
      </c>
      <c r="L1556" t="s">
        <v>1647</v>
      </c>
      <c r="M1556" t="s">
        <v>126</v>
      </c>
      <c r="N1556" s="6">
        <v>1</v>
      </c>
      <c r="O1556" t="str">
        <f t="shared" si="97"/>
        <v>Normal</v>
      </c>
      <c r="P1556" t="str">
        <f t="shared" si="98"/>
        <v>Duplicate ID</v>
      </c>
      <c r="Q1556" t="str">
        <f t="shared" si="99"/>
        <v>15,000-19,999</v>
      </c>
      <c r="R1556" s="6">
        <f>IF(COUNTIF($A$2:A1556,A1556)=1,1,0)</f>
        <v>0</v>
      </c>
    </row>
    <row r="1557" spans="1:18" x14ac:dyDescent="0.25">
      <c r="A1557" s="6">
        <v>1276</v>
      </c>
      <c r="B1557" s="7">
        <v>44710</v>
      </c>
      <c r="C1557" t="s">
        <v>1648</v>
      </c>
      <c r="D1557" s="6">
        <v>2014</v>
      </c>
      <c r="E1557" s="8">
        <v>5946</v>
      </c>
      <c r="F1557" s="8">
        <v>12000</v>
      </c>
      <c r="G1557" s="8">
        <f t="shared" si="96"/>
        <v>6054</v>
      </c>
      <c r="H1557" s="6">
        <v>120000</v>
      </c>
      <c r="I1557" t="s">
        <v>58</v>
      </c>
      <c r="J1557" t="s">
        <v>35</v>
      </c>
      <c r="K1557" t="s">
        <v>96</v>
      </c>
      <c r="L1557" t="s">
        <v>1647</v>
      </c>
      <c r="M1557" t="s">
        <v>90</v>
      </c>
      <c r="N1557" s="6">
        <v>2</v>
      </c>
      <c r="O1557" t="str">
        <f t="shared" si="97"/>
        <v>Normal</v>
      </c>
      <c r="P1557" t="str">
        <f t="shared" si="98"/>
        <v>Duplicate ID</v>
      </c>
      <c r="Q1557" t="str">
        <f t="shared" si="99"/>
        <v>5,000-9,999</v>
      </c>
      <c r="R1557" s="6">
        <f>IF(COUNTIF($A$2:A1557,A1557)=1,1,0)</f>
        <v>0</v>
      </c>
    </row>
    <row r="1558" spans="1:18" x14ac:dyDescent="0.25">
      <c r="A1558" s="6">
        <v>1157</v>
      </c>
      <c r="B1558" s="7">
        <v>44836</v>
      </c>
      <c r="C1558" t="s">
        <v>119</v>
      </c>
      <c r="D1558" s="6"/>
      <c r="E1558" s="8">
        <v>4434</v>
      </c>
      <c r="F1558" s="8">
        <v>7000</v>
      </c>
      <c r="G1558" s="8">
        <f t="shared" si="96"/>
        <v>2566</v>
      </c>
      <c r="H1558" s="6">
        <v>60000</v>
      </c>
      <c r="I1558" t="s">
        <v>1647</v>
      </c>
      <c r="J1558" t="s">
        <v>72</v>
      </c>
      <c r="K1558" t="s">
        <v>96</v>
      </c>
      <c r="L1558" t="s">
        <v>1647</v>
      </c>
      <c r="M1558" t="s">
        <v>98</v>
      </c>
      <c r="N1558" s="6">
        <v>3</v>
      </c>
      <c r="O1558" t="str">
        <f t="shared" si="97"/>
        <v>Normal</v>
      </c>
      <c r="P1558" t="str">
        <f t="shared" si="98"/>
        <v>Duplicate ID</v>
      </c>
      <c r="Q1558" t="str">
        <f t="shared" si="99"/>
        <v>0-4,999</v>
      </c>
      <c r="R1558" s="6">
        <f>IF(COUNTIF($A$2:A1558,A1558)=1,1,0)</f>
        <v>0</v>
      </c>
    </row>
    <row r="1559" spans="1:18" x14ac:dyDescent="0.25">
      <c r="A1559" s="6">
        <v>1068</v>
      </c>
      <c r="B1559" s="7">
        <v>44829</v>
      </c>
      <c r="C1559" t="s">
        <v>79</v>
      </c>
      <c r="D1559" s="6"/>
      <c r="E1559" s="8">
        <v>15624</v>
      </c>
      <c r="F1559" s="8">
        <v>22000</v>
      </c>
      <c r="G1559" s="8">
        <f t="shared" si="96"/>
        <v>6376</v>
      </c>
      <c r="H1559" s="6">
        <v>15000</v>
      </c>
      <c r="I1559" t="s">
        <v>58</v>
      </c>
      <c r="J1559" t="s">
        <v>35</v>
      </c>
      <c r="K1559" t="s">
        <v>36</v>
      </c>
      <c r="L1559" t="s">
        <v>1647</v>
      </c>
      <c r="M1559" t="s">
        <v>1647</v>
      </c>
      <c r="N1559" s="6">
        <v>1</v>
      </c>
      <c r="O1559" t="str">
        <f t="shared" si="97"/>
        <v>Normal</v>
      </c>
      <c r="P1559" t="str">
        <f t="shared" si="98"/>
        <v>Duplicate ID</v>
      </c>
      <c r="Q1559" t="str">
        <f t="shared" si="99"/>
        <v>15,000-19,999</v>
      </c>
      <c r="R1559" s="6">
        <f>IF(COUNTIF($A$2:A1559,A1559)=1,1,0)</f>
        <v>0</v>
      </c>
    </row>
    <row r="1560" spans="1:18" x14ac:dyDescent="0.25">
      <c r="A1560" s="6">
        <v>1108</v>
      </c>
      <c r="B1560" s="7">
        <v>44763</v>
      </c>
      <c r="C1560" t="s">
        <v>51</v>
      </c>
      <c r="D1560" s="6">
        <v>2018</v>
      </c>
      <c r="E1560" s="8">
        <v>20787</v>
      </c>
      <c r="F1560" s="8">
        <v>26000</v>
      </c>
      <c r="G1560" s="8">
        <f t="shared" si="96"/>
        <v>5213</v>
      </c>
      <c r="H1560" s="6">
        <v>120000</v>
      </c>
      <c r="I1560" t="s">
        <v>58</v>
      </c>
      <c r="J1560" t="s">
        <v>35</v>
      </c>
      <c r="K1560" t="s">
        <v>96</v>
      </c>
      <c r="L1560" t="s">
        <v>73</v>
      </c>
      <c r="M1560" t="s">
        <v>45</v>
      </c>
      <c r="N1560" s="6" t="s">
        <v>1647</v>
      </c>
      <c r="O1560" t="str">
        <f t="shared" si="97"/>
        <v>Normal</v>
      </c>
      <c r="P1560" t="str">
        <f t="shared" si="98"/>
        <v>Duplicate ID</v>
      </c>
      <c r="Q1560" t="str">
        <f t="shared" si="99"/>
        <v>20,000-24,999</v>
      </c>
      <c r="R1560" s="6">
        <f>IF(COUNTIF($A$2:A1560,A1560)=1,1,0)</f>
        <v>0</v>
      </c>
    </row>
    <row r="1561" spans="1:18" x14ac:dyDescent="0.25">
      <c r="A1561" s="6">
        <v>1492</v>
      </c>
      <c r="B1561" s="7">
        <v>45057</v>
      </c>
      <c r="C1561" t="s">
        <v>79</v>
      </c>
      <c r="D1561" s="6"/>
      <c r="E1561" s="8">
        <v>13238</v>
      </c>
      <c r="F1561" s="8">
        <v>18000</v>
      </c>
      <c r="G1561" s="8">
        <f t="shared" si="96"/>
        <v>4762</v>
      </c>
      <c r="H1561" s="6">
        <v>25000</v>
      </c>
      <c r="I1561" t="s">
        <v>1647</v>
      </c>
      <c r="J1561" t="s">
        <v>35</v>
      </c>
      <c r="K1561" t="s">
        <v>36</v>
      </c>
      <c r="L1561" t="s">
        <v>48</v>
      </c>
      <c r="M1561" t="s">
        <v>98</v>
      </c>
      <c r="N1561" s="6">
        <v>1</v>
      </c>
      <c r="O1561" t="str">
        <f t="shared" si="97"/>
        <v>Normal</v>
      </c>
      <c r="P1561" t="str">
        <f t="shared" si="98"/>
        <v>Duplicate ID</v>
      </c>
      <c r="Q1561" t="str">
        <f t="shared" si="99"/>
        <v>10,000-14,999</v>
      </c>
      <c r="R1561" s="6">
        <f>IF(COUNTIF($A$2:A1561,A1561)=1,1,0)</f>
        <v>0</v>
      </c>
    </row>
    <row r="1562" spans="1:18" x14ac:dyDescent="0.25">
      <c r="A1562" s="6">
        <v>1092</v>
      </c>
      <c r="B1562" s="7">
        <v>45281</v>
      </c>
      <c r="C1562" t="s">
        <v>57</v>
      </c>
      <c r="D1562" s="6">
        <v>2018</v>
      </c>
      <c r="E1562" s="8">
        <v>7245</v>
      </c>
      <c r="F1562" s="8">
        <v>9000</v>
      </c>
      <c r="G1562" s="8">
        <f t="shared" si="96"/>
        <v>1755</v>
      </c>
      <c r="H1562" s="6">
        <v>40000</v>
      </c>
      <c r="I1562" t="s">
        <v>58</v>
      </c>
      <c r="J1562" t="s">
        <v>72</v>
      </c>
      <c r="K1562" t="s">
        <v>96</v>
      </c>
      <c r="L1562" t="s">
        <v>54</v>
      </c>
      <c r="M1562" t="s">
        <v>45</v>
      </c>
      <c r="N1562" s="6">
        <v>3</v>
      </c>
      <c r="O1562" t="str">
        <f t="shared" si="97"/>
        <v>Normal</v>
      </c>
      <c r="P1562" t="str">
        <f t="shared" si="98"/>
        <v>Duplicate ID</v>
      </c>
      <c r="Q1562" t="str">
        <f t="shared" si="99"/>
        <v>5,000-9,999</v>
      </c>
      <c r="R1562" s="6">
        <f>IF(COUNTIF($A$2:A1562,A1562)=1,1,0)</f>
        <v>0</v>
      </c>
    </row>
    <row r="1563" spans="1:18" x14ac:dyDescent="0.25">
      <c r="A1563" s="6">
        <v>1147</v>
      </c>
      <c r="B1563" s="7">
        <v>45139</v>
      </c>
      <c r="C1563" t="s">
        <v>40</v>
      </c>
      <c r="D1563" s="6">
        <v>2020</v>
      </c>
      <c r="E1563" s="8">
        <v>9907</v>
      </c>
      <c r="F1563" s="8">
        <v>12000</v>
      </c>
      <c r="G1563" s="8">
        <f t="shared" si="96"/>
        <v>2093</v>
      </c>
      <c r="H1563" s="6">
        <v>25000</v>
      </c>
      <c r="I1563" t="s">
        <v>41</v>
      </c>
      <c r="J1563" t="s">
        <v>35</v>
      </c>
      <c r="K1563" t="s">
        <v>36</v>
      </c>
      <c r="L1563" t="s">
        <v>100</v>
      </c>
      <c r="M1563" t="s">
        <v>98</v>
      </c>
      <c r="N1563" s="6" t="s">
        <v>1647</v>
      </c>
      <c r="O1563" t="str">
        <f t="shared" si="97"/>
        <v>Normal</v>
      </c>
      <c r="P1563" t="str">
        <f t="shared" si="98"/>
        <v>Duplicate ID</v>
      </c>
      <c r="Q1563" t="str">
        <f t="shared" si="99"/>
        <v>5,000-9,999</v>
      </c>
      <c r="R1563" s="6">
        <f>IF(COUNTIF($A$2:A1563,A1563)=1,1,0)</f>
        <v>0</v>
      </c>
    </row>
    <row r="1564" spans="1:18" x14ac:dyDescent="0.25">
      <c r="A1564" s="6">
        <v>1458</v>
      </c>
      <c r="B1564" s="7">
        <v>45307</v>
      </c>
      <c r="C1564" t="s">
        <v>40</v>
      </c>
      <c r="D1564" s="6">
        <v>2014</v>
      </c>
      <c r="E1564" s="8">
        <v>22766</v>
      </c>
      <c r="F1564" s="8">
        <v>26000</v>
      </c>
      <c r="G1564" s="8">
        <f t="shared" si="96"/>
        <v>3234</v>
      </c>
      <c r="H1564" s="6">
        <v>40000</v>
      </c>
      <c r="I1564" t="s">
        <v>1647</v>
      </c>
      <c r="J1564" t="s">
        <v>72</v>
      </c>
      <c r="K1564" t="s">
        <v>1647</v>
      </c>
      <c r="L1564" t="s">
        <v>54</v>
      </c>
      <c r="M1564" t="s">
        <v>45</v>
      </c>
      <c r="N1564" s="6">
        <v>0</v>
      </c>
      <c r="O1564" t="str">
        <f t="shared" si="97"/>
        <v>Normal</v>
      </c>
      <c r="P1564" t="str">
        <f t="shared" si="98"/>
        <v>Duplicate ID</v>
      </c>
      <c r="Q1564" t="str">
        <f t="shared" si="99"/>
        <v>20,000-24,999</v>
      </c>
      <c r="R1564" s="6">
        <f>IF(COUNTIF($A$2:A1564,A1564)=1,1,0)</f>
        <v>0</v>
      </c>
    </row>
    <row r="1565" spans="1:18" x14ac:dyDescent="0.25">
      <c r="A1565" s="6">
        <v>1537</v>
      </c>
      <c r="B1565" s="7">
        <v>44611</v>
      </c>
      <c r="C1565" t="s">
        <v>1648</v>
      </c>
      <c r="D1565" s="6">
        <v>2020</v>
      </c>
      <c r="E1565" s="8">
        <v>27429</v>
      </c>
      <c r="F1565" s="8">
        <v>31000</v>
      </c>
      <c r="G1565" s="8">
        <f t="shared" si="96"/>
        <v>3571</v>
      </c>
      <c r="H1565" s="6">
        <v>40000</v>
      </c>
      <c r="I1565" t="s">
        <v>41</v>
      </c>
      <c r="J1565" t="s">
        <v>72</v>
      </c>
      <c r="K1565" t="s">
        <v>36</v>
      </c>
      <c r="L1565" t="s">
        <v>48</v>
      </c>
      <c r="M1565" t="s">
        <v>1647</v>
      </c>
      <c r="N1565" s="6">
        <v>0</v>
      </c>
      <c r="O1565" t="str">
        <f t="shared" si="97"/>
        <v>Normal</v>
      </c>
      <c r="P1565" t="str">
        <f t="shared" si="98"/>
        <v>Duplicate ID</v>
      </c>
      <c r="Q1565" t="str">
        <f t="shared" si="99"/>
        <v>25,000-30,000</v>
      </c>
      <c r="R1565" s="6">
        <f>IF(COUNTIF($A$2:A1565,A1565)=1,1,0)</f>
        <v>0</v>
      </c>
    </row>
    <row r="1566" spans="1:18" x14ac:dyDescent="0.25">
      <c r="A1566" s="6">
        <v>1571</v>
      </c>
      <c r="B1566" s="7">
        <v>44315</v>
      </c>
      <c r="C1566" t="s">
        <v>79</v>
      </c>
      <c r="D1566" s="6"/>
      <c r="E1566" s="8">
        <v>3953</v>
      </c>
      <c r="F1566" s="8">
        <v>9000</v>
      </c>
      <c r="G1566" s="8">
        <f t="shared" si="96"/>
        <v>5047</v>
      </c>
      <c r="H1566" s="6">
        <v>40000</v>
      </c>
      <c r="I1566" t="s">
        <v>34</v>
      </c>
      <c r="J1566" t="s">
        <v>35</v>
      </c>
      <c r="K1566" t="s">
        <v>96</v>
      </c>
      <c r="L1566" t="s">
        <v>1647</v>
      </c>
      <c r="M1566" t="s">
        <v>90</v>
      </c>
      <c r="N1566" s="6" t="s">
        <v>1647</v>
      </c>
      <c r="O1566" t="str">
        <f t="shared" si="97"/>
        <v>Normal</v>
      </c>
      <c r="P1566" t="str">
        <f t="shared" si="98"/>
        <v>Duplicate ID</v>
      </c>
      <c r="Q1566" t="str">
        <f t="shared" si="99"/>
        <v>0-4,999</v>
      </c>
      <c r="R1566" s="6">
        <f>IF(COUNTIF($A$2:A1566,A1566)=1,1,0)</f>
        <v>0</v>
      </c>
    </row>
    <row r="1567" spans="1:18" x14ac:dyDescent="0.25">
      <c r="A1567" s="6">
        <v>1023</v>
      </c>
      <c r="B1567" s="7">
        <v>45272</v>
      </c>
      <c r="C1567" t="s">
        <v>119</v>
      </c>
      <c r="D1567" s="6">
        <v>2022</v>
      </c>
      <c r="E1567" s="8">
        <v>28318</v>
      </c>
      <c r="F1567" s="8">
        <v>31000</v>
      </c>
      <c r="G1567" s="8">
        <f t="shared" si="96"/>
        <v>2682</v>
      </c>
      <c r="H1567" s="6">
        <v>60000</v>
      </c>
      <c r="I1567" t="s">
        <v>34</v>
      </c>
      <c r="J1567" t="s">
        <v>35</v>
      </c>
      <c r="K1567" t="s">
        <v>36</v>
      </c>
      <c r="L1567" t="s">
        <v>100</v>
      </c>
      <c r="M1567" t="s">
        <v>98</v>
      </c>
      <c r="N1567" s="6">
        <v>0</v>
      </c>
      <c r="O1567" t="str">
        <f t="shared" si="97"/>
        <v>Normal</v>
      </c>
      <c r="P1567" t="str">
        <f t="shared" si="98"/>
        <v>Duplicate ID</v>
      </c>
      <c r="Q1567" t="str">
        <f t="shared" si="99"/>
        <v>25,000-30,000</v>
      </c>
      <c r="R1567" s="6">
        <f>IF(COUNTIF($A$2:A1567,A1567)=1,1,0)</f>
        <v>0</v>
      </c>
    </row>
    <row r="1568" spans="1:18" x14ac:dyDescent="0.25">
      <c r="A1568" s="6">
        <v>1560</v>
      </c>
      <c r="B1568" s="7">
        <v>44377</v>
      </c>
      <c r="C1568" t="s">
        <v>57</v>
      </c>
      <c r="D1568" s="6">
        <v>2015</v>
      </c>
      <c r="E1568" s="8">
        <v>3267</v>
      </c>
      <c r="F1568" s="8">
        <v>7000</v>
      </c>
      <c r="G1568" s="8">
        <f t="shared" si="96"/>
        <v>3733</v>
      </c>
      <c r="H1568" s="6">
        <v>120000</v>
      </c>
      <c r="I1568" t="s">
        <v>34</v>
      </c>
      <c r="J1568" t="s">
        <v>35</v>
      </c>
      <c r="K1568" t="s">
        <v>1647</v>
      </c>
      <c r="L1568" t="s">
        <v>100</v>
      </c>
      <c r="M1568" t="s">
        <v>126</v>
      </c>
      <c r="N1568" s="6">
        <v>3</v>
      </c>
      <c r="O1568" t="str">
        <f t="shared" si="97"/>
        <v>Normal</v>
      </c>
      <c r="P1568" t="str">
        <f t="shared" si="98"/>
        <v>Duplicate ID</v>
      </c>
      <c r="Q1568" t="str">
        <f t="shared" si="99"/>
        <v>0-4,999</v>
      </c>
      <c r="R1568" s="6">
        <f>IF(COUNTIF($A$2:A1568,A1568)=1,1,0)</f>
        <v>0</v>
      </c>
    </row>
    <row r="1569" spans="1:18" x14ac:dyDescent="0.25">
      <c r="A1569" s="6">
        <v>1121</v>
      </c>
      <c r="B1569" s="7">
        <v>44272</v>
      </c>
      <c r="C1569" t="s">
        <v>40</v>
      </c>
      <c r="D1569" s="6">
        <v>2020</v>
      </c>
      <c r="E1569" s="8">
        <v>20118</v>
      </c>
      <c r="F1569" s="8">
        <v>26000</v>
      </c>
      <c r="G1569" s="8">
        <f t="shared" si="96"/>
        <v>5882</v>
      </c>
      <c r="H1569" s="6">
        <v>120000</v>
      </c>
      <c r="I1569" t="s">
        <v>58</v>
      </c>
      <c r="J1569" t="s">
        <v>1647</v>
      </c>
      <c r="K1569" t="s">
        <v>1647</v>
      </c>
      <c r="L1569" t="s">
        <v>100</v>
      </c>
      <c r="M1569" t="s">
        <v>98</v>
      </c>
      <c r="N1569" s="6" t="s">
        <v>1647</v>
      </c>
      <c r="O1569" t="str">
        <f t="shared" si="97"/>
        <v>Normal</v>
      </c>
      <c r="P1569" t="str">
        <f t="shared" si="98"/>
        <v>Duplicate ID</v>
      </c>
      <c r="Q1569" t="str">
        <f t="shared" si="99"/>
        <v>20,000-24,999</v>
      </c>
      <c r="R1569" s="6">
        <f>IF(COUNTIF($A$2:A1569,A1569)=1,1,0)</f>
        <v>0</v>
      </c>
    </row>
    <row r="1570" spans="1:18" x14ac:dyDescent="0.25">
      <c r="A1570" s="6">
        <v>1311</v>
      </c>
      <c r="B1570" s="7">
        <v>45091</v>
      </c>
      <c r="C1570" t="s">
        <v>119</v>
      </c>
      <c r="D1570" s="6">
        <v>2017</v>
      </c>
      <c r="E1570" s="8">
        <v>12811</v>
      </c>
      <c r="F1570" s="8">
        <v>18000</v>
      </c>
      <c r="G1570" s="8">
        <f t="shared" si="96"/>
        <v>5189</v>
      </c>
      <c r="H1570" s="6">
        <v>120000</v>
      </c>
      <c r="I1570" t="s">
        <v>69</v>
      </c>
      <c r="J1570" t="s">
        <v>35</v>
      </c>
      <c r="K1570" t="s">
        <v>96</v>
      </c>
      <c r="L1570" t="s">
        <v>48</v>
      </c>
      <c r="M1570" t="s">
        <v>45</v>
      </c>
      <c r="N1570" s="6">
        <v>3</v>
      </c>
      <c r="O1570" t="str">
        <f t="shared" si="97"/>
        <v>Normal</v>
      </c>
      <c r="P1570" t="str">
        <f t="shared" si="98"/>
        <v>Duplicate ID</v>
      </c>
      <c r="Q1570" t="str">
        <f t="shared" si="99"/>
        <v>10,000-14,999</v>
      </c>
      <c r="R1570" s="6">
        <f>IF(COUNTIF($A$2:A1570,A1570)=1,1,0)</f>
        <v>0</v>
      </c>
    </row>
    <row r="1571" spans="1:18" x14ac:dyDescent="0.25">
      <c r="A1571" s="6">
        <v>1456</v>
      </c>
      <c r="B1571" s="7">
        <v>44922</v>
      </c>
      <c r="C1571" t="s">
        <v>1648</v>
      </c>
      <c r="D1571" s="6">
        <v>2022</v>
      </c>
      <c r="E1571" s="8">
        <v>11229</v>
      </c>
      <c r="F1571" s="8">
        <v>15000</v>
      </c>
      <c r="G1571" s="8">
        <f t="shared" si="96"/>
        <v>3771</v>
      </c>
      <c r="H1571" s="6">
        <v>25000</v>
      </c>
      <c r="I1571" t="s">
        <v>41</v>
      </c>
      <c r="J1571" t="s">
        <v>35</v>
      </c>
      <c r="K1571" t="s">
        <v>36</v>
      </c>
      <c r="L1571" t="s">
        <v>73</v>
      </c>
      <c r="M1571" t="s">
        <v>45</v>
      </c>
      <c r="N1571" s="6">
        <v>2</v>
      </c>
      <c r="O1571" t="str">
        <f t="shared" si="97"/>
        <v>Normal</v>
      </c>
      <c r="P1571" t="str">
        <f t="shared" si="98"/>
        <v>Duplicate ID</v>
      </c>
      <c r="Q1571" t="str">
        <f t="shared" si="99"/>
        <v>10,000-14,999</v>
      </c>
      <c r="R1571" s="6">
        <f>IF(COUNTIF($A$2:A1571,A1571)=1,1,0)</f>
        <v>0</v>
      </c>
    </row>
    <row r="1572" spans="1:18" x14ac:dyDescent="0.25">
      <c r="A1572" s="6">
        <v>1033</v>
      </c>
      <c r="B1572" s="7">
        <v>45098</v>
      </c>
      <c r="C1572" t="s">
        <v>51</v>
      </c>
      <c r="D1572" s="6">
        <v>2018</v>
      </c>
      <c r="E1572" s="8">
        <v>3393</v>
      </c>
      <c r="F1572" s="8">
        <v>7000</v>
      </c>
      <c r="G1572" s="8">
        <f t="shared" si="96"/>
        <v>3607</v>
      </c>
      <c r="H1572" s="6">
        <v>120000</v>
      </c>
      <c r="I1572" t="s">
        <v>58</v>
      </c>
      <c r="J1572" t="s">
        <v>1647</v>
      </c>
      <c r="K1572" t="s">
        <v>96</v>
      </c>
      <c r="L1572" t="s">
        <v>54</v>
      </c>
      <c r="M1572" t="s">
        <v>45</v>
      </c>
      <c r="N1572" s="6">
        <v>0</v>
      </c>
      <c r="O1572" t="str">
        <f t="shared" si="97"/>
        <v>Normal</v>
      </c>
      <c r="P1572" t="str">
        <f t="shared" si="98"/>
        <v>Duplicate ID</v>
      </c>
      <c r="Q1572" t="str">
        <f t="shared" si="99"/>
        <v>0-4,999</v>
      </c>
      <c r="R1572" s="6">
        <f>IF(COUNTIF($A$2:A1572,A1572)=1,1,0)</f>
        <v>0</v>
      </c>
    </row>
    <row r="1573" spans="1:18" x14ac:dyDescent="0.25">
      <c r="A1573" s="6">
        <v>1065</v>
      </c>
      <c r="B1573" s="7">
        <v>44834</v>
      </c>
      <c r="C1573" t="s">
        <v>51</v>
      </c>
      <c r="D1573" s="6">
        <v>2019</v>
      </c>
      <c r="E1573" s="8">
        <v>13375</v>
      </c>
      <c r="F1573" s="8">
        <v>15000</v>
      </c>
      <c r="G1573" s="8">
        <f t="shared" si="96"/>
        <v>1625</v>
      </c>
      <c r="H1573" s="6">
        <v>15000</v>
      </c>
      <c r="I1573" t="s">
        <v>41</v>
      </c>
      <c r="J1573" t="s">
        <v>35</v>
      </c>
      <c r="K1573" t="s">
        <v>36</v>
      </c>
      <c r="L1573" t="s">
        <v>54</v>
      </c>
      <c r="M1573" t="s">
        <v>126</v>
      </c>
      <c r="N1573" s="6">
        <v>1</v>
      </c>
      <c r="O1573" t="str">
        <f t="shared" si="97"/>
        <v>Normal</v>
      </c>
      <c r="P1573" t="str">
        <f t="shared" si="98"/>
        <v>Duplicate ID</v>
      </c>
      <c r="Q1573" t="str">
        <f t="shared" si="99"/>
        <v>10,000-14,999</v>
      </c>
      <c r="R1573" s="6">
        <f>IF(COUNTIF($A$2:A1573,A1573)=1,1,0)</f>
        <v>0</v>
      </c>
    </row>
    <row r="1574" spans="1:18" x14ac:dyDescent="0.25">
      <c r="A1574" s="6">
        <v>1546</v>
      </c>
      <c r="B1574" s="7">
        <v>45002</v>
      </c>
      <c r="C1574" t="s">
        <v>79</v>
      </c>
      <c r="D1574" s="6">
        <v>2022</v>
      </c>
      <c r="E1574" s="8">
        <v>27344</v>
      </c>
      <c r="F1574" s="8">
        <v>31000</v>
      </c>
      <c r="G1574" s="8">
        <f t="shared" si="96"/>
        <v>3656</v>
      </c>
      <c r="H1574" s="6">
        <v>15000</v>
      </c>
      <c r="I1574" t="s">
        <v>1647</v>
      </c>
      <c r="J1574" t="s">
        <v>72</v>
      </c>
      <c r="K1574" t="s">
        <v>1647</v>
      </c>
      <c r="L1574" t="s">
        <v>48</v>
      </c>
      <c r="M1574" t="s">
        <v>1647</v>
      </c>
      <c r="N1574" s="6">
        <v>0</v>
      </c>
      <c r="O1574" t="str">
        <f t="shared" si="97"/>
        <v>Normal</v>
      </c>
      <c r="P1574" t="str">
        <f t="shared" si="98"/>
        <v>Duplicate ID</v>
      </c>
      <c r="Q1574" t="str">
        <f t="shared" si="99"/>
        <v>25,000-30,000</v>
      </c>
      <c r="R1574" s="6">
        <f>IF(COUNTIF($A$2:A1574,A1574)=1,1,0)</f>
        <v>0</v>
      </c>
    </row>
    <row r="1575" spans="1:18" x14ac:dyDescent="0.25">
      <c r="A1575" s="6">
        <v>1436</v>
      </c>
      <c r="B1575" s="7">
        <v>44928</v>
      </c>
      <c r="C1575" t="s">
        <v>32</v>
      </c>
      <c r="D1575" s="6">
        <v>2017</v>
      </c>
      <c r="E1575" s="8">
        <v>14813</v>
      </c>
      <c r="F1575" s="8">
        <v>18000</v>
      </c>
      <c r="G1575" s="8">
        <f t="shared" si="96"/>
        <v>3187</v>
      </c>
      <c r="H1575" s="6">
        <v>120000</v>
      </c>
      <c r="I1575" t="s">
        <v>69</v>
      </c>
      <c r="J1575" t="s">
        <v>35</v>
      </c>
      <c r="K1575" t="s">
        <v>36</v>
      </c>
      <c r="L1575" t="s">
        <v>48</v>
      </c>
      <c r="M1575" t="s">
        <v>98</v>
      </c>
      <c r="N1575" s="6">
        <v>2</v>
      </c>
      <c r="O1575" t="str">
        <f t="shared" si="97"/>
        <v>Normal</v>
      </c>
      <c r="P1575" t="str">
        <f t="shared" si="98"/>
        <v>Duplicate ID</v>
      </c>
      <c r="Q1575" t="str">
        <f t="shared" si="99"/>
        <v>10,000-14,999</v>
      </c>
      <c r="R1575" s="6">
        <f>IF(COUNTIF($A$2:A1575,A1575)=1,1,0)</f>
        <v>0</v>
      </c>
    </row>
    <row r="1576" spans="1:18" x14ac:dyDescent="0.25">
      <c r="A1576" s="6">
        <v>1491</v>
      </c>
      <c r="B1576" s="7">
        <v>44850</v>
      </c>
      <c r="C1576" t="s">
        <v>40</v>
      </c>
      <c r="D1576" s="6">
        <v>2015</v>
      </c>
      <c r="E1576" s="8">
        <v>23897</v>
      </c>
      <c r="F1576" s="8">
        <v>26000</v>
      </c>
      <c r="G1576" s="8">
        <f t="shared" si="96"/>
        <v>2103</v>
      </c>
      <c r="H1576" s="6">
        <v>25000</v>
      </c>
      <c r="I1576" t="s">
        <v>41</v>
      </c>
      <c r="J1576" t="s">
        <v>72</v>
      </c>
      <c r="K1576" t="s">
        <v>1647</v>
      </c>
      <c r="L1576" t="s">
        <v>48</v>
      </c>
      <c r="M1576" t="s">
        <v>45</v>
      </c>
      <c r="N1576" s="6">
        <v>3</v>
      </c>
      <c r="O1576" t="str">
        <f t="shared" si="97"/>
        <v>Normal</v>
      </c>
      <c r="P1576" t="str">
        <f t="shared" si="98"/>
        <v>Duplicate ID</v>
      </c>
      <c r="Q1576" t="str">
        <f t="shared" si="99"/>
        <v>20,000-24,999</v>
      </c>
      <c r="R1576" s="6">
        <f>IF(COUNTIF($A$2:A1576,A1576)=1,1,0)</f>
        <v>0</v>
      </c>
    </row>
    <row r="1577" spans="1:18" x14ac:dyDescent="0.25">
      <c r="A1577" s="6">
        <v>1106</v>
      </c>
      <c r="B1577" s="7">
        <v>44675</v>
      </c>
      <c r="C1577" t="s">
        <v>57</v>
      </c>
      <c r="D1577" s="6"/>
      <c r="E1577" s="8">
        <v>7403</v>
      </c>
      <c r="F1577" s="8">
        <v>12000</v>
      </c>
      <c r="G1577" s="8">
        <f t="shared" si="96"/>
        <v>4597</v>
      </c>
      <c r="H1577" s="6">
        <v>120000</v>
      </c>
      <c r="I1577" t="s">
        <v>58</v>
      </c>
      <c r="J1577" t="s">
        <v>35</v>
      </c>
      <c r="K1577" t="s">
        <v>36</v>
      </c>
      <c r="L1577" t="s">
        <v>73</v>
      </c>
      <c r="M1577" t="s">
        <v>45</v>
      </c>
      <c r="N1577" s="6" t="s">
        <v>1647</v>
      </c>
      <c r="O1577" t="str">
        <f t="shared" si="97"/>
        <v>Normal</v>
      </c>
      <c r="P1577" t="str">
        <f t="shared" si="98"/>
        <v>Duplicate ID</v>
      </c>
      <c r="Q1577" t="str">
        <f t="shared" si="99"/>
        <v>5,000-9,999</v>
      </c>
      <c r="R1577" s="6">
        <f>IF(COUNTIF($A$2:A1577,A1577)=1,1,0)</f>
        <v>0</v>
      </c>
    </row>
    <row r="1578" spans="1:18" x14ac:dyDescent="0.25">
      <c r="A1578" s="6">
        <v>1232</v>
      </c>
      <c r="B1578" s="7">
        <v>44661</v>
      </c>
      <c r="C1578" t="s">
        <v>79</v>
      </c>
      <c r="D1578" s="6">
        <v>2018</v>
      </c>
      <c r="E1578" s="8">
        <v>15660</v>
      </c>
      <c r="F1578" s="8">
        <v>18000</v>
      </c>
      <c r="G1578" s="8">
        <f t="shared" si="96"/>
        <v>2340</v>
      </c>
      <c r="H1578" s="6">
        <v>120000</v>
      </c>
      <c r="I1578" t="s">
        <v>69</v>
      </c>
      <c r="J1578" t="s">
        <v>35</v>
      </c>
      <c r="K1578" t="s">
        <v>1647</v>
      </c>
      <c r="L1578" t="s">
        <v>54</v>
      </c>
      <c r="M1578" t="s">
        <v>45</v>
      </c>
      <c r="N1578" s="6" t="s">
        <v>1647</v>
      </c>
      <c r="O1578" t="str">
        <f t="shared" si="97"/>
        <v>Normal</v>
      </c>
      <c r="P1578" t="str">
        <f t="shared" si="98"/>
        <v>Duplicate ID</v>
      </c>
      <c r="Q1578" t="str">
        <f t="shared" si="99"/>
        <v>15,000-19,999</v>
      </c>
      <c r="R1578" s="6">
        <f>IF(COUNTIF($A$2:A1578,A1578)=1,1,0)</f>
        <v>0</v>
      </c>
    </row>
    <row r="1579" spans="1:18" x14ac:dyDescent="0.25">
      <c r="A1579" s="6">
        <v>1212</v>
      </c>
      <c r="B1579" s="7">
        <v>45152</v>
      </c>
      <c r="C1579" t="s">
        <v>119</v>
      </c>
      <c r="D1579" s="6"/>
      <c r="E1579" s="8">
        <v>24804</v>
      </c>
      <c r="F1579" s="8">
        <v>26000</v>
      </c>
      <c r="G1579" s="8">
        <f t="shared" si="96"/>
        <v>1196</v>
      </c>
      <c r="H1579" s="6">
        <v>60000</v>
      </c>
      <c r="I1579" t="s">
        <v>69</v>
      </c>
      <c r="J1579" t="s">
        <v>72</v>
      </c>
      <c r="K1579" t="s">
        <v>36</v>
      </c>
      <c r="L1579" t="s">
        <v>73</v>
      </c>
      <c r="M1579" t="s">
        <v>45</v>
      </c>
      <c r="N1579" s="6" t="s">
        <v>1647</v>
      </c>
      <c r="O1579" t="str">
        <f t="shared" si="97"/>
        <v>Normal</v>
      </c>
      <c r="P1579" t="str">
        <f t="shared" si="98"/>
        <v>Duplicate ID</v>
      </c>
      <c r="Q1579" t="str">
        <f t="shared" si="99"/>
        <v>20,000-24,999</v>
      </c>
      <c r="R1579" s="6">
        <f>IF(COUNTIF($A$2:A1579,A1579)=1,1,0)</f>
        <v>0</v>
      </c>
    </row>
    <row r="1580" spans="1:18" x14ac:dyDescent="0.25">
      <c r="A1580" s="6">
        <v>1274</v>
      </c>
      <c r="B1580" s="7">
        <v>45194</v>
      </c>
      <c r="C1580" t="s">
        <v>79</v>
      </c>
      <c r="D1580" s="6">
        <v>2022</v>
      </c>
      <c r="E1580" s="8">
        <v>16326</v>
      </c>
      <c r="F1580" s="8">
        <v>18000</v>
      </c>
      <c r="G1580" s="8">
        <f t="shared" si="96"/>
        <v>1674</v>
      </c>
      <c r="H1580" s="6">
        <v>120000</v>
      </c>
      <c r="I1580" t="s">
        <v>34</v>
      </c>
      <c r="J1580" t="s">
        <v>35</v>
      </c>
      <c r="K1580" t="s">
        <v>96</v>
      </c>
      <c r="L1580" t="s">
        <v>73</v>
      </c>
      <c r="M1580" t="s">
        <v>45</v>
      </c>
      <c r="N1580" s="6">
        <v>0</v>
      </c>
      <c r="O1580" t="str">
        <f t="shared" si="97"/>
        <v>Normal</v>
      </c>
      <c r="P1580" t="str">
        <f t="shared" si="98"/>
        <v>Duplicate ID</v>
      </c>
      <c r="Q1580" t="str">
        <f t="shared" si="99"/>
        <v>15,000-19,999</v>
      </c>
      <c r="R1580" s="6">
        <f>IF(COUNTIF($A$2:A1580,A1580)=1,1,0)</f>
        <v>0</v>
      </c>
    </row>
    <row r="1581" spans="1:18" x14ac:dyDescent="0.25">
      <c r="A1581" s="6">
        <v>1414</v>
      </c>
      <c r="B1581" s="7">
        <v>44389</v>
      </c>
      <c r="C1581" t="s">
        <v>57</v>
      </c>
      <c r="D1581" s="6">
        <v>2016</v>
      </c>
      <c r="E1581" s="8">
        <v>2558</v>
      </c>
      <c r="F1581" s="8">
        <v>9000</v>
      </c>
      <c r="G1581" s="8">
        <f t="shared" si="96"/>
        <v>6442</v>
      </c>
      <c r="H1581" s="6">
        <v>80000</v>
      </c>
      <c r="I1581" t="s">
        <v>69</v>
      </c>
      <c r="J1581" t="s">
        <v>35</v>
      </c>
      <c r="K1581" t="s">
        <v>36</v>
      </c>
      <c r="L1581" t="s">
        <v>54</v>
      </c>
      <c r="M1581" t="s">
        <v>45</v>
      </c>
      <c r="N1581" s="6">
        <v>3</v>
      </c>
      <c r="O1581" t="str">
        <f t="shared" si="97"/>
        <v>Normal</v>
      </c>
      <c r="P1581" t="str">
        <f t="shared" si="98"/>
        <v>Duplicate ID</v>
      </c>
      <c r="Q1581" t="str">
        <f t="shared" si="99"/>
        <v>0-4,999</v>
      </c>
      <c r="R1581" s="6">
        <f>IF(COUNTIF($A$2:A1581,A1581)=1,1,0)</f>
        <v>0</v>
      </c>
    </row>
    <row r="1582" spans="1:18" x14ac:dyDescent="0.25">
      <c r="A1582" s="6">
        <v>1460</v>
      </c>
      <c r="B1582" s="7">
        <v>45194</v>
      </c>
      <c r="C1582" t="s">
        <v>79</v>
      </c>
      <c r="D1582" s="6">
        <v>2014</v>
      </c>
      <c r="E1582" s="8">
        <v>15334</v>
      </c>
      <c r="F1582" s="8">
        <v>18000</v>
      </c>
      <c r="G1582" s="8">
        <f t="shared" si="96"/>
        <v>2666</v>
      </c>
      <c r="H1582" s="6">
        <v>80000</v>
      </c>
      <c r="I1582" t="s">
        <v>58</v>
      </c>
      <c r="J1582" t="s">
        <v>1647</v>
      </c>
      <c r="K1582" t="s">
        <v>96</v>
      </c>
      <c r="L1582" t="s">
        <v>54</v>
      </c>
      <c r="M1582" t="s">
        <v>90</v>
      </c>
      <c r="N1582" s="6">
        <v>1</v>
      </c>
      <c r="O1582" t="str">
        <f t="shared" si="97"/>
        <v>Normal</v>
      </c>
      <c r="P1582" t="str">
        <f t="shared" si="98"/>
        <v>Duplicate ID</v>
      </c>
      <c r="Q1582" t="str">
        <f t="shared" si="99"/>
        <v>15,000-19,999</v>
      </c>
      <c r="R1582" s="6">
        <f>IF(COUNTIF($A$2:A1582,A1582)=1,1,0)</f>
        <v>0</v>
      </c>
    </row>
    <row r="1583" spans="1:18" x14ac:dyDescent="0.25">
      <c r="A1583" s="6">
        <v>1588</v>
      </c>
      <c r="B1583" s="7">
        <v>44257</v>
      </c>
      <c r="C1583" t="s">
        <v>40</v>
      </c>
      <c r="D1583" s="6">
        <v>2016</v>
      </c>
      <c r="E1583" s="8">
        <v>22151</v>
      </c>
      <c r="F1583" s="8">
        <v>26000</v>
      </c>
      <c r="G1583" s="8">
        <f t="shared" si="96"/>
        <v>3849</v>
      </c>
      <c r="H1583" s="6">
        <v>120000</v>
      </c>
      <c r="I1583" t="s">
        <v>58</v>
      </c>
      <c r="J1583" t="s">
        <v>35</v>
      </c>
      <c r="K1583" t="s">
        <v>1647</v>
      </c>
      <c r="L1583" t="s">
        <v>100</v>
      </c>
      <c r="M1583" t="s">
        <v>98</v>
      </c>
      <c r="N1583" s="6">
        <v>3</v>
      </c>
      <c r="O1583" t="str">
        <f t="shared" si="97"/>
        <v>Normal</v>
      </c>
      <c r="P1583" t="str">
        <f t="shared" si="98"/>
        <v>Duplicate ID</v>
      </c>
      <c r="Q1583" t="str">
        <f t="shared" si="99"/>
        <v>20,000-24,999</v>
      </c>
      <c r="R1583" s="6">
        <f>IF(COUNTIF($A$2:A1583,A1583)=1,1,0)</f>
        <v>0</v>
      </c>
    </row>
    <row r="1584" spans="1:18" x14ac:dyDescent="0.25">
      <c r="A1584" s="6">
        <v>1423</v>
      </c>
      <c r="B1584" s="7">
        <v>45047</v>
      </c>
      <c r="C1584" t="s">
        <v>1648</v>
      </c>
      <c r="D1584" s="6">
        <v>2021</v>
      </c>
      <c r="E1584" s="8">
        <v>4908</v>
      </c>
      <c r="F1584" s="8">
        <v>9000</v>
      </c>
      <c r="G1584" s="8">
        <f t="shared" si="96"/>
        <v>4092</v>
      </c>
      <c r="H1584" s="6">
        <v>80000</v>
      </c>
      <c r="I1584" t="s">
        <v>69</v>
      </c>
      <c r="J1584" t="s">
        <v>72</v>
      </c>
      <c r="K1584" t="s">
        <v>36</v>
      </c>
      <c r="L1584" t="s">
        <v>54</v>
      </c>
      <c r="M1584" t="s">
        <v>90</v>
      </c>
      <c r="N1584" s="6">
        <v>0</v>
      </c>
      <c r="O1584" t="str">
        <f t="shared" si="97"/>
        <v>Normal</v>
      </c>
      <c r="P1584" t="str">
        <f t="shared" si="98"/>
        <v>Duplicate ID</v>
      </c>
      <c r="Q1584" t="str">
        <f t="shared" si="99"/>
        <v>0-4,999</v>
      </c>
      <c r="R1584" s="6">
        <f>IF(COUNTIF($A$2:A1584,A1584)=1,1,0)</f>
        <v>0</v>
      </c>
    </row>
    <row r="1585" spans="1:18" x14ac:dyDescent="0.25">
      <c r="A1585" s="6">
        <v>1275</v>
      </c>
      <c r="B1585" s="7">
        <v>44647</v>
      </c>
      <c r="C1585" t="s">
        <v>32</v>
      </c>
      <c r="D1585" s="6">
        <v>2016</v>
      </c>
      <c r="E1585" s="8">
        <v>5275</v>
      </c>
      <c r="F1585" s="8">
        <v>12000</v>
      </c>
      <c r="G1585" s="8">
        <f t="shared" si="96"/>
        <v>6725</v>
      </c>
      <c r="H1585" s="6">
        <v>120000</v>
      </c>
      <c r="I1585" t="s">
        <v>58</v>
      </c>
      <c r="J1585" t="s">
        <v>72</v>
      </c>
      <c r="K1585" t="s">
        <v>96</v>
      </c>
      <c r="L1585" t="s">
        <v>1647</v>
      </c>
      <c r="M1585" t="s">
        <v>90</v>
      </c>
      <c r="N1585" s="6">
        <v>3</v>
      </c>
      <c r="O1585" t="str">
        <f t="shared" si="97"/>
        <v>Normal</v>
      </c>
      <c r="P1585" t="str">
        <f t="shared" si="98"/>
        <v>Duplicate ID</v>
      </c>
      <c r="Q1585" t="str">
        <f t="shared" si="99"/>
        <v>5,000-9,999</v>
      </c>
      <c r="R1585" s="6">
        <f>IF(COUNTIF($A$2:A1585,A1585)=1,1,0)</f>
        <v>0</v>
      </c>
    </row>
    <row r="1586" spans="1:18" x14ac:dyDescent="0.25">
      <c r="A1586" s="6">
        <v>1073</v>
      </c>
      <c r="B1586" s="7">
        <v>45123</v>
      </c>
      <c r="C1586" t="s">
        <v>1648</v>
      </c>
      <c r="D1586" s="6">
        <v>2019</v>
      </c>
      <c r="E1586" s="8">
        <v>2115</v>
      </c>
      <c r="F1586" s="8">
        <v>7000</v>
      </c>
      <c r="G1586" s="8">
        <f t="shared" si="96"/>
        <v>4885</v>
      </c>
      <c r="H1586" s="6">
        <v>15000</v>
      </c>
      <c r="I1586" t="s">
        <v>34</v>
      </c>
      <c r="J1586" t="s">
        <v>35</v>
      </c>
      <c r="K1586" t="s">
        <v>96</v>
      </c>
      <c r="L1586" t="s">
        <v>54</v>
      </c>
      <c r="M1586" t="s">
        <v>126</v>
      </c>
      <c r="N1586" s="6" t="s">
        <v>1647</v>
      </c>
      <c r="O1586" t="str">
        <f t="shared" si="97"/>
        <v>Normal</v>
      </c>
      <c r="P1586" t="str">
        <f t="shared" si="98"/>
        <v>Duplicate ID</v>
      </c>
      <c r="Q1586" t="str">
        <f t="shared" si="99"/>
        <v>0-4,999</v>
      </c>
      <c r="R1586" s="6">
        <f>IF(COUNTIF($A$2:A1586,A1586)=1,1,0)</f>
        <v>0</v>
      </c>
    </row>
    <row r="1587" spans="1:18" x14ac:dyDescent="0.25">
      <c r="A1587" s="6">
        <v>1311</v>
      </c>
      <c r="B1587" s="7">
        <v>45134</v>
      </c>
      <c r="C1587" t="s">
        <v>57</v>
      </c>
      <c r="D1587" s="6">
        <v>2017</v>
      </c>
      <c r="E1587" s="8">
        <v>13487</v>
      </c>
      <c r="F1587" s="8">
        <v>15000</v>
      </c>
      <c r="G1587" s="8">
        <f t="shared" si="96"/>
        <v>1513</v>
      </c>
      <c r="H1587" s="6">
        <v>40000</v>
      </c>
      <c r="I1587" t="s">
        <v>69</v>
      </c>
      <c r="J1587" t="s">
        <v>35</v>
      </c>
      <c r="K1587" t="s">
        <v>96</v>
      </c>
      <c r="L1587" t="s">
        <v>73</v>
      </c>
      <c r="M1587" t="s">
        <v>126</v>
      </c>
      <c r="N1587" s="6" t="s">
        <v>1647</v>
      </c>
      <c r="O1587" t="str">
        <f t="shared" si="97"/>
        <v>Normal</v>
      </c>
      <c r="P1587" t="str">
        <f t="shared" si="98"/>
        <v>Duplicate ID</v>
      </c>
      <c r="Q1587" t="str">
        <f t="shared" si="99"/>
        <v>10,000-14,999</v>
      </c>
      <c r="R1587" s="6">
        <f>IF(COUNTIF($A$2:A1587,A1587)=1,1,0)</f>
        <v>0</v>
      </c>
    </row>
    <row r="1588" spans="1:18" x14ac:dyDescent="0.25">
      <c r="A1588" s="6">
        <v>1068</v>
      </c>
      <c r="B1588" s="7">
        <v>44643</v>
      </c>
      <c r="C1588" t="s">
        <v>79</v>
      </c>
      <c r="D1588" s="6">
        <v>2017</v>
      </c>
      <c r="E1588" s="8">
        <v>26891</v>
      </c>
      <c r="F1588" s="8">
        <v>31000</v>
      </c>
      <c r="G1588" s="8">
        <f t="shared" si="96"/>
        <v>4109</v>
      </c>
      <c r="H1588" s="6">
        <v>25000</v>
      </c>
      <c r="I1588" t="s">
        <v>34</v>
      </c>
      <c r="J1588" t="s">
        <v>1647</v>
      </c>
      <c r="K1588" t="s">
        <v>96</v>
      </c>
      <c r="L1588" t="s">
        <v>54</v>
      </c>
      <c r="M1588" t="s">
        <v>90</v>
      </c>
      <c r="N1588" s="6">
        <v>1</v>
      </c>
      <c r="O1588" t="str">
        <f t="shared" si="97"/>
        <v>Normal</v>
      </c>
      <c r="P1588" t="str">
        <f t="shared" si="98"/>
        <v>Duplicate ID</v>
      </c>
      <c r="Q1588" t="str">
        <f t="shared" si="99"/>
        <v>25,000-30,000</v>
      </c>
      <c r="R1588" s="6">
        <f>IF(COUNTIF($A$2:A1588,A1588)=1,1,0)</f>
        <v>0</v>
      </c>
    </row>
    <row r="1589" spans="1:18" x14ac:dyDescent="0.25">
      <c r="A1589" s="6">
        <v>1305</v>
      </c>
      <c r="B1589" s="7">
        <v>44386</v>
      </c>
      <c r="C1589" t="s">
        <v>1648</v>
      </c>
      <c r="D1589" s="6">
        <v>2018</v>
      </c>
      <c r="E1589" s="8">
        <v>27848</v>
      </c>
      <c r="F1589" s="8">
        <v>31000</v>
      </c>
      <c r="G1589" s="8">
        <f t="shared" si="96"/>
        <v>3152</v>
      </c>
      <c r="H1589" s="6">
        <v>60000</v>
      </c>
      <c r="I1589" t="s">
        <v>69</v>
      </c>
      <c r="J1589" t="s">
        <v>35</v>
      </c>
      <c r="K1589" t="s">
        <v>36</v>
      </c>
      <c r="L1589" t="s">
        <v>54</v>
      </c>
      <c r="M1589" t="s">
        <v>45</v>
      </c>
      <c r="N1589" s="6">
        <v>0</v>
      </c>
      <c r="O1589" t="str">
        <f t="shared" si="97"/>
        <v>Normal</v>
      </c>
      <c r="P1589" t="str">
        <f t="shared" si="98"/>
        <v>Duplicate ID</v>
      </c>
      <c r="Q1589" t="str">
        <f t="shared" si="99"/>
        <v>25,000-30,000</v>
      </c>
      <c r="R1589" s="6">
        <f>IF(COUNTIF($A$2:A1589,A1589)=1,1,0)</f>
        <v>0</v>
      </c>
    </row>
    <row r="1590" spans="1:18" x14ac:dyDescent="0.25">
      <c r="A1590" s="6">
        <v>1408</v>
      </c>
      <c r="B1590" s="7">
        <v>45322</v>
      </c>
      <c r="C1590" t="s">
        <v>57</v>
      </c>
      <c r="D1590" s="6">
        <v>2018</v>
      </c>
      <c r="E1590" s="8">
        <v>14905</v>
      </c>
      <c r="F1590" s="8">
        <v>18000</v>
      </c>
      <c r="G1590" s="8">
        <f t="shared" si="96"/>
        <v>3095</v>
      </c>
      <c r="H1590" s="6">
        <v>120000</v>
      </c>
      <c r="I1590" t="s">
        <v>58</v>
      </c>
      <c r="J1590" t="s">
        <v>1647</v>
      </c>
      <c r="K1590" t="s">
        <v>36</v>
      </c>
      <c r="L1590" t="s">
        <v>54</v>
      </c>
      <c r="M1590" t="s">
        <v>98</v>
      </c>
      <c r="N1590" s="6">
        <v>1</v>
      </c>
      <c r="O1590" t="str">
        <f t="shared" si="97"/>
        <v>Normal</v>
      </c>
      <c r="P1590" t="str">
        <f t="shared" si="98"/>
        <v>Duplicate ID</v>
      </c>
      <c r="Q1590" t="str">
        <f t="shared" si="99"/>
        <v>10,000-14,999</v>
      </c>
      <c r="R1590" s="6">
        <f>IF(COUNTIF($A$2:A1590,A1590)=1,1,0)</f>
        <v>0</v>
      </c>
    </row>
    <row r="1591" spans="1:18" x14ac:dyDescent="0.25">
      <c r="A1591" s="6">
        <v>1085</v>
      </c>
      <c r="B1591" s="7">
        <v>44971</v>
      </c>
      <c r="C1591" t="s">
        <v>119</v>
      </c>
      <c r="D1591" s="6">
        <v>2015</v>
      </c>
      <c r="E1591" s="8">
        <v>14740</v>
      </c>
      <c r="F1591" s="8">
        <v>18000</v>
      </c>
      <c r="G1591" s="8">
        <f t="shared" si="96"/>
        <v>3260</v>
      </c>
      <c r="H1591" s="6">
        <v>40000</v>
      </c>
      <c r="I1591" t="s">
        <v>58</v>
      </c>
      <c r="J1591" t="s">
        <v>35</v>
      </c>
      <c r="K1591" t="s">
        <v>96</v>
      </c>
      <c r="L1591" t="s">
        <v>73</v>
      </c>
      <c r="M1591" t="s">
        <v>126</v>
      </c>
      <c r="N1591" s="6">
        <v>2</v>
      </c>
      <c r="O1591" t="str">
        <f t="shared" si="97"/>
        <v>Normal</v>
      </c>
      <c r="P1591" t="str">
        <f t="shared" si="98"/>
        <v>Duplicate ID</v>
      </c>
      <c r="Q1591" t="str">
        <f t="shared" si="99"/>
        <v>10,000-14,999</v>
      </c>
      <c r="R1591" s="6">
        <f>IF(COUNTIF($A$2:A1591,A1591)=1,1,0)</f>
        <v>0</v>
      </c>
    </row>
    <row r="1592" spans="1:18" x14ac:dyDescent="0.25">
      <c r="A1592" s="6">
        <v>1065</v>
      </c>
      <c r="B1592" s="7">
        <v>44634</v>
      </c>
      <c r="C1592" t="s">
        <v>1648</v>
      </c>
      <c r="D1592" s="6">
        <v>2022</v>
      </c>
      <c r="E1592" s="8">
        <v>27405</v>
      </c>
      <c r="F1592" s="8">
        <v>31000</v>
      </c>
      <c r="G1592" s="8">
        <f t="shared" si="96"/>
        <v>3595</v>
      </c>
      <c r="H1592" s="6">
        <v>80000</v>
      </c>
      <c r="I1592" t="s">
        <v>69</v>
      </c>
      <c r="J1592" t="s">
        <v>72</v>
      </c>
      <c r="K1592" t="s">
        <v>36</v>
      </c>
      <c r="L1592" t="s">
        <v>48</v>
      </c>
      <c r="M1592" t="s">
        <v>98</v>
      </c>
      <c r="N1592" s="6">
        <v>3</v>
      </c>
      <c r="O1592" t="str">
        <f t="shared" si="97"/>
        <v>Normal</v>
      </c>
      <c r="P1592" t="str">
        <f t="shared" si="98"/>
        <v>Duplicate ID</v>
      </c>
      <c r="Q1592" t="str">
        <f t="shared" si="99"/>
        <v>25,000-30,000</v>
      </c>
      <c r="R1592" s="6">
        <f>IF(COUNTIF($A$2:A1592,A1592)=1,1,0)</f>
        <v>0</v>
      </c>
    </row>
    <row r="1593" spans="1:18" x14ac:dyDescent="0.25">
      <c r="A1593" s="6">
        <v>1382</v>
      </c>
      <c r="B1593" s="7">
        <v>45279</v>
      </c>
      <c r="C1593" t="s">
        <v>1648</v>
      </c>
      <c r="D1593" s="6">
        <v>2015</v>
      </c>
      <c r="E1593" s="8">
        <v>8279</v>
      </c>
      <c r="F1593" s="8">
        <v>15000</v>
      </c>
      <c r="G1593" s="8">
        <f t="shared" si="96"/>
        <v>6721</v>
      </c>
      <c r="H1593" s="6">
        <v>15000</v>
      </c>
      <c r="I1593" t="s">
        <v>1647</v>
      </c>
      <c r="J1593" t="s">
        <v>35</v>
      </c>
      <c r="K1593" t="s">
        <v>36</v>
      </c>
      <c r="L1593" t="s">
        <v>54</v>
      </c>
      <c r="M1593" t="s">
        <v>90</v>
      </c>
      <c r="N1593" s="6" t="s">
        <v>1647</v>
      </c>
      <c r="O1593" t="str">
        <f t="shared" si="97"/>
        <v>Normal</v>
      </c>
      <c r="P1593" t="str">
        <f t="shared" si="98"/>
        <v>Duplicate ID</v>
      </c>
      <c r="Q1593" t="str">
        <f t="shared" si="99"/>
        <v>5,000-9,999</v>
      </c>
      <c r="R1593" s="6">
        <f>IF(COUNTIF($A$2:A1593,A1593)=1,1,0)</f>
        <v>0</v>
      </c>
    </row>
    <row r="1594" spans="1:18" x14ac:dyDescent="0.25">
      <c r="A1594" s="6">
        <v>1443</v>
      </c>
      <c r="B1594" s="7">
        <v>44665</v>
      </c>
      <c r="C1594" t="s">
        <v>40</v>
      </c>
      <c r="D1594" s="6">
        <v>2019</v>
      </c>
      <c r="E1594" s="8">
        <v>5951</v>
      </c>
      <c r="F1594" s="8">
        <v>9000</v>
      </c>
      <c r="G1594" s="8">
        <f t="shared" si="96"/>
        <v>3049</v>
      </c>
      <c r="H1594" s="6">
        <v>15000</v>
      </c>
      <c r="I1594" t="s">
        <v>41</v>
      </c>
      <c r="J1594" t="s">
        <v>72</v>
      </c>
      <c r="K1594" t="s">
        <v>1647</v>
      </c>
      <c r="L1594" t="s">
        <v>73</v>
      </c>
      <c r="M1594" t="s">
        <v>1647</v>
      </c>
      <c r="N1594" s="6">
        <v>3</v>
      </c>
      <c r="O1594" t="str">
        <f t="shared" si="97"/>
        <v>Normal</v>
      </c>
      <c r="P1594" t="str">
        <f t="shared" si="98"/>
        <v>Duplicate ID</v>
      </c>
      <c r="Q1594" t="str">
        <f t="shared" si="99"/>
        <v>5,000-9,999</v>
      </c>
      <c r="R1594" s="6">
        <f>IF(COUNTIF($A$2:A1594,A1594)=1,1,0)</f>
        <v>0</v>
      </c>
    </row>
    <row r="1595" spans="1:18" x14ac:dyDescent="0.25">
      <c r="A1595" s="6">
        <v>1433</v>
      </c>
      <c r="B1595" s="7">
        <v>44852</v>
      </c>
      <c r="C1595" t="s">
        <v>32</v>
      </c>
      <c r="D1595" s="6">
        <v>2014</v>
      </c>
      <c r="E1595" s="8">
        <v>20704</v>
      </c>
      <c r="F1595" s="8">
        <v>26000</v>
      </c>
      <c r="G1595" s="8">
        <f t="shared" si="96"/>
        <v>5296</v>
      </c>
      <c r="H1595" s="6">
        <v>120000</v>
      </c>
      <c r="I1595" t="s">
        <v>41</v>
      </c>
      <c r="J1595" t="s">
        <v>72</v>
      </c>
      <c r="K1595" t="s">
        <v>1647</v>
      </c>
      <c r="L1595" t="s">
        <v>73</v>
      </c>
      <c r="M1595" t="s">
        <v>90</v>
      </c>
      <c r="N1595" s="6">
        <v>3</v>
      </c>
      <c r="O1595" t="str">
        <f t="shared" si="97"/>
        <v>Normal</v>
      </c>
      <c r="P1595" t="str">
        <f t="shared" si="98"/>
        <v>Duplicate ID</v>
      </c>
      <c r="Q1595" t="str">
        <f t="shared" si="99"/>
        <v>20,000-24,999</v>
      </c>
      <c r="R1595" s="6">
        <f>IF(COUNTIF($A$2:A1595,A1595)=1,1,0)</f>
        <v>0</v>
      </c>
    </row>
    <row r="1596" spans="1:18" x14ac:dyDescent="0.25">
      <c r="A1596" s="6">
        <v>1200</v>
      </c>
      <c r="B1596" s="7">
        <v>44564</v>
      </c>
      <c r="C1596" t="s">
        <v>57</v>
      </c>
      <c r="D1596" s="6">
        <v>2017</v>
      </c>
      <c r="E1596" s="8">
        <v>5844</v>
      </c>
      <c r="F1596" s="8">
        <v>9000</v>
      </c>
      <c r="G1596" s="8">
        <f t="shared" si="96"/>
        <v>3156</v>
      </c>
      <c r="H1596" s="6">
        <v>40000</v>
      </c>
      <c r="I1596" t="s">
        <v>41</v>
      </c>
      <c r="J1596" t="s">
        <v>35</v>
      </c>
      <c r="K1596" t="s">
        <v>1647</v>
      </c>
      <c r="L1596" t="s">
        <v>48</v>
      </c>
      <c r="M1596" t="s">
        <v>45</v>
      </c>
      <c r="N1596" s="6">
        <v>2</v>
      </c>
      <c r="O1596" t="str">
        <f t="shared" si="97"/>
        <v>Normal</v>
      </c>
      <c r="P1596" t="str">
        <f t="shared" si="98"/>
        <v>Duplicate ID</v>
      </c>
      <c r="Q1596" t="str">
        <f t="shared" si="99"/>
        <v>5,000-9,999</v>
      </c>
      <c r="R1596" s="6">
        <f>IF(COUNTIF($A$2:A1596,A1596)=1,1,0)</f>
        <v>0</v>
      </c>
    </row>
    <row r="1597" spans="1:18" x14ac:dyDescent="0.25">
      <c r="A1597" s="6">
        <v>1097</v>
      </c>
      <c r="B1597" s="7">
        <v>44787</v>
      </c>
      <c r="C1597" t="s">
        <v>40</v>
      </c>
      <c r="D1597" s="6">
        <v>2018</v>
      </c>
      <c r="E1597" s="8">
        <v>19623</v>
      </c>
      <c r="F1597" s="8">
        <v>22000</v>
      </c>
      <c r="G1597" s="8">
        <f t="shared" si="96"/>
        <v>2377</v>
      </c>
      <c r="H1597" s="6">
        <v>25000</v>
      </c>
      <c r="I1597" t="s">
        <v>34</v>
      </c>
      <c r="J1597" t="s">
        <v>72</v>
      </c>
      <c r="K1597" t="s">
        <v>36</v>
      </c>
      <c r="L1597" t="s">
        <v>73</v>
      </c>
      <c r="M1597" t="s">
        <v>45</v>
      </c>
      <c r="N1597" s="6">
        <v>0</v>
      </c>
      <c r="O1597" t="str">
        <f t="shared" si="97"/>
        <v>Normal</v>
      </c>
      <c r="P1597" t="str">
        <f t="shared" si="98"/>
        <v>Duplicate ID</v>
      </c>
      <c r="Q1597" t="str">
        <f t="shared" si="99"/>
        <v>15,000-19,999</v>
      </c>
      <c r="R1597" s="6">
        <f>IF(COUNTIF($A$2:A1597,A1597)=1,1,0)</f>
        <v>0</v>
      </c>
    </row>
    <row r="1598" spans="1:18" x14ac:dyDescent="0.25">
      <c r="A1598" s="6">
        <v>1434</v>
      </c>
      <c r="B1598" s="7">
        <v>45019</v>
      </c>
      <c r="C1598" t="s">
        <v>119</v>
      </c>
      <c r="D1598" s="6">
        <v>2019</v>
      </c>
      <c r="E1598" s="8">
        <v>10219</v>
      </c>
      <c r="F1598" s="8">
        <v>12000</v>
      </c>
      <c r="G1598" s="8">
        <f t="shared" si="96"/>
        <v>1781</v>
      </c>
      <c r="H1598" s="6">
        <v>15000</v>
      </c>
      <c r="I1598" t="s">
        <v>58</v>
      </c>
      <c r="J1598" t="s">
        <v>35</v>
      </c>
      <c r="K1598" t="s">
        <v>36</v>
      </c>
      <c r="L1598" t="s">
        <v>100</v>
      </c>
      <c r="M1598" t="s">
        <v>45</v>
      </c>
      <c r="N1598" s="6">
        <v>0</v>
      </c>
      <c r="O1598" t="str">
        <f t="shared" si="97"/>
        <v>Normal</v>
      </c>
      <c r="P1598" t="str">
        <f t="shared" si="98"/>
        <v>Duplicate ID</v>
      </c>
      <c r="Q1598" t="str">
        <f t="shared" si="99"/>
        <v>10,000-14,999</v>
      </c>
      <c r="R1598" s="6">
        <f>IF(COUNTIF($A$2:A1598,A1598)=1,1,0)</f>
        <v>0</v>
      </c>
    </row>
    <row r="1599" spans="1:18" x14ac:dyDescent="0.25">
      <c r="A1599" s="6">
        <v>1180</v>
      </c>
      <c r="B1599" s="7">
        <v>44574</v>
      </c>
      <c r="C1599" t="s">
        <v>40</v>
      </c>
      <c r="D1599" s="6">
        <v>2019</v>
      </c>
      <c r="E1599" s="8">
        <v>12932</v>
      </c>
      <c r="F1599" s="8">
        <v>15000</v>
      </c>
      <c r="G1599" s="8">
        <f t="shared" si="96"/>
        <v>2068</v>
      </c>
      <c r="H1599" s="6">
        <v>80000</v>
      </c>
      <c r="I1599" t="s">
        <v>41</v>
      </c>
      <c r="J1599" t="s">
        <v>1647</v>
      </c>
      <c r="K1599" t="s">
        <v>36</v>
      </c>
      <c r="L1599" t="s">
        <v>73</v>
      </c>
      <c r="M1599" t="s">
        <v>126</v>
      </c>
      <c r="N1599" s="6">
        <v>1</v>
      </c>
      <c r="O1599" t="str">
        <f t="shared" si="97"/>
        <v>Normal</v>
      </c>
      <c r="P1599" t="str">
        <f t="shared" si="98"/>
        <v>Duplicate ID</v>
      </c>
      <c r="Q1599" t="str">
        <f t="shared" si="99"/>
        <v>10,000-14,999</v>
      </c>
      <c r="R1599" s="6">
        <f>IF(COUNTIF($A$2:A1599,A1599)=1,1,0)</f>
        <v>0</v>
      </c>
    </row>
    <row r="1600" spans="1:18" x14ac:dyDescent="0.25">
      <c r="A1600" s="6">
        <v>1103</v>
      </c>
      <c r="B1600" s="7">
        <v>45376</v>
      </c>
      <c r="C1600" t="s">
        <v>119</v>
      </c>
      <c r="D1600" s="6">
        <v>2022</v>
      </c>
      <c r="E1600" s="8">
        <v>15169</v>
      </c>
      <c r="F1600" s="8">
        <v>18000</v>
      </c>
      <c r="G1600" s="8">
        <f t="shared" si="96"/>
        <v>2831</v>
      </c>
      <c r="H1600" s="6">
        <v>25000</v>
      </c>
      <c r="I1600" t="s">
        <v>34</v>
      </c>
      <c r="J1600" t="s">
        <v>35</v>
      </c>
      <c r="K1600" t="s">
        <v>36</v>
      </c>
      <c r="L1600" t="s">
        <v>100</v>
      </c>
      <c r="M1600" t="s">
        <v>90</v>
      </c>
      <c r="N1600" s="6" t="s">
        <v>1647</v>
      </c>
      <c r="O1600" t="str">
        <f t="shared" si="97"/>
        <v>Normal</v>
      </c>
      <c r="P1600" t="str">
        <f t="shared" si="98"/>
        <v>Duplicate ID</v>
      </c>
      <c r="Q1600" t="str">
        <f t="shared" si="99"/>
        <v>15,000-19,999</v>
      </c>
      <c r="R1600" s="6">
        <f>IF(COUNTIF($A$2:A1600,A1600)=1,1,0)</f>
        <v>0</v>
      </c>
    </row>
    <row r="1601" spans="1:18" x14ac:dyDescent="0.25">
      <c r="A1601" s="6">
        <v>1129</v>
      </c>
      <c r="B1601" s="7">
        <v>44879</v>
      </c>
      <c r="C1601" t="s">
        <v>119</v>
      </c>
      <c r="D1601" s="6">
        <v>2019</v>
      </c>
      <c r="E1601" s="8">
        <v>22680</v>
      </c>
      <c r="F1601" s="8">
        <v>26000</v>
      </c>
      <c r="G1601" s="8">
        <f t="shared" si="96"/>
        <v>3320</v>
      </c>
      <c r="H1601" s="6">
        <v>120000</v>
      </c>
      <c r="I1601" t="s">
        <v>69</v>
      </c>
      <c r="J1601" t="s">
        <v>1647</v>
      </c>
      <c r="K1601" t="s">
        <v>96</v>
      </c>
      <c r="L1601" t="s">
        <v>48</v>
      </c>
      <c r="M1601" t="s">
        <v>126</v>
      </c>
      <c r="N1601" s="6">
        <v>1</v>
      </c>
      <c r="O1601" t="str">
        <f t="shared" si="97"/>
        <v>Normal</v>
      </c>
      <c r="P1601" t="str">
        <f t="shared" si="98"/>
        <v>Duplicate ID</v>
      </c>
      <c r="Q1601" t="str">
        <f t="shared" si="99"/>
        <v>20,000-24,999</v>
      </c>
      <c r="R1601" s="6">
        <f>IF(COUNTIF($A$2:A1601,A1601)=1,1,0)</f>
        <v>0</v>
      </c>
    </row>
    <row r="1602" spans="1:18" x14ac:dyDescent="0.25">
      <c r="A1602" s="6">
        <v>1178</v>
      </c>
      <c r="B1602" s="7">
        <v>44745</v>
      </c>
      <c r="C1602" t="s">
        <v>119</v>
      </c>
      <c r="D1602" s="6"/>
      <c r="E1602" s="8">
        <v>23417</v>
      </c>
      <c r="F1602" s="8">
        <v>26000</v>
      </c>
      <c r="G1602" s="8">
        <f t="shared" ref="G1602:G1665" si="100">IF(OR(F1602="",E1602=""),"",F1602-E1602)</f>
        <v>2583</v>
      </c>
      <c r="H1602" s="6">
        <v>60000</v>
      </c>
      <c r="I1602" t="s">
        <v>69</v>
      </c>
      <c r="J1602" t="s">
        <v>35</v>
      </c>
      <c r="K1602" t="s">
        <v>96</v>
      </c>
      <c r="L1602" t="s">
        <v>48</v>
      </c>
      <c r="M1602" t="s">
        <v>98</v>
      </c>
      <c r="N1602" s="6">
        <v>1</v>
      </c>
      <c r="O1602" t="str">
        <f t="shared" ref="O1602:O1665" si="101">IF(E1602&lt;1000,"Outlier","Normal")</f>
        <v>Normal</v>
      </c>
      <c r="P1602" t="str">
        <f t="shared" ref="P1602:P1665" si="102">IF(COUNTIF($A$2:$A$2501,A1602)&gt;1,"Duplicate ID","Unique ID")</f>
        <v>Duplicate ID</v>
      </c>
      <c r="Q1602" t="str">
        <f t="shared" ref="Q1602:Q1665" si="103">IF(E1602&lt;5000,"0-4,999",IF(E1602&lt;10000,"5,000-9,999",IF(E1602&lt;15000,"10,000-14,999",IF(E1602&lt;20000,"15,000-19,999",IF(E1602&lt;25000,"20,000-24,999","25,000-30,000")))))</f>
        <v>20,000-24,999</v>
      </c>
      <c r="R1602" s="6">
        <f>IF(COUNTIF($A$2:A1602,A1602)=1,1,0)</f>
        <v>0</v>
      </c>
    </row>
    <row r="1603" spans="1:18" x14ac:dyDescent="0.25">
      <c r="A1603" s="6">
        <v>1237</v>
      </c>
      <c r="B1603" s="7">
        <v>45163</v>
      </c>
      <c r="C1603" t="s">
        <v>119</v>
      </c>
      <c r="D1603" s="6">
        <v>2018</v>
      </c>
      <c r="E1603" s="8">
        <v>15906</v>
      </c>
      <c r="F1603" s="8">
        <v>22000</v>
      </c>
      <c r="G1603" s="8">
        <f t="shared" si="100"/>
        <v>6094</v>
      </c>
      <c r="H1603" s="6">
        <v>25000</v>
      </c>
      <c r="I1603" t="s">
        <v>58</v>
      </c>
      <c r="J1603" t="s">
        <v>72</v>
      </c>
      <c r="K1603" t="s">
        <v>96</v>
      </c>
      <c r="L1603" t="s">
        <v>54</v>
      </c>
      <c r="M1603" t="s">
        <v>45</v>
      </c>
      <c r="N1603" s="6" t="s">
        <v>1647</v>
      </c>
      <c r="O1603" t="str">
        <f t="shared" si="101"/>
        <v>Normal</v>
      </c>
      <c r="P1603" t="str">
        <f t="shared" si="102"/>
        <v>Duplicate ID</v>
      </c>
      <c r="Q1603" t="str">
        <f t="shared" si="103"/>
        <v>15,000-19,999</v>
      </c>
      <c r="R1603" s="6">
        <f>IF(COUNTIF($A$2:A1603,A1603)=1,1,0)</f>
        <v>0</v>
      </c>
    </row>
    <row r="1604" spans="1:18" x14ac:dyDescent="0.25">
      <c r="A1604" s="6">
        <v>1252</v>
      </c>
      <c r="B1604" s="7">
        <v>44954</v>
      </c>
      <c r="C1604" t="s">
        <v>40</v>
      </c>
      <c r="D1604" s="6">
        <v>2018</v>
      </c>
      <c r="E1604" s="8">
        <v>28709</v>
      </c>
      <c r="F1604" s="8">
        <v>31000</v>
      </c>
      <c r="G1604" s="8">
        <f t="shared" si="100"/>
        <v>2291</v>
      </c>
      <c r="H1604" s="6">
        <v>60000</v>
      </c>
      <c r="I1604" t="s">
        <v>34</v>
      </c>
      <c r="J1604" t="s">
        <v>72</v>
      </c>
      <c r="K1604" t="s">
        <v>96</v>
      </c>
      <c r="L1604" t="s">
        <v>73</v>
      </c>
      <c r="M1604" t="s">
        <v>45</v>
      </c>
      <c r="N1604" s="6">
        <v>3</v>
      </c>
      <c r="O1604" t="str">
        <f t="shared" si="101"/>
        <v>Normal</v>
      </c>
      <c r="P1604" t="str">
        <f t="shared" si="102"/>
        <v>Duplicate ID</v>
      </c>
      <c r="Q1604" t="str">
        <f t="shared" si="103"/>
        <v>25,000-30,000</v>
      </c>
      <c r="R1604" s="6">
        <f>IF(COUNTIF($A$2:A1604,A1604)=1,1,0)</f>
        <v>0</v>
      </c>
    </row>
    <row r="1605" spans="1:18" x14ac:dyDescent="0.25">
      <c r="A1605" s="6">
        <v>1163</v>
      </c>
      <c r="B1605" s="7">
        <v>44956</v>
      </c>
      <c r="C1605" t="s">
        <v>79</v>
      </c>
      <c r="D1605" s="6">
        <v>2017</v>
      </c>
      <c r="E1605" s="8">
        <v>9236</v>
      </c>
      <c r="F1605" s="8">
        <v>15000</v>
      </c>
      <c r="G1605" s="8">
        <f t="shared" si="100"/>
        <v>5764</v>
      </c>
      <c r="H1605" s="6">
        <v>60000</v>
      </c>
      <c r="I1605" t="s">
        <v>69</v>
      </c>
      <c r="J1605" t="s">
        <v>72</v>
      </c>
      <c r="K1605" t="s">
        <v>96</v>
      </c>
      <c r="L1605" t="s">
        <v>54</v>
      </c>
      <c r="M1605" t="s">
        <v>90</v>
      </c>
      <c r="N1605" s="6">
        <v>2</v>
      </c>
      <c r="O1605" t="str">
        <f t="shared" si="101"/>
        <v>Normal</v>
      </c>
      <c r="P1605" t="str">
        <f t="shared" si="102"/>
        <v>Duplicate ID</v>
      </c>
      <c r="Q1605" t="str">
        <f t="shared" si="103"/>
        <v>5,000-9,999</v>
      </c>
      <c r="R1605" s="6">
        <f>IF(COUNTIF($A$2:A1605,A1605)=1,1,0)</f>
        <v>0</v>
      </c>
    </row>
    <row r="1606" spans="1:18" x14ac:dyDescent="0.25">
      <c r="A1606" s="6">
        <v>1564</v>
      </c>
      <c r="B1606" s="7">
        <v>45377</v>
      </c>
      <c r="C1606" t="s">
        <v>57</v>
      </c>
      <c r="D1606" s="6">
        <v>2022</v>
      </c>
      <c r="E1606" s="8">
        <v>19808</v>
      </c>
      <c r="F1606" s="8">
        <v>26000</v>
      </c>
      <c r="G1606" s="8">
        <f t="shared" si="100"/>
        <v>6192</v>
      </c>
      <c r="H1606" s="6">
        <v>25000</v>
      </c>
      <c r="I1606" t="s">
        <v>58</v>
      </c>
      <c r="J1606" t="s">
        <v>72</v>
      </c>
      <c r="K1606" t="s">
        <v>96</v>
      </c>
      <c r="L1606" t="s">
        <v>100</v>
      </c>
      <c r="M1606" t="s">
        <v>45</v>
      </c>
      <c r="N1606" s="6">
        <v>0</v>
      </c>
      <c r="O1606" t="str">
        <f t="shared" si="101"/>
        <v>Normal</v>
      </c>
      <c r="P1606" t="str">
        <f t="shared" si="102"/>
        <v>Duplicate ID</v>
      </c>
      <c r="Q1606" t="str">
        <f t="shared" si="103"/>
        <v>15,000-19,999</v>
      </c>
      <c r="R1606" s="6">
        <f>IF(COUNTIF($A$2:A1606,A1606)=1,1,0)</f>
        <v>1</v>
      </c>
    </row>
    <row r="1607" spans="1:18" x14ac:dyDescent="0.25">
      <c r="A1607" s="6">
        <v>1428</v>
      </c>
      <c r="B1607" s="7">
        <v>45134</v>
      </c>
      <c r="C1607" t="s">
        <v>51</v>
      </c>
      <c r="D1607" s="6">
        <v>2021</v>
      </c>
      <c r="E1607" s="8">
        <v>2750</v>
      </c>
      <c r="F1607" s="8">
        <v>9000</v>
      </c>
      <c r="G1607" s="8">
        <f t="shared" si="100"/>
        <v>6250</v>
      </c>
      <c r="H1607" s="6">
        <v>25000</v>
      </c>
      <c r="I1607" t="s">
        <v>58</v>
      </c>
      <c r="J1607" t="s">
        <v>72</v>
      </c>
      <c r="K1607" t="s">
        <v>96</v>
      </c>
      <c r="L1607" t="s">
        <v>100</v>
      </c>
      <c r="M1607" t="s">
        <v>45</v>
      </c>
      <c r="N1607" s="6">
        <v>3</v>
      </c>
      <c r="O1607" t="str">
        <f t="shared" si="101"/>
        <v>Normal</v>
      </c>
      <c r="P1607" t="str">
        <f t="shared" si="102"/>
        <v>Duplicate ID</v>
      </c>
      <c r="Q1607" t="str">
        <f t="shared" si="103"/>
        <v>0-4,999</v>
      </c>
      <c r="R1607" s="6">
        <f>IF(COUNTIF($A$2:A1607,A1607)=1,1,0)</f>
        <v>0</v>
      </c>
    </row>
    <row r="1608" spans="1:18" x14ac:dyDescent="0.25">
      <c r="A1608" s="6">
        <v>1026</v>
      </c>
      <c r="B1608" s="7">
        <v>45380</v>
      </c>
      <c r="C1608" t="s">
        <v>51</v>
      </c>
      <c r="D1608" s="6">
        <v>2022</v>
      </c>
      <c r="E1608" s="8">
        <v>19522</v>
      </c>
      <c r="F1608" s="8">
        <v>26000</v>
      </c>
      <c r="G1608" s="8">
        <f t="shared" si="100"/>
        <v>6478</v>
      </c>
      <c r="H1608" s="6">
        <v>25000</v>
      </c>
      <c r="I1608" t="s">
        <v>58</v>
      </c>
      <c r="J1608" t="s">
        <v>72</v>
      </c>
      <c r="K1608" t="s">
        <v>1647</v>
      </c>
      <c r="L1608" t="s">
        <v>48</v>
      </c>
      <c r="M1608" t="s">
        <v>90</v>
      </c>
      <c r="N1608" s="6" t="s">
        <v>1647</v>
      </c>
      <c r="O1608" t="str">
        <f t="shared" si="101"/>
        <v>Normal</v>
      </c>
      <c r="P1608" t="str">
        <f t="shared" si="102"/>
        <v>Duplicate ID</v>
      </c>
      <c r="Q1608" t="str">
        <f t="shared" si="103"/>
        <v>15,000-19,999</v>
      </c>
      <c r="R1608" s="6">
        <f>IF(COUNTIF($A$2:A1608,A1608)=1,1,0)</f>
        <v>0</v>
      </c>
    </row>
    <row r="1609" spans="1:18" x14ac:dyDescent="0.25">
      <c r="A1609" s="6">
        <v>1085</v>
      </c>
      <c r="B1609" s="7">
        <v>45221</v>
      </c>
      <c r="C1609" t="s">
        <v>40</v>
      </c>
      <c r="D1609" s="6">
        <v>2020</v>
      </c>
      <c r="E1609" s="8">
        <v>6161</v>
      </c>
      <c r="F1609" s="8">
        <v>9000</v>
      </c>
      <c r="G1609" s="8">
        <f t="shared" si="100"/>
        <v>2839</v>
      </c>
      <c r="H1609" s="6">
        <v>40000</v>
      </c>
      <c r="I1609" t="s">
        <v>58</v>
      </c>
      <c r="J1609" t="s">
        <v>72</v>
      </c>
      <c r="K1609" t="s">
        <v>36</v>
      </c>
      <c r="L1609" t="s">
        <v>73</v>
      </c>
      <c r="M1609" t="s">
        <v>90</v>
      </c>
      <c r="N1609" s="6">
        <v>0</v>
      </c>
      <c r="O1609" t="str">
        <f t="shared" si="101"/>
        <v>Normal</v>
      </c>
      <c r="P1609" t="str">
        <f t="shared" si="102"/>
        <v>Duplicate ID</v>
      </c>
      <c r="Q1609" t="str">
        <f t="shared" si="103"/>
        <v>5,000-9,999</v>
      </c>
      <c r="R1609" s="6">
        <f>IF(COUNTIF($A$2:A1609,A1609)=1,1,0)</f>
        <v>0</v>
      </c>
    </row>
    <row r="1610" spans="1:18" x14ac:dyDescent="0.25">
      <c r="A1610" s="6">
        <v>1482</v>
      </c>
      <c r="B1610" s="7">
        <v>44317</v>
      </c>
      <c r="C1610" t="s">
        <v>1648</v>
      </c>
      <c r="D1610" s="6">
        <v>2017</v>
      </c>
      <c r="E1610" s="8">
        <v>26891</v>
      </c>
      <c r="F1610" s="8">
        <v>31000</v>
      </c>
      <c r="G1610" s="8">
        <f t="shared" si="100"/>
        <v>4109</v>
      </c>
      <c r="H1610" s="6">
        <v>25000</v>
      </c>
      <c r="I1610" t="s">
        <v>41</v>
      </c>
      <c r="J1610" t="s">
        <v>72</v>
      </c>
      <c r="K1610" t="s">
        <v>1647</v>
      </c>
      <c r="L1610" t="s">
        <v>48</v>
      </c>
      <c r="M1610" t="s">
        <v>98</v>
      </c>
      <c r="N1610" s="6" t="s">
        <v>1647</v>
      </c>
      <c r="O1610" t="str">
        <f t="shared" si="101"/>
        <v>Normal</v>
      </c>
      <c r="P1610" t="str">
        <f t="shared" si="102"/>
        <v>Duplicate ID</v>
      </c>
      <c r="Q1610" t="str">
        <f t="shared" si="103"/>
        <v>25,000-30,000</v>
      </c>
      <c r="R1610" s="6">
        <f>IF(COUNTIF($A$2:A1610,A1610)=1,1,0)</f>
        <v>0</v>
      </c>
    </row>
    <row r="1611" spans="1:18" x14ac:dyDescent="0.25">
      <c r="A1611" s="6">
        <v>1587</v>
      </c>
      <c r="B1611" s="7">
        <v>44760</v>
      </c>
      <c r="C1611" t="s">
        <v>40</v>
      </c>
      <c r="D1611" s="6">
        <v>2022</v>
      </c>
      <c r="E1611" s="8">
        <v>5005</v>
      </c>
      <c r="F1611" s="8">
        <v>12000</v>
      </c>
      <c r="G1611" s="8">
        <f t="shared" si="100"/>
        <v>6995</v>
      </c>
      <c r="H1611" s="6">
        <v>60000</v>
      </c>
      <c r="I1611" t="s">
        <v>69</v>
      </c>
      <c r="J1611" t="s">
        <v>72</v>
      </c>
      <c r="K1611" t="s">
        <v>36</v>
      </c>
      <c r="L1611" t="s">
        <v>54</v>
      </c>
      <c r="M1611" t="s">
        <v>98</v>
      </c>
      <c r="N1611" s="6">
        <v>3</v>
      </c>
      <c r="O1611" t="str">
        <f t="shared" si="101"/>
        <v>Normal</v>
      </c>
      <c r="P1611" t="str">
        <f t="shared" si="102"/>
        <v>Duplicate ID</v>
      </c>
      <c r="Q1611" t="str">
        <f t="shared" si="103"/>
        <v>5,000-9,999</v>
      </c>
      <c r="R1611" s="6">
        <f>IF(COUNTIF($A$2:A1611,A1611)=1,1,0)</f>
        <v>0</v>
      </c>
    </row>
    <row r="1612" spans="1:18" x14ac:dyDescent="0.25">
      <c r="A1612" s="6">
        <v>1397</v>
      </c>
      <c r="B1612" s="7">
        <v>44533</v>
      </c>
      <c r="C1612" t="s">
        <v>57</v>
      </c>
      <c r="D1612" s="6">
        <v>2019</v>
      </c>
      <c r="E1612" s="8">
        <v>12264</v>
      </c>
      <c r="F1612" s="8">
        <v>18000</v>
      </c>
      <c r="G1612" s="8">
        <f t="shared" si="100"/>
        <v>5736</v>
      </c>
      <c r="H1612" s="6">
        <v>25000</v>
      </c>
      <c r="I1612" t="s">
        <v>58</v>
      </c>
      <c r="J1612" t="s">
        <v>35</v>
      </c>
      <c r="K1612" t="s">
        <v>1647</v>
      </c>
      <c r="L1612" t="s">
        <v>73</v>
      </c>
      <c r="M1612" t="s">
        <v>98</v>
      </c>
      <c r="N1612" s="6">
        <v>1</v>
      </c>
      <c r="O1612" t="str">
        <f t="shared" si="101"/>
        <v>Normal</v>
      </c>
      <c r="P1612" t="str">
        <f t="shared" si="102"/>
        <v>Duplicate ID</v>
      </c>
      <c r="Q1612" t="str">
        <f t="shared" si="103"/>
        <v>10,000-14,999</v>
      </c>
      <c r="R1612" s="6">
        <f>IF(COUNTIF($A$2:A1612,A1612)=1,1,0)</f>
        <v>0</v>
      </c>
    </row>
    <row r="1613" spans="1:18" x14ac:dyDescent="0.25">
      <c r="A1613" s="6">
        <v>1517</v>
      </c>
      <c r="B1613" s="7">
        <v>44734</v>
      </c>
      <c r="C1613" t="s">
        <v>51</v>
      </c>
      <c r="D1613" s="6">
        <v>2014</v>
      </c>
      <c r="E1613" s="8">
        <v>9309</v>
      </c>
      <c r="F1613" s="8">
        <v>15000</v>
      </c>
      <c r="G1613" s="8">
        <f t="shared" si="100"/>
        <v>5691</v>
      </c>
      <c r="H1613" s="6">
        <v>60000</v>
      </c>
      <c r="I1613" t="s">
        <v>58</v>
      </c>
      <c r="J1613" t="s">
        <v>72</v>
      </c>
      <c r="K1613" t="s">
        <v>96</v>
      </c>
      <c r="L1613" t="s">
        <v>54</v>
      </c>
      <c r="M1613" t="s">
        <v>98</v>
      </c>
      <c r="N1613" s="6">
        <v>0</v>
      </c>
      <c r="O1613" t="str">
        <f t="shared" si="101"/>
        <v>Normal</v>
      </c>
      <c r="P1613" t="str">
        <f t="shared" si="102"/>
        <v>Duplicate ID</v>
      </c>
      <c r="Q1613" t="str">
        <f t="shared" si="103"/>
        <v>5,000-9,999</v>
      </c>
      <c r="R1613" s="6">
        <f>IF(COUNTIF($A$2:A1613,A1613)=1,1,0)</f>
        <v>0</v>
      </c>
    </row>
    <row r="1614" spans="1:18" x14ac:dyDescent="0.25">
      <c r="A1614" s="6">
        <v>1229</v>
      </c>
      <c r="B1614" s="7">
        <v>45324</v>
      </c>
      <c r="C1614" t="s">
        <v>1648</v>
      </c>
      <c r="D1614" s="6">
        <v>2021</v>
      </c>
      <c r="E1614" s="8">
        <v>414</v>
      </c>
      <c r="F1614" s="8">
        <v>7000</v>
      </c>
      <c r="G1614" s="8">
        <f t="shared" si="100"/>
        <v>6586</v>
      </c>
      <c r="H1614" s="6">
        <v>60000</v>
      </c>
      <c r="I1614" t="s">
        <v>41</v>
      </c>
      <c r="J1614" t="s">
        <v>72</v>
      </c>
      <c r="K1614" t="s">
        <v>36</v>
      </c>
      <c r="L1614" t="s">
        <v>100</v>
      </c>
      <c r="M1614" t="s">
        <v>45</v>
      </c>
      <c r="N1614" s="6" t="s">
        <v>1647</v>
      </c>
      <c r="O1614" t="str">
        <f t="shared" si="101"/>
        <v>Outlier</v>
      </c>
      <c r="P1614" t="str">
        <f t="shared" si="102"/>
        <v>Duplicate ID</v>
      </c>
      <c r="Q1614" t="str">
        <f t="shared" si="103"/>
        <v>0-4,999</v>
      </c>
      <c r="R1614" s="6">
        <f>IF(COUNTIF($A$2:A1614,A1614)=1,1,0)</f>
        <v>0</v>
      </c>
    </row>
    <row r="1615" spans="1:18" x14ac:dyDescent="0.25">
      <c r="A1615" s="6">
        <v>1278</v>
      </c>
      <c r="B1615" s="7">
        <v>45359</v>
      </c>
      <c r="C1615" t="s">
        <v>40</v>
      </c>
      <c r="D1615" s="6">
        <v>2015</v>
      </c>
      <c r="E1615" s="8">
        <v>22978</v>
      </c>
      <c r="F1615" s="8">
        <v>26000</v>
      </c>
      <c r="G1615" s="8">
        <f t="shared" si="100"/>
        <v>3022</v>
      </c>
      <c r="H1615" s="6">
        <v>120000</v>
      </c>
      <c r="I1615" t="s">
        <v>58</v>
      </c>
      <c r="J1615" t="s">
        <v>35</v>
      </c>
      <c r="K1615" t="s">
        <v>36</v>
      </c>
      <c r="L1615" t="s">
        <v>54</v>
      </c>
      <c r="M1615" t="s">
        <v>45</v>
      </c>
      <c r="N1615" s="6">
        <v>1</v>
      </c>
      <c r="O1615" t="str">
        <f t="shared" si="101"/>
        <v>Normal</v>
      </c>
      <c r="P1615" t="str">
        <f t="shared" si="102"/>
        <v>Duplicate ID</v>
      </c>
      <c r="Q1615" t="str">
        <f t="shared" si="103"/>
        <v>20,000-24,999</v>
      </c>
      <c r="R1615" s="6">
        <f>IF(COUNTIF($A$2:A1615,A1615)=1,1,0)</f>
        <v>0</v>
      </c>
    </row>
    <row r="1616" spans="1:18" x14ac:dyDescent="0.25">
      <c r="A1616" s="6">
        <v>1280</v>
      </c>
      <c r="B1616" s="7">
        <v>44617</v>
      </c>
      <c r="C1616" t="s">
        <v>1648</v>
      </c>
      <c r="D1616" s="6">
        <v>2018</v>
      </c>
      <c r="E1616" s="8">
        <v>19620</v>
      </c>
      <c r="F1616" s="8">
        <v>26000</v>
      </c>
      <c r="G1616" s="8">
        <f t="shared" si="100"/>
        <v>6380</v>
      </c>
      <c r="H1616" s="6">
        <v>60000</v>
      </c>
      <c r="I1616" t="s">
        <v>69</v>
      </c>
      <c r="J1616" t="s">
        <v>35</v>
      </c>
      <c r="K1616" t="s">
        <v>36</v>
      </c>
      <c r="L1616" t="s">
        <v>73</v>
      </c>
      <c r="M1616" t="s">
        <v>98</v>
      </c>
      <c r="N1616" s="6">
        <v>3</v>
      </c>
      <c r="O1616" t="str">
        <f t="shared" si="101"/>
        <v>Normal</v>
      </c>
      <c r="P1616" t="str">
        <f t="shared" si="102"/>
        <v>Duplicate ID</v>
      </c>
      <c r="Q1616" t="str">
        <f t="shared" si="103"/>
        <v>15,000-19,999</v>
      </c>
      <c r="R1616" s="6">
        <f>IF(COUNTIF($A$2:A1616,A1616)=1,1,0)</f>
        <v>0</v>
      </c>
    </row>
    <row r="1617" spans="1:18" x14ac:dyDescent="0.25">
      <c r="A1617" s="6">
        <v>1106</v>
      </c>
      <c r="B1617" s="7">
        <v>44383</v>
      </c>
      <c r="C1617" t="s">
        <v>57</v>
      </c>
      <c r="D1617" s="6">
        <v>2014</v>
      </c>
      <c r="E1617" s="8">
        <v>3541</v>
      </c>
      <c r="F1617" s="8">
        <v>9000</v>
      </c>
      <c r="G1617" s="8">
        <f t="shared" si="100"/>
        <v>5459</v>
      </c>
      <c r="H1617" s="6">
        <v>40000</v>
      </c>
      <c r="I1617" t="s">
        <v>41</v>
      </c>
      <c r="J1617" t="s">
        <v>35</v>
      </c>
      <c r="K1617" t="s">
        <v>36</v>
      </c>
      <c r="L1617" t="s">
        <v>54</v>
      </c>
      <c r="M1617" t="s">
        <v>90</v>
      </c>
      <c r="N1617" s="6">
        <v>0</v>
      </c>
      <c r="O1617" t="str">
        <f t="shared" si="101"/>
        <v>Normal</v>
      </c>
      <c r="P1617" t="str">
        <f t="shared" si="102"/>
        <v>Duplicate ID</v>
      </c>
      <c r="Q1617" t="str">
        <f t="shared" si="103"/>
        <v>0-4,999</v>
      </c>
      <c r="R1617" s="6">
        <f>IF(COUNTIF($A$2:A1617,A1617)=1,1,0)</f>
        <v>0</v>
      </c>
    </row>
    <row r="1618" spans="1:18" x14ac:dyDescent="0.25">
      <c r="A1618" s="6">
        <v>1557</v>
      </c>
      <c r="B1618" s="7">
        <v>45024</v>
      </c>
      <c r="C1618" t="s">
        <v>32</v>
      </c>
      <c r="D1618" s="6">
        <v>2022</v>
      </c>
      <c r="E1618" s="8">
        <v>24025</v>
      </c>
      <c r="F1618" s="8">
        <v>26000</v>
      </c>
      <c r="G1618" s="8">
        <f t="shared" si="100"/>
        <v>1975</v>
      </c>
      <c r="H1618" s="6">
        <v>60000</v>
      </c>
      <c r="I1618" t="s">
        <v>41</v>
      </c>
      <c r="J1618" t="s">
        <v>35</v>
      </c>
      <c r="K1618" t="s">
        <v>96</v>
      </c>
      <c r="L1618" t="s">
        <v>100</v>
      </c>
      <c r="M1618" t="s">
        <v>126</v>
      </c>
      <c r="N1618" s="6">
        <v>1</v>
      </c>
      <c r="O1618" t="str">
        <f t="shared" si="101"/>
        <v>Normal</v>
      </c>
      <c r="P1618" t="str">
        <f t="shared" si="102"/>
        <v>Duplicate ID</v>
      </c>
      <c r="Q1618" t="str">
        <f t="shared" si="103"/>
        <v>20,000-24,999</v>
      </c>
      <c r="R1618" s="6">
        <f>IF(COUNTIF($A$2:A1618,A1618)=1,1,0)</f>
        <v>0</v>
      </c>
    </row>
    <row r="1619" spans="1:18" x14ac:dyDescent="0.25">
      <c r="A1619" s="6">
        <v>1159</v>
      </c>
      <c r="B1619" s="7">
        <v>44731</v>
      </c>
      <c r="C1619" t="s">
        <v>119</v>
      </c>
      <c r="D1619" s="6">
        <v>2022</v>
      </c>
      <c r="E1619" s="8">
        <v>16466</v>
      </c>
      <c r="F1619" s="8">
        <v>22000</v>
      </c>
      <c r="G1619" s="8">
        <f t="shared" si="100"/>
        <v>5534</v>
      </c>
      <c r="H1619" s="6">
        <v>40000</v>
      </c>
      <c r="I1619" t="s">
        <v>34</v>
      </c>
      <c r="J1619" t="s">
        <v>35</v>
      </c>
      <c r="K1619" t="s">
        <v>96</v>
      </c>
      <c r="L1619" t="s">
        <v>73</v>
      </c>
      <c r="M1619" t="s">
        <v>98</v>
      </c>
      <c r="N1619" s="6" t="s">
        <v>1647</v>
      </c>
      <c r="O1619" t="str">
        <f t="shared" si="101"/>
        <v>Normal</v>
      </c>
      <c r="P1619" t="str">
        <f t="shared" si="102"/>
        <v>Duplicate ID</v>
      </c>
      <c r="Q1619" t="str">
        <f t="shared" si="103"/>
        <v>15,000-19,999</v>
      </c>
      <c r="R1619" s="6">
        <f>IF(COUNTIF($A$2:A1619,A1619)=1,1,0)</f>
        <v>0</v>
      </c>
    </row>
    <row r="1620" spans="1:18" x14ac:dyDescent="0.25">
      <c r="A1620" s="6">
        <v>1492</v>
      </c>
      <c r="B1620" s="7">
        <v>44860</v>
      </c>
      <c r="C1620" t="s">
        <v>32</v>
      </c>
      <c r="D1620" s="6">
        <v>2017</v>
      </c>
      <c r="E1620" s="8">
        <v>24346</v>
      </c>
      <c r="F1620" s="8">
        <v>26000</v>
      </c>
      <c r="G1620" s="8">
        <f t="shared" si="100"/>
        <v>1654</v>
      </c>
      <c r="H1620" s="6">
        <v>15000</v>
      </c>
      <c r="I1620" t="s">
        <v>1647</v>
      </c>
      <c r="J1620" t="s">
        <v>35</v>
      </c>
      <c r="K1620" t="s">
        <v>36</v>
      </c>
      <c r="L1620" t="s">
        <v>100</v>
      </c>
      <c r="M1620" t="s">
        <v>126</v>
      </c>
      <c r="N1620" s="6" t="s">
        <v>1647</v>
      </c>
      <c r="O1620" t="str">
        <f t="shared" si="101"/>
        <v>Normal</v>
      </c>
      <c r="P1620" t="str">
        <f t="shared" si="102"/>
        <v>Duplicate ID</v>
      </c>
      <c r="Q1620" t="str">
        <f t="shared" si="103"/>
        <v>20,000-24,999</v>
      </c>
      <c r="R1620" s="6">
        <f>IF(COUNTIF($A$2:A1620,A1620)=1,1,0)</f>
        <v>0</v>
      </c>
    </row>
    <row r="1621" spans="1:18" x14ac:dyDescent="0.25">
      <c r="A1621" s="6">
        <v>1165</v>
      </c>
      <c r="B1621" s="7">
        <v>44205</v>
      </c>
      <c r="C1621" t="s">
        <v>51</v>
      </c>
      <c r="D1621" s="6">
        <v>2014</v>
      </c>
      <c r="E1621" s="8">
        <v>7200</v>
      </c>
      <c r="F1621" s="8">
        <v>12000</v>
      </c>
      <c r="G1621" s="8">
        <f t="shared" si="100"/>
        <v>4800</v>
      </c>
      <c r="H1621" s="6">
        <v>40000</v>
      </c>
      <c r="I1621" t="s">
        <v>41</v>
      </c>
      <c r="J1621" t="s">
        <v>72</v>
      </c>
      <c r="K1621" t="s">
        <v>36</v>
      </c>
      <c r="L1621" t="s">
        <v>73</v>
      </c>
      <c r="M1621" t="s">
        <v>90</v>
      </c>
      <c r="N1621" s="6" t="s">
        <v>1647</v>
      </c>
      <c r="O1621" t="str">
        <f t="shared" si="101"/>
        <v>Normal</v>
      </c>
      <c r="P1621" t="str">
        <f t="shared" si="102"/>
        <v>Duplicate ID</v>
      </c>
      <c r="Q1621" t="str">
        <f t="shared" si="103"/>
        <v>5,000-9,999</v>
      </c>
      <c r="R1621" s="6">
        <f>IF(COUNTIF($A$2:A1621,A1621)=1,1,0)</f>
        <v>0</v>
      </c>
    </row>
    <row r="1622" spans="1:18" x14ac:dyDescent="0.25">
      <c r="A1622" s="6">
        <v>1076</v>
      </c>
      <c r="B1622" s="7">
        <v>45189</v>
      </c>
      <c r="C1622" t="s">
        <v>1648</v>
      </c>
      <c r="D1622" s="6">
        <v>2018</v>
      </c>
      <c r="E1622" s="8">
        <v>15881</v>
      </c>
      <c r="F1622" s="8">
        <v>18000</v>
      </c>
      <c r="G1622" s="8">
        <f t="shared" si="100"/>
        <v>2119</v>
      </c>
      <c r="H1622" s="6">
        <v>40000</v>
      </c>
      <c r="I1622" t="s">
        <v>1647</v>
      </c>
      <c r="J1622" t="s">
        <v>1647</v>
      </c>
      <c r="K1622" t="s">
        <v>96</v>
      </c>
      <c r="L1622" t="s">
        <v>48</v>
      </c>
      <c r="M1622" t="s">
        <v>98</v>
      </c>
      <c r="N1622" s="6">
        <v>2</v>
      </c>
      <c r="O1622" t="str">
        <f t="shared" si="101"/>
        <v>Normal</v>
      </c>
      <c r="P1622" t="str">
        <f t="shared" si="102"/>
        <v>Duplicate ID</v>
      </c>
      <c r="Q1622" t="str">
        <f t="shared" si="103"/>
        <v>15,000-19,999</v>
      </c>
      <c r="R1622" s="6">
        <f>IF(COUNTIF($A$2:A1622,A1622)=1,1,0)</f>
        <v>0</v>
      </c>
    </row>
    <row r="1623" spans="1:18" x14ac:dyDescent="0.25">
      <c r="A1623" s="6">
        <v>1038</v>
      </c>
      <c r="B1623" s="7">
        <v>44360</v>
      </c>
      <c r="C1623" t="s">
        <v>1648</v>
      </c>
      <c r="D1623" s="6">
        <v>2017</v>
      </c>
      <c r="E1623" s="8">
        <v>3461</v>
      </c>
      <c r="F1623" s="8">
        <v>9000</v>
      </c>
      <c r="G1623" s="8">
        <f t="shared" si="100"/>
        <v>5539</v>
      </c>
      <c r="H1623" s="6">
        <v>25000</v>
      </c>
      <c r="I1623" t="s">
        <v>41</v>
      </c>
      <c r="J1623" t="s">
        <v>72</v>
      </c>
      <c r="K1623" t="s">
        <v>36</v>
      </c>
      <c r="L1623" t="s">
        <v>54</v>
      </c>
      <c r="M1623" t="s">
        <v>90</v>
      </c>
      <c r="N1623" s="6">
        <v>1</v>
      </c>
      <c r="O1623" t="str">
        <f t="shared" si="101"/>
        <v>Normal</v>
      </c>
      <c r="P1623" t="str">
        <f t="shared" si="102"/>
        <v>Duplicate ID</v>
      </c>
      <c r="Q1623" t="str">
        <f t="shared" si="103"/>
        <v>0-4,999</v>
      </c>
      <c r="R1623" s="6">
        <f>IF(COUNTIF($A$2:A1623,A1623)=1,1,0)</f>
        <v>0</v>
      </c>
    </row>
    <row r="1624" spans="1:18" x14ac:dyDescent="0.25">
      <c r="A1624" s="6">
        <v>1243</v>
      </c>
      <c r="B1624" s="7">
        <v>44352</v>
      </c>
      <c r="C1624" t="s">
        <v>32</v>
      </c>
      <c r="D1624" s="6">
        <v>2015</v>
      </c>
      <c r="E1624" s="8">
        <v>20608</v>
      </c>
      <c r="F1624" s="8">
        <v>22000</v>
      </c>
      <c r="G1624" s="8">
        <f t="shared" si="100"/>
        <v>1392</v>
      </c>
      <c r="H1624" s="6">
        <v>40000</v>
      </c>
      <c r="I1624" t="s">
        <v>34</v>
      </c>
      <c r="J1624" t="s">
        <v>1647</v>
      </c>
      <c r="K1624" t="s">
        <v>96</v>
      </c>
      <c r="L1624" t="s">
        <v>100</v>
      </c>
      <c r="M1624" t="s">
        <v>98</v>
      </c>
      <c r="N1624" s="6">
        <v>0</v>
      </c>
      <c r="O1624" t="str">
        <f t="shared" si="101"/>
        <v>Normal</v>
      </c>
      <c r="P1624" t="str">
        <f t="shared" si="102"/>
        <v>Duplicate ID</v>
      </c>
      <c r="Q1624" t="str">
        <f t="shared" si="103"/>
        <v>20,000-24,999</v>
      </c>
      <c r="R1624" s="6">
        <f>IF(COUNTIF($A$2:A1624,A1624)=1,1,0)</f>
        <v>0</v>
      </c>
    </row>
    <row r="1625" spans="1:18" x14ac:dyDescent="0.25">
      <c r="A1625" s="6">
        <v>1330</v>
      </c>
      <c r="B1625" s="7">
        <v>44539</v>
      </c>
      <c r="C1625" t="s">
        <v>1648</v>
      </c>
      <c r="D1625" s="6">
        <v>2022</v>
      </c>
      <c r="E1625" s="8">
        <v>14239</v>
      </c>
      <c r="F1625" s="8">
        <v>18000</v>
      </c>
      <c r="G1625" s="8">
        <f t="shared" si="100"/>
        <v>3761</v>
      </c>
      <c r="H1625" s="6">
        <v>40000</v>
      </c>
      <c r="I1625" t="s">
        <v>41</v>
      </c>
      <c r="J1625" t="s">
        <v>35</v>
      </c>
      <c r="K1625" t="s">
        <v>36</v>
      </c>
      <c r="L1625" t="s">
        <v>54</v>
      </c>
      <c r="M1625" t="s">
        <v>45</v>
      </c>
      <c r="N1625" s="6">
        <v>3</v>
      </c>
      <c r="O1625" t="str">
        <f t="shared" si="101"/>
        <v>Normal</v>
      </c>
      <c r="P1625" t="str">
        <f t="shared" si="102"/>
        <v>Duplicate ID</v>
      </c>
      <c r="Q1625" t="str">
        <f t="shared" si="103"/>
        <v>10,000-14,999</v>
      </c>
      <c r="R1625" s="6">
        <f>IF(COUNTIF($A$2:A1625,A1625)=1,1,0)</f>
        <v>0</v>
      </c>
    </row>
    <row r="1626" spans="1:18" x14ac:dyDescent="0.25">
      <c r="A1626" s="6">
        <v>1436</v>
      </c>
      <c r="B1626" s="7">
        <v>44932</v>
      </c>
      <c r="C1626" t="s">
        <v>40</v>
      </c>
      <c r="D1626" s="6">
        <v>2021</v>
      </c>
      <c r="E1626" s="8">
        <v>12694</v>
      </c>
      <c r="F1626" s="8">
        <v>18000</v>
      </c>
      <c r="G1626" s="8">
        <f t="shared" si="100"/>
        <v>5306</v>
      </c>
      <c r="H1626" s="6">
        <v>80000</v>
      </c>
      <c r="I1626" t="s">
        <v>58</v>
      </c>
      <c r="J1626" t="s">
        <v>35</v>
      </c>
      <c r="K1626" t="s">
        <v>36</v>
      </c>
      <c r="L1626" t="s">
        <v>54</v>
      </c>
      <c r="M1626" t="s">
        <v>126</v>
      </c>
      <c r="N1626" s="6" t="s">
        <v>1647</v>
      </c>
      <c r="O1626" t="str">
        <f t="shared" si="101"/>
        <v>Normal</v>
      </c>
      <c r="P1626" t="str">
        <f t="shared" si="102"/>
        <v>Duplicate ID</v>
      </c>
      <c r="Q1626" t="str">
        <f t="shared" si="103"/>
        <v>10,000-14,999</v>
      </c>
      <c r="R1626" s="6">
        <f>IF(COUNTIF($A$2:A1626,A1626)=1,1,0)</f>
        <v>0</v>
      </c>
    </row>
    <row r="1627" spans="1:18" x14ac:dyDescent="0.25">
      <c r="A1627" s="6">
        <v>1213</v>
      </c>
      <c r="B1627" s="7">
        <v>45020</v>
      </c>
      <c r="C1627" t="s">
        <v>51</v>
      </c>
      <c r="D1627" s="6">
        <v>2020</v>
      </c>
      <c r="E1627" s="8">
        <v>24566</v>
      </c>
      <c r="F1627" s="8">
        <v>31000</v>
      </c>
      <c r="G1627" s="8">
        <f t="shared" si="100"/>
        <v>6434</v>
      </c>
      <c r="H1627" s="6">
        <v>40000</v>
      </c>
      <c r="I1627" t="s">
        <v>58</v>
      </c>
      <c r="J1627" t="s">
        <v>35</v>
      </c>
      <c r="K1627" t="s">
        <v>96</v>
      </c>
      <c r="L1627" t="s">
        <v>73</v>
      </c>
      <c r="M1627" t="s">
        <v>98</v>
      </c>
      <c r="N1627" s="6">
        <v>1</v>
      </c>
      <c r="O1627" t="str">
        <f t="shared" si="101"/>
        <v>Normal</v>
      </c>
      <c r="P1627" t="str">
        <f t="shared" si="102"/>
        <v>Duplicate ID</v>
      </c>
      <c r="Q1627" t="str">
        <f t="shared" si="103"/>
        <v>20,000-24,999</v>
      </c>
      <c r="R1627" s="6">
        <f>IF(COUNTIF($A$2:A1627,A1627)=1,1,0)</f>
        <v>0</v>
      </c>
    </row>
    <row r="1628" spans="1:18" x14ac:dyDescent="0.25">
      <c r="A1628" s="6">
        <v>1375</v>
      </c>
      <c r="B1628" s="7">
        <v>45026</v>
      </c>
      <c r="C1628" t="s">
        <v>79</v>
      </c>
      <c r="D1628" s="6">
        <v>2020</v>
      </c>
      <c r="E1628" s="8">
        <v>8038</v>
      </c>
      <c r="F1628" s="8">
        <v>12000</v>
      </c>
      <c r="G1628" s="8">
        <f t="shared" si="100"/>
        <v>3962</v>
      </c>
      <c r="H1628" s="6">
        <v>120000</v>
      </c>
      <c r="I1628" t="s">
        <v>41</v>
      </c>
      <c r="J1628" t="s">
        <v>35</v>
      </c>
      <c r="K1628" t="s">
        <v>36</v>
      </c>
      <c r="L1628" t="s">
        <v>54</v>
      </c>
      <c r="M1628" t="s">
        <v>45</v>
      </c>
      <c r="N1628" s="6">
        <v>0</v>
      </c>
      <c r="O1628" t="str">
        <f t="shared" si="101"/>
        <v>Normal</v>
      </c>
      <c r="P1628" t="str">
        <f t="shared" si="102"/>
        <v>Duplicate ID</v>
      </c>
      <c r="Q1628" t="str">
        <f t="shared" si="103"/>
        <v>5,000-9,999</v>
      </c>
      <c r="R1628" s="6">
        <f>IF(COUNTIF($A$2:A1628,A1628)=1,1,0)</f>
        <v>0</v>
      </c>
    </row>
    <row r="1629" spans="1:18" x14ac:dyDescent="0.25">
      <c r="A1629" s="6">
        <v>1184</v>
      </c>
      <c r="B1629" s="7">
        <v>45059</v>
      </c>
      <c r="C1629" t="s">
        <v>119</v>
      </c>
      <c r="D1629" s="6">
        <v>2014</v>
      </c>
      <c r="E1629" s="8">
        <v>19690</v>
      </c>
      <c r="F1629" s="8">
        <v>26000</v>
      </c>
      <c r="G1629" s="8">
        <f t="shared" si="100"/>
        <v>6310</v>
      </c>
      <c r="H1629" s="6">
        <v>80000</v>
      </c>
      <c r="I1629" t="s">
        <v>41</v>
      </c>
      <c r="J1629" t="s">
        <v>35</v>
      </c>
      <c r="K1629" t="s">
        <v>36</v>
      </c>
      <c r="L1629" t="s">
        <v>48</v>
      </c>
      <c r="M1629" t="s">
        <v>98</v>
      </c>
      <c r="N1629" s="6" t="s">
        <v>1647</v>
      </c>
      <c r="O1629" t="str">
        <f t="shared" si="101"/>
        <v>Normal</v>
      </c>
      <c r="P1629" t="str">
        <f t="shared" si="102"/>
        <v>Duplicate ID</v>
      </c>
      <c r="Q1629" t="str">
        <f t="shared" si="103"/>
        <v>15,000-19,999</v>
      </c>
      <c r="R1629" s="6">
        <f>IF(COUNTIF($A$2:A1629,A1629)=1,1,0)</f>
        <v>0</v>
      </c>
    </row>
    <row r="1630" spans="1:18" x14ac:dyDescent="0.25">
      <c r="A1630" s="6">
        <v>1549</v>
      </c>
      <c r="B1630" s="7">
        <v>44474</v>
      </c>
      <c r="C1630" t="s">
        <v>40</v>
      </c>
      <c r="D1630" s="6">
        <v>2018</v>
      </c>
      <c r="E1630" s="8">
        <v>13020</v>
      </c>
      <c r="F1630" s="8">
        <v>18000</v>
      </c>
      <c r="G1630" s="8">
        <f t="shared" si="100"/>
        <v>4980</v>
      </c>
      <c r="H1630" s="6">
        <v>15000</v>
      </c>
      <c r="I1630" t="s">
        <v>41</v>
      </c>
      <c r="J1630" t="s">
        <v>35</v>
      </c>
      <c r="K1630" t="s">
        <v>96</v>
      </c>
      <c r="L1630" t="s">
        <v>100</v>
      </c>
      <c r="M1630" t="s">
        <v>90</v>
      </c>
      <c r="N1630" s="6">
        <v>1</v>
      </c>
      <c r="O1630" t="str">
        <f t="shared" si="101"/>
        <v>Normal</v>
      </c>
      <c r="P1630" t="str">
        <f t="shared" si="102"/>
        <v>Duplicate ID</v>
      </c>
      <c r="Q1630" t="str">
        <f t="shared" si="103"/>
        <v>10,000-14,999</v>
      </c>
      <c r="R1630" s="6">
        <f>IF(COUNTIF($A$2:A1630,A1630)=1,1,0)</f>
        <v>0</v>
      </c>
    </row>
    <row r="1631" spans="1:18" x14ac:dyDescent="0.25">
      <c r="A1631" s="6">
        <v>1158</v>
      </c>
      <c r="B1631" s="7">
        <v>45335</v>
      </c>
      <c r="C1631" t="s">
        <v>32</v>
      </c>
      <c r="D1631" s="6">
        <v>2022</v>
      </c>
      <c r="E1631" s="8">
        <v>9567</v>
      </c>
      <c r="F1631" s="8">
        <v>12000</v>
      </c>
      <c r="G1631" s="8">
        <f t="shared" si="100"/>
        <v>2433</v>
      </c>
      <c r="H1631" s="6">
        <v>25000</v>
      </c>
      <c r="I1631" t="s">
        <v>58</v>
      </c>
      <c r="J1631" t="s">
        <v>1647</v>
      </c>
      <c r="K1631" t="s">
        <v>36</v>
      </c>
      <c r="L1631" t="s">
        <v>54</v>
      </c>
      <c r="M1631" t="s">
        <v>45</v>
      </c>
      <c r="N1631" s="6">
        <v>0</v>
      </c>
      <c r="O1631" t="str">
        <f t="shared" si="101"/>
        <v>Normal</v>
      </c>
      <c r="P1631" t="str">
        <f t="shared" si="102"/>
        <v>Duplicate ID</v>
      </c>
      <c r="Q1631" t="str">
        <f t="shared" si="103"/>
        <v>5,000-9,999</v>
      </c>
      <c r="R1631" s="6">
        <f>IF(COUNTIF($A$2:A1631,A1631)=1,1,0)</f>
        <v>0</v>
      </c>
    </row>
    <row r="1632" spans="1:18" x14ac:dyDescent="0.25">
      <c r="A1632" s="6">
        <v>1274</v>
      </c>
      <c r="B1632" s="7">
        <v>45332</v>
      </c>
      <c r="C1632" t="s">
        <v>40</v>
      </c>
      <c r="D1632" s="6">
        <v>2018</v>
      </c>
      <c r="E1632" s="8">
        <v>2051</v>
      </c>
      <c r="F1632" s="8">
        <v>9000</v>
      </c>
      <c r="G1632" s="8">
        <f t="shared" si="100"/>
        <v>6949</v>
      </c>
      <c r="H1632" s="6">
        <v>15000</v>
      </c>
      <c r="I1632" t="s">
        <v>41</v>
      </c>
      <c r="J1632" t="s">
        <v>35</v>
      </c>
      <c r="K1632" t="s">
        <v>36</v>
      </c>
      <c r="L1632" t="s">
        <v>54</v>
      </c>
      <c r="M1632" t="s">
        <v>126</v>
      </c>
      <c r="N1632" s="6">
        <v>2</v>
      </c>
      <c r="O1632" t="str">
        <f t="shared" si="101"/>
        <v>Normal</v>
      </c>
      <c r="P1632" t="str">
        <f t="shared" si="102"/>
        <v>Duplicate ID</v>
      </c>
      <c r="Q1632" t="str">
        <f t="shared" si="103"/>
        <v>0-4,999</v>
      </c>
      <c r="R1632" s="6">
        <f>IF(COUNTIF($A$2:A1632,A1632)=1,1,0)</f>
        <v>0</v>
      </c>
    </row>
    <row r="1633" spans="1:18" x14ac:dyDescent="0.25">
      <c r="A1633" s="6">
        <v>1134</v>
      </c>
      <c r="B1633" s="7">
        <v>45283</v>
      </c>
      <c r="C1633" t="s">
        <v>57</v>
      </c>
      <c r="D1633" s="6">
        <v>2019</v>
      </c>
      <c r="E1633" s="8">
        <v>28651</v>
      </c>
      <c r="F1633" s="8">
        <v>31000</v>
      </c>
      <c r="G1633" s="8">
        <f t="shared" si="100"/>
        <v>2349</v>
      </c>
      <c r="H1633" s="6">
        <v>25000</v>
      </c>
      <c r="I1633" t="s">
        <v>69</v>
      </c>
      <c r="J1633" t="s">
        <v>35</v>
      </c>
      <c r="K1633" t="s">
        <v>96</v>
      </c>
      <c r="L1633" t="s">
        <v>48</v>
      </c>
      <c r="M1633" t="s">
        <v>1647</v>
      </c>
      <c r="N1633" s="6">
        <v>0</v>
      </c>
      <c r="O1633" t="str">
        <f t="shared" si="101"/>
        <v>Normal</v>
      </c>
      <c r="P1633" t="str">
        <f t="shared" si="102"/>
        <v>Duplicate ID</v>
      </c>
      <c r="Q1633" t="str">
        <f t="shared" si="103"/>
        <v>25,000-30,000</v>
      </c>
      <c r="R1633" s="6">
        <f>IF(COUNTIF($A$2:A1633,A1633)=1,1,0)</f>
        <v>0</v>
      </c>
    </row>
    <row r="1634" spans="1:18" x14ac:dyDescent="0.25">
      <c r="A1634" s="6">
        <v>1017</v>
      </c>
      <c r="B1634" s="7">
        <v>45303</v>
      </c>
      <c r="C1634" t="s">
        <v>1648</v>
      </c>
      <c r="D1634" s="6">
        <v>2022</v>
      </c>
      <c r="E1634" s="8">
        <v>12955</v>
      </c>
      <c r="F1634" s="8">
        <v>15000</v>
      </c>
      <c r="G1634" s="8">
        <f t="shared" si="100"/>
        <v>2045</v>
      </c>
      <c r="H1634" s="6">
        <v>15000</v>
      </c>
      <c r="I1634" t="s">
        <v>69</v>
      </c>
      <c r="J1634" t="s">
        <v>72</v>
      </c>
      <c r="K1634" t="s">
        <v>36</v>
      </c>
      <c r="L1634" t="s">
        <v>54</v>
      </c>
      <c r="M1634" t="s">
        <v>126</v>
      </c>
      <c r="N1634" s="6" t="s">
        <v>1647</v>
      </c>
      <c r="O1634" t="str">
        <f t="shared" si="101"/>
        <v>Normal</v>
      </c>
      <c r="P1634" t="str">
        <f t="shared" si="102"/>
        <v>Duplicate ID</v>
      </c>
      <c r="Q1634" t="str">
        <f t="shared" si="103"/>
        <v>10,000-14,999</v>
      </c>
      <c r="R1634" s="6">
        <f>IF(COUNTIF($A$2:A1634,A1634)=1,1,0)</f>
        <v>0</v>
      </c>
    </row>
    <row r="1635" spans="1:18" x14ac:dyDescent="0.25">
      <c r="A1635" s="6">
        <v>1480</v>
      </c>
      <c r="B1635" s="7">
        <v>44786</v>
      </c>
      <c r="C1635" t="s">
        <v>51</v>
      </c>
      <c r="D1635" s="6">
        <v>2016</v>
      </c>
      <c r="E1635" s="8">
        <v>5849</v>
      </c>
      <c r="F1635" s="8">
        <v>9000</v>
      </c>
      <c r="G1635" s="8">
        <f t="shared" si="100"/>
        <v>3151</v>
      </c>
      <c r="H1635" s="6">
        <v>120000</v>
      </c>
      <c r="I1635" t="s">
        <v>58</v>
      </c>
      <c r="J1635" t="s">
        <v>1647</v>
      </c>
      <c r="K1635" t="s">
        <v>36</v>
      </c>
      <c r="L1635" t="s">
        <v>100</v>
      </c>
      <c r="M1635" t="s">
        <v>126</v>
      </c>
      <c r="N1635" s="6" t="s">
        <v>1647</v>
      </c>
      <c r="O1635" t="str">
        <f t="shared" si="101"/>
        <v>Normal</v>
      </c>
      <c r="P1635" t="str">
        <f t="shared" si="102"/>
        <v>Duplicate ID</v>
      </c>
      <c r="Q1635" t="str">
        <f t="shared" si="103"/>
        <v>5,000-9,999</v>
      </c>
      <c r="R1635" s="6">
        <f>IF(COUNTIF($A$2:A1635,A1635)=1,1,0)</f>
        <v>0</v>
      </c>
    </row>
    <row r="1636" spans="1:18" x14ac:dyDescent="0.25">
      <c r="A1636" s="6">
        <v>1572</v>
      </c>
      <c r="B1636" s="7">
        <v>45216</v>
      </c>
      <c r="C1636" t="s">
        <v>119</v>
      </c>
      <c r="D1636" s="6">
        <v>2014</v>
      </c>
      <c r="E1636" s="8">
        <v>22180</v>
      </c>
      <c r="F1636" s="8">
        <v>26000</v>
      </c>
      <c r="G1636" s="8">
        <f t="shared" si="100"/>
        <v>3820</v>
      </c>
      <c r="H1636" s="6">
        <v>25000</v>
      </c>
      <c r="I1636" t="s">
        <v>58</v>
      </c>
      <c r="J1636" t="s">
        <v>72</v>
      </c>
      <c r="K1636" t="s">
        <v>1647</v>
      </c>
      <c r="L1636" t="s">
        <v>73</v>
      </c>
      <c r="M1636" t="s">
        <v>90</v>
      </c>
      <c r="N1636" s="6">
        <v>0</v>
      </c>
      <c r="O1636" t="str">
        <f t="shared" si="101"/>
        <v>Normal</v>
      </c>
      <c r="P1636" t="str">
        <f t="shared" si="102"/>
        <v>Duplicate ID</v>
      </c>
      <c r="Q1636" t="str">
        <f t="shared" si="103"/>
        <v>20,000-24,999</v>
      </c>
      <c r="R1636" s="6">
        <f>IF(COUNTIF($A$2:A1636,A1636)=1,1,0)</f>
        <v>0</v>
      </c>
    </row>
    <row r="1637" spans="1:18" x14ac:dyDescent="0.25">
      <c r="A1637" s="6">
        <v>1589</v>
      </c>
      <c r="B1637" s="7">
        <v>45021</v>
      </c>
      <c r="C1637" t="s">
        <v>119</v>
      </c>
      <c r="D1637" s="6">
        <v>2018</v>
      </c>
      <c r="E1637" s="8">
        <v>28038</v>
      </c>
      <c r="F1637" s="8">
        <v>31000</v>
      </c>
      <c r="G1637" s="8">
        <f t="shared" si="100"/>
        <v>2962</v>
      </c>
      <c r="H1637" s="6">
        <v>40000</v>
      </c>
      <c r="I1637" t="s">
        <v>69</v>
      </c>
      <c r="J1637" t="s">
        <v>72</v>
      </c>
      <c r="K1637" t="s">
        <v>96</v>
      </c>
      <c r="L1637" t="s">
        <v>54</v>
      </c>
      <c r="M1637" t="s">
        <v>126</v>
      </c>
      <c r="N1637" s="6" t="s">
        <v>1647</v>
      </c>
      <c r="O1637" t="str">
        <f t="shared" si="101"/>
        <v>Normal</v>
      </c>
      <c r="P1637" t="str">
        <f t="shared" si="102"/>
        <v>Duplicate ID</v>
      </c>
      <c r="Q1637" t="str">
        <f t="shared" si="103"/>
        <v>25,000-30,000</v>
      </c>
      <c r="R1637" s="6">
        <f>IF(COUNTIF($A$2:A1637,A1637)=1,1,0)</f>
        <v>0</v>
      </c>
    </row>
    <row r="1638" spans="1:18" x14ac:dyDescent="0.25">
      <c r="A1638" s="6">
        <v>1580</v>
      </c>
      <c r="B1638" s="7">
        <v>45077</v>
      </c>
      <c r="C1638" t="s">
        <v>119</v>
      </c>
      <c r="D1638" s="6">
        <v>2016</v>
      </c>
      <c r="E1638" s="8">
        <v>1063</v>
      </c>
      <c r="F1638" s="8">
        <v>7000</v>
      </c>
      <c r="G1638" s="8">
        <f t="shared" si="100"/>
        <v>5937</v>
      </c>
      <c r="H1638" s="6">
        <v>60000</v>
      </c>
      <c r="I1638" t="s">
        <v>58</v>
      </c>
      <c r="J1638" t="s">
        <v>1647</v>
      </c>
      <c r="K1638" t="s">
        <v>1647</v>
      </c>
      <c r="L1638" t="s">
        <v>1647</v>
      </c>
      <c r="M1638" t="s">
        <v>98</v>
      </c>
      <c r="N1638" s="6">
        <v>0</v>
      </c>
      <c r="O1638" t="str">
        <f t="shared" si="101"/>
        <v>Normal</v>
      </c>
      <c r="P1638" t="str">
        <f t="shared" si="102"/>
        <v>Duplicate ID</v>
      </c>
      <c r="Q1638" t="str">
        <f t="shared" si="103"/>
        <v>0-4,999</v>
      </c>
      <c r="R1638" s="6">
        <f>IF(COUNTIF($A$2:A1638,A1638)=1,1,0)</f>
        <v>0</v>
      </c>
    </row>
    <row r="1639" spans="1:18" x14ac:dyDescent="0.25">
      <c r="A1639" s="6">
        <v>1470</v>
      </c>
      <c r="B1639" s="7">
        <v>45057</v>
      </c>
      <c r="C1639" t="s">
        <v>79</v>
      </c>
      <c r="D1639" s="6">
        <v>2015</v>
      </c>
      <c r="E1639" s="8">
        <v>3284</v>
      </c>
      <c r="F1639" s="8">
        <v>7000</v>
      </c>
      <c r="G1639" s="8">
        <f t="shared" si="100"/>
        <v>3716</v>
      </c>
      <c r="H1639" s="6">
        <v>60000</v>
      </c>
      <c r="I1639" t="s">
        <v>1647</v>
      </c>
      <c r="J1639" t="s">
        <v>35</v>
      </c>
      <c r="K1639" t="s">
        <v>36</v>
      </c>
      <c r="L1639" t="s">
        <v>48</v>
      </c>
      <c r="M1639" t="s">
        <v>45</v>
      </c>
      <c r="N1639" s="6">
        <v>1</v>
      </c>
      <c r="O1639" t="str">
        <f t="shared" si="101"/>
        <v>Normal</v>
      </c>
      <c r="P1639" t="str">
        <f t="shared" si="102"/>
        <v>Duplicate ID</v>
      </c>
      <c r="Q1639" t="str">
        <f t="shared" si="103"/>
        <v>0-4,999</v>
      </c>
      <c r="R1639" s="6">
        <f>IF(COUNTIF($A$2:A1639,A1639)=1,1,0)</f>
        <v>0</v>
      </c>
    </row>
    <row r="1640" spans="1:18" x14ac:dyDescent="0.25">
      <c r="A1640" s="6">
        <v>1070</v>
      </c>
      <c r="B1640" s="7">
        <v>45344</v>
      </c>
      <c r="C1640" t="s">
        <v>1648</v>
      </c>
      <c r="D1640" s="6">
        <v>2020</v>
      </c>
      <c r="E1640" s="8">
        <v>4574</v>
      </c>
      <c r="F1640" s="8">
        <v>9000</v>
      </c>
      <c r="G1640" s="8">
        <f t="shared" si="100"/>
        <v>4426</v>
      </c>
      <c r="H1640" s="6">
        <v>25000</v>
      </c>
      <c r="I1640" t="s">
        <v>69</v>
      </c>
      <c r="J1640" t="s">
        <v>35</v>
      </c>
      <c r="K1640" t="s">
        <v>36</v>
      </c>
      <c r="L1640" t="s">
        <v>1647</v>
      </c>
      <c r="M1640" t="s">
        <v>45</v>
      </c>
      <c r="N1640" s="6">
        <v>1</v>
      </c>
      <c r="O1640" t="str">
        <f t="shared" si="101"/>
        <v>Normal</v>
      </c>
      <c r="P1640" t="str">
        <f t="shared" si="102"/>
        <v>Duplicate ID</v>
      </c>
      <c r="Q1640" t="str">
        <f t="shared" si="103"/>
        <v>0-4,999</v>
      </c>
      <c r="R1640" s="6">
        <f>IF(COUNTIF($A$2:A1640,A1640)=1,1,0)</f>
        <v>0</v>
      </c>
    </row>
    <row r="1641" spans="1:18" x14ac:dyDescent="0.25">
      <c r="A1641" s="6">
        <v>1302</v>
      </c>
      <c r="B1641" s="7">
        <v>45011</v>
      </c>
      <c r="C1641" t="s">
        <v>1648</v>
      </c>
      <c r="D1641" s="6">
        <v>2020</v>
      </c>
      <c r="E1641" s="8">
        <v>5980</v>
      </c>
      <c r="F1641" s="8">
        <v>12000</v>
      </c>
      <c r="G1641" s="8">
        <f t="shared" si="100"/>
        <v>6020</v>
      </c>
      <c r="H1641" s="6">
        <v>120000</v>
      </c>
      <c r="I1641" t="s">
        <v>58</v>
      </c>
      <c r="J1641" t="s">
        <v>72</v>
      </c>
      <c r="K1641" t="s">
        <v>36</v>
      </c>
      <c r="L1641" t="s">
        <v>1647</v>
      </c>
      <c r="M1641" t="s">
        <v>45</v>
      </c>
      <c r="N1641" s="6">
        <v>1</v>
      </c>
      <c r="O1641" t="str">
        <f t="shared" si="101"/>
        <v>Normal</v>
      </c>
      <c r="P1641" t="str">
        <f t="shared" si="102"/>
        <v>Duplicate ID</v>
      </c>
      <c r="Q1641" t="str">
        <f t="shared" si="103"/>
        <v>5,000-9,999</v>
      </c>
      <c r="R1641" s="6">
        <f>IF(COUNTIF($A$2:A1641,A1641)=1,1,0)</f>
        <v>0</v>
      </c>
    </row>
    <row r="1642" spans="1:18" x14ac:dyDescent="0.25">
      <c r="A1642" s="6">
        <v>1524</v>
      </c>
      <c r="B1642" s="7">
        <v>44814</v>
      </c>
      <c r="C1642" t="s">
        <v>119</v>
      </c>
      <c r="D1642" s="6">
        <v>2016</v>
      </c>
      <c r="E1642" s="8">
        <v>15259</v>
      </c>
      <c r="F1642" s="8">
        <v>18000</v>
      </c>
      <c r="G1642" s="8">
        <f t="shared" si="100"/>
        <v>2741</v>
      </c>
      <c r="H1642" s="6">
        <v>25000</v>
      </c>
      <c r="I1642" t="s">
        <v>58</v>
      </c>
      <c r="J1642" t="s">
        <v>72</v>
      </c>
      <c r="K1642" t="s">
        <v>36</v>
      </c>
      <c r="L1642" t="s">
        <v>54</v>
      </c>
      <c r="M1642" t="s">
        <v>45</v>
      </c>
      <c r="N1642" s="6">
        <v>1</v>
      </c>
      <c r="O1642" t="str">
        <f t="shared" si="101"/>
        <v>Normal</v>
      </c>
      <c r="P1642" t="str">
        <f t="shared" si="102"/>
        <v>Duplicate ID</v>
      </c>
      <c r="Q1642" t="str">
        <f t="shared" si="103"/>
        <v>15,000-19,999</v>
      </c>
      <c r="R1642" s="6">
        <f>IF(COUNTIF($A$2:A1642,A1642)=1,1,0)</f>
        <v>0</v>
      </c>
    </row>
    <row r="1643" spans="1:18" x14ac:dyDescent="0.25">
      <c r="A1643" s="6">
        <v>1322</v>
      </c>
      <c r="B1643" s="7">
        <v>44889</v>
      </c>
      <c r="C1643" t="s">
        <v>79</v>
      </c>
      <c r="D1643" s="6"/>
      <c r="E1643" s="8">
        <v>3621</v>
      </c>
      <c r="F1643" s="8">
        <v>9000</v>
      </c>
      <c r="G1643" s="8">
        <f t="shared" si="100"/>
        <v>5379</v>
      </c>
      <c r="H1643" s="6">
        <v>40000</v>
      </c>
      <c r="I1643" t="s">
        <v>41</v>
      </c>
      <c r="J1643" t="s">
        <v>72</v>
      </c>
      <c r="K1643" t="s">
        <v>36</v>
      </c>
      <c r="L1643" t="s">
        <v>48</v>
      </c>
      <c r="M1643" t="s">
        <v>98</v>
      </c>
      <c r="N1643" s="6">
        <v>0</v>
      </c>
      <c r="O1643" t="str">
        <f t="shared" si="101"/>
        <v>Normal</v>
      </c>
      <c r="P1643" t="str">
        <f t="shared" si="102"/>
        <v>Duplicate ID</v>
      </c>
      <c r="Q1643" t="str">
        <f t="shared" si="103"/>
        <v>0-4,999</v>
      </c>
      <c r="R1643" s="6">
        <f>IF(COUNTIF($A$2:A1643,A1643)=1,1,0)</f>
        <v>0</v>
      </c>
    </row>
    <row r="1644" spans="1:18" x14ac:dyDescent="0.25">
      <c r="A1644" s="6">
        <v>1244</v>
      </c>
      <c r="B1644" s="7">
        <v>44322</v>
      </c>
      <c r="C1644" t="s">
        <v>57</v>
      </c>
      <c r="D1644" s="6">
        <v>2018</v>
      </c>
      <c r="E1644" s="8">
        <v>7296</v>
      </c>
      <c r="F1644" s="8">
        <v>12000</v>
      </c>
      <c r="G1644" s="8">
        <f t="shared" si="100"/>
        <v>4704</v>
      </c>
      <c r="H1644" s="6">
        <v>40000</v>
      </c>
      <c r="I1644" t="s">
        <v>69</v>
      </c>
      <c r="J1644" t="s">
        <v>1647</v>
      </c>
      <c r="K1644" t="s">
        <v>96</v>
      </c>
      <c r="L1644" t="s">
        <v>54</v>
      </c>
      <c r="M1644" t="s">
        <v>90</v>
      </c>
      <c r="N1644" s="6">
        <v>1</v>
      </c>
      <c r="O1644" t="str">
        <f t="shared" si="101"/>
        <v>Normal</v>
      </c>
      <c r="P1644" t="str">
        <f t="shared" si="102"/>
        <v>Duplicate ID</v>
      </c>
      <c r="Q1644" t="str">
        <f t="shared" si="103"/>
        <v>5,000-9,999</v>
      </c>
      <c r="R1644" s="6">
        <f>IF(COUNTIF($A$2:A1644,A1644)=1,1,0)</f>
        <v>1</v>
      </c>
    </row>
    <row r="1645" spans="1:18" x14ac:dyDescent="0.25">
      <c r="A1645" s="6">
        <v>1047</v>
      </c>
      <c r="B1645" s="7">
        <v>44660</v>
      </c>
      <c r="C1645" t="s">
        <v>40</v>
      </c>
      <c r="D1645" s="6">
        <v>2019</v>
      </c>
      <c r="E1645" s="8">
        <v>7831</v>
      </c>
      <c r="F1645" s="8">
        <v>12000</v>
      </c>
      <c r="G1645" s="8">
        <f t="shared" si="100"/>
        <v>4169</v>
      </c>
      <c r="H1645" s="6">
        <v>80000</v>
      </c>
      <c r="I1645" t="s">
        <v>34</v>
      </c>
      <c r="J1645" t="s">
        <v>72</v>
      </c>
      <c r="K1645" t="s">
        <v>36</v>
      </c>
      <c r="L1645" t="s">
        <v>73</v>
      </c>
      <c r="M1645" t="s">
        <v>98</v>
      </c>
      <c r="N1645" s="6">
        <v>1</v>
      </c>
      <c r="O1645" t="str">
        <f t="shared" si="101"/>
        <v>Normal</v>
      </c>
      <c r="P1645" t="str">
        <f t="shared" si="102"/>
        <v>Unique ID</v>
      </c>
      <c r="Q1645" t="str">
        <f t="shared" si="103"/>
        <v>5,000-9,999</v>
      </c>
      <c r="R1645" s="6">
        <f>IF(COUNTIF($A$2:A1645,A1645)=1,1,0)</f>
        <v>1</v>
      </c>
    </row>
    <row r="1646" spans="1:18" x14ac:dyDescent="0.25">
      <c r="A1646" s="6">
        <v>1134</v>
      </c>
      <c r="B1646" s="7">
        <v>44481</v>
      </c>
      <c r="C1646" t="s">
        <v>32</v>
      </c>
      <c r="D1646" s="6">
        <v>2021</v>
      </c>
      <c r="E1646" s="8">
        <v>12083</v>
      </c>
      <c r="F1646" s="8">
        <v>18000</v>
      </c>
      <c r="G1646" s="8">
        <f t="shared" si="100"/>
        <v>5917</v>
      </c>
      <c r="H1646" s="6">
        <v>25000</v>
      </c>
      <c r="I1646" t="s">
        <v>58</v>
      </c>
      <c r="J1646" t="s">
        <v>35</v>
      </c>
      <c r="K1646" t="s">
        <v>96</v>
      </c>
      <c r="L1646" t="s">
        <v>100</v>
      </c>
      <c r="M1646" t="s">
        <v>90</v>
      </c>
      <c r="N1646" s="6">
        <v>3</v>
      </c>
      <c r="O1646" t="str">
        <f t="shared" si="101"/>
        <v>Normal</v>
      </c>
      <c r="P1646" t="str">
        <f t="shared" si="102"/>
        <v>Duplicate ID</v>
      </c>
      <c r="Q1646" t="str">
        <f t="shared" si="103"/>
        <v>10,000-14,999</v>
      </c>
      <c r="R1646" s="6">
        <f>IF(COUNTIF($A$2:A1646,A1646)=1,1,0)</f>
        <v>0</v>
      </c>
    </row>
    <row r="1647" spans="1:18" x14ac:dyDescent="0.25">
      <c r="A1647" s="6">
        <v>1226</v>
      </c>
      <c r="B1647" s="7">
        <v>45008</v>
      </c>
      <c r="C1647" t="s">
        <v>79</v>
      </c>
      <c r="D1647" s="6"/>
      <c r="E1647" s="8">
        <v>13960</v>
      </c>
      <c r="F1647" s="8">
        <v>15000</v>
      </c>
      <c r="G1647" s="8">
        <f t="shared" si="100"/>
        <v>1040</v>
      </c>
      <c r="H1647" s="6">
        <v>60000</v>
      </c>
      <c r="I1647" t="s">
        <v>58</v>
      </c>
      <c r="J1647" t="s">
        <v>35</v>
      </c>
      <c r="K1647" t="s">
        <v>36</v>
      </c>
      <c r="L1647" t="s">
        <v>100</v>
      </c>
      <c r="M1647" t="s">
        <v>1647</v>
      </c>
      <c r="N1647" s="6">
        <v>0</v>
      </c>
      <c r="O1647" t="str">
        <f t="shared" si="101"/>
        <v>Normal</v>
      </c>
      <c r="P1647" t="str">
        <f t="shared" si="102"/>
        <v>Duplicate ID</v>
      </c>
      <c r="Q1647" t="str">
        <f t="shared" si="103"/>
        <v>10,000-14,999</v>
      </c>
      <c r="R1647" s="6">
        <f>IF(COUNTIF($A$2:A1647,A1647)=1,1,0)</f>
        <v>0</v>
      </c>
    </row>
    <row r="1648" spans="1:18" x14ac:dyDescent="0.25">
      <c r="A1648" s="6">
        <v>1046</v>
      </c>
      <c r="B1648" s="7">
        <v>44506</v>
      </c>
      <c r="C1648" t="s">
        <v>51</v>
      </c>
      <c r="D1648" s="6">
        <v>2022</v>
      </c>
      <c r="E1648" s="8">
        <v>19485</v>
      </c>
      <c r="F1648" s="8">
        <v>22000</v>
      </c>
      <c r="G1648" s="8">
        <f t="shared" si="100"/>
        <v>2515</v>
      </c>
      <c r="H1648" s="6">
        <v>15000</v>
      </c>
      <c r="I1648" t="s">
        <v>58</v>
      </c>
      <c r="J1648" t="s">
        <v>35</v>
      </c>
      <c r="K1648" t="s">
        <v>36</v>
      </c>
      <c r="L1648" t="s">
        <v>54</v>
      </c>
      <c r="M1648" t="s">
        <v>90</v>
      </c>
      <c r="N1648" s="6">
        <v>3</v>
      </c>
      <c r="O1648" t="str">
        <f t="shared" si="101"/>
        <v>Normal</v>
      </c>
      <c r="P1648" t="str">
        <f t="shared" si="102"/>
        <v>Duplicate ID</v>
      </c>
      <c r="Q1648" t="str">
        <f t="shared" si="103"/>
        <v>15,000-19,999</v>
      </c>
      <c r="R1648" s="6">
        <f>IF(COUNTIF($A$2:A1648,A1648)=1,1,0)</f>
        <v>0</v>
      </c>
    </row>
    <row r="1649" spans="1:18" x14ac:dyDescent="0.25">
      <c r="A1649" s="6">
        <v>1188</v>
      </c>
      <c r="B1649" s="7">
        <v>44241</v>
      </c>
      <c r="C1649" t="s">
        <v>1648</v>
      </c>
      <c r="D1649" s="6">
        <v>2015</v>
      </c>
      <c r="E1649" s="8">
        <v>5524</v>
      </c>
      <c r="F1649" s="8">
        <v>7000</v>
      </c>
      <c r="G1649" s="8">
        <f t="shared" si="100"/>
        <v>1476</v>
      </c>
      <c r="H1649" s="6">
        <v>15000</v>
      </c>
      <c r="I1649" t="s">
        <v>34</v>
      </c>
      <c r="J1649" t="s">
        <v>35</v>
      </c>
      <c r="K1649" t="s">
        <v>36</v>
      </c>
      <c r="L1649" t="s">
        <v>54</v>
      </c>
      <c r="M1649" t="s">
        <v>98</v>
      </c>
      <c r="N1649" s="6">
        <v>2</v>
      </c>
      <c r="O1649" t="str">
        <f t="shared" si="101"/>
        <v>Normal</v>
      </c>
      <c r="P1649" t="str">
        <f t="shared" si="102"/>
        <v>Duplicate ID</v>
      </c>
      <c r="Q1649" t="str">
        <f t="shared" si="103"/>
        <v>5,000-9,999</v>
      </c>
      <c r="R1649" s="6">
        <f>IF(COUNTIF($A$2:A1649,A1649)=1,1,0)</f>
        <v>0</v>
      </c>
    </row>
    <row r="1650" spans="1:18" x14ac:dyDescent="0.25">
      <c r="A1650" s="6">
        <v>1002</v>
      </c>
      <c r="B1650" s="7">
        <v>44830</v>
      </c>
      <c r="C1650" t="s">
        <v>1648</v>
      </c>
      <c r="D1650" s="6">
        <v>2015</v>
      </c>
      <c r="E1650" s="8">
        <v>16088</v>
      </c>
      <c r="F1650" s="8">
        <v>22000</v>
      </c>
      <c r="G1650" s="8">
        <f t="shared" si="100"/>
        <v>5912</v>
      </c>
      <c r="H1650" s="6">
        <v>40000</v>
      </c>
      <c r="I1650" t="s">
        <v>58</v>
      </c>
      <c r="J1650" t="s">
        <v>35</v>
      </c>
      <c r="K1650" t="s">
        <v>36</v>
      </c>
      <c r="L1650" t="s">
        <v>54</v>
      </c>
      <c r="M1650" t="s">
        <v>45</v>
      </c>
      <c r="N1650" s="6">
        <v>1</v>
      </c>
      <c r="O1650" t="str">
        <f t="shared" si="101"/>
        <v>Normal</v>
      </c>
      <c r="P1650" t="str">
        <f t="shared" si="102"/>
        <v>Duplicate ID</v>
      </c>
      <c r="Q1650" t="str">
        <f t="shared" si="103"/>
        <v>15,000-19,999</v>
      </c>
      <c r="R1650" s="6">
        <f>IF(COUNTIF($A$2:A1650,A1650)=1,1,0)</f>
        <v>0</v>
      </c>
    </row>
    <row r="1651" spans="1:18" x14ac:dyDescent="0.25">
      <c r="A1651" s="6">
        <v>1476</v>
      </c>
      <c r="B1651" s="7">
        <v>45156</v>
      </c>
      <c r="C1651" t="s">
        <v>32</v>
      </c>
      <c r="D1651" s="6">
        <v>2017</v>
      </c>
      <c r="E1651" s="8">
        <v>2668</v>
      </c>
      <c r="F1651" s="8">
        <v>9000</v>
      </c>
      <c r="G1651" s="8">
        <f t="shared" si="100"/>
        <v>6332</v>
      </c>
      <c r="H1651" s="6">
        <v>60000</v>
      </c>
      <c r="I1651" t="s">
        <v>69</v>
      </c>
      <c r="J1651" t="s">
        <v>72</v>
      </c>
      <c r="K1651" t="s">
        <v>96</v>
      </c>
      <c r="L1651" t="s">
        <v>48</v>
      </c>
      <c r="M1651" t="s">
        <v>45</v>
      </c>
      <c r="N1651" s="6">
        <v>1</v>
      </c>
      <c r="O1651" t="str">
        <f t="shared" si="101"/>
        <v>Normal</v>
      </c>
      <c r="P1651" t="str">
        <f t="shared" si="102"/>
        <v>Duplicate ID</v>
      </c>
      <c r="Q1651" t="str">
        <f t="shared" si="103"/>
        <v>0-4,999</v>
      </c>
      <c r="R1651" s="6">
        <f>IF(COUNTIF($A$2:A1651,A1651)=1,1,0)</f>
        <v>1</v>
      </c>
    </row>
    <row r="1652" spans="1:18" x14ac:dyDescent="0.25">
      <c r="A1652" s="6">
        <v>1200</v>
      </c>
      <c r="B1652" s="7">
        <v>44919</v>
      </c>
      <c r="C1652" t="s">
        <v>1648</v>
      </c>
      <c r="D1652" s="6">
        <v>2014</v>
      </c>
      <c r="E1652" s="8">
        <v>5578</v>
      </c>
      <c r="F1652" s="8">
        <v>9000</v>
      </c>
      <c r="G1652" s="8">
        <f t="shared" si="100"/>
        <v>3422</v>
      </c>
      <c r="H1652" s="6">
        <v>80000</v>
      </c>
      <c r="I1652" t="s">
        <v>41</v>
      </c>
      <c r="J1652" t="s">
        <v>72</v>
      </c>
      <c r="K1652" t="s">
        <v>96</v>
      </c>
      <c r="L1652" t="s">
        <v>48</v>
      </c>
      <c r="M1652" t="s">
        <v>98</v>
      </c>
      <c r="N1652" s="6">
        <v>3</v>
      </c>
      <c r="O1652" t="str">
        <f t="shared" si="101"/>
        <v>Normal</v>
      </c>
      <c r="P1652" t="str">
        <f t="shared" si="102"/>
        <v>Duplicate ID</v>
      </c>
      <c r="Q1652" t="str">
        <f t="shared" si="103"/>
        <v>5,000-9,999</v>
      </c>
      <c r="R1652" s="6">
        <f>IF(COUNTIF($A$2:A1652,A1652)=1,1,0)</f>
        <v>0</v>
      </c>
    </row>
    <row r="1653" spans="1:18" x14ac:dyDescent="0.25">
      <c r="A1653" s="6">
        <v>1428</v>
      </c>
      <c r="B1653" s="7">
        <v>45161</v>
      </c>
      <c r="C1653" t="s">
        <v>51</v>
      </c>
      <c r="D1653" s="6">
        <v>2014</v>
      </c>
      <c r="E1653" s="8">
        <v>15603</v>
      </c>
      <c r="F1653" s="8">
        <v>22000</v>
      </c>
      <c r="G1653" s="8">
        <f t="shared" si="100"/>
        <v>6397</v>
      </c>
      <c r="H1653" s="6">
        <v>25000</v>
      </c>
      <c r="I1653" t="s">
        <v>41</v>
      </c>
      <c r="J1653" t="s">
        <v>72</v>
      </c>
      <c r="K1653" t="s">
        <v>96</v>
      </c>
      <c r="L1653" t="s">
        <v>1647</v>
      </c>
      <c r="M1653" t="s">
        <v>126</v>
      </c>
      <c r="N1653" s="6">
        <v>3</v>
      </c>
      <c r="O1653" t="str">
        <f t="shared" si="101"/>
        <v>Normal</v>
      </c>
      <c r="P1653" t="str">
        <f t="shared" si="102"/>
        <v>Duplicate ID</v>
      </c>
      <c r="Q1653" t="str">
        <f t="shared" si="103"/>
        <v>15,000-19,999</v>
      </c>
      <c r="R1653" s="6">
        <f>IF(COUNTIF($A$2:A1653,A1653)=1,1,0)</f>
        <v>0</v>
      </c>
    </row>
    <row r="1654" spans="1:18" x14ac:dyDescent="0.25">
      <c r="A1654" s="6">
        <v>1070</v>
      </c>
      <c r="B1654" s="7">
        <v>44700</v>
      </c>
      <c r="C1654" t="s">
        <v>40</v>
      </c>
      <c r="D1654" s="6"/>
      <c r="E1654" s="8">
        <v>4919</v>
      </c>
      <c r="F1654" s="8">
        <v>7000</v>
      </c>
      <c r="G1654" s="8">
        <f t="shared" si="100"/>
        <v>2081</v>
      </c>
      <c r="H1654" s="6">
        <v>25000</v>
      </c>
      <c r="I1654" t="s">
        <v>1647</v>
      </c>
      <c r="J1654" t="s">
        <v>35</v>
      </c>
      <c r="K1654" t="s">
        <v>96</v>
      </c>
      <c r="L1654" t="s">
        <v>48</v>
      </c>
      <c r="M1654" t="s">
        <v>98</v>
      </c>
      <c r="N1654" s="6">
        <v>1</v>
      </c>
      <c r="O1654" t="str">
        <f t="shared" si="101"/>
        <v>Normal</v>
      </c>
      <c r="P1654" t="str">
        <f t="shared" si="102"/>
        <v>Duplicate ID</v>
      </c>
      <c r="Q1654" t="str">
        <f t="shared" si="103"/>
        <v>0-4,999</v>
      </c>
      <c r="R1654" s="6">
        <f>IF(COUNTIF($A$2:A1654,A1654)=1,1,0)</f>
        <v>0</v>
      </c>
    </row>
    <row r="1655" spans="1:18" x14ac:dyDescent="0.25">
      <c r="A1655" s="6">
        <v>1126</v>
      </c>
      <c r="B1655" s="7">
        <v>45192</v>
      </c>
      <c r="C1655" t="s">
        <v>51</v>
      </c>
      <c r="D1655" s="6">
        <v>2017</v>
      </c>
      <c r="E1655" s="8">
        <v>9375</v>
      </c>
      <c r="F1655" s="8">
        <v>12000</v>
      </c>
      <c r="G1655" s="8">
        <f t="shared" si="100"/>
        <v>2625</v>
      </c>
      <c r="H1655" s="6">
        <v>25000</v>
      </c>
      <c r="I1655" t="s">
        <v>58</v>
      </c>
      <c r="J1655" t="s">
        <v>72</v>
      </c>
      <c r="K1655" t="s">
        <v>1647</v>
      </c>
      <c r="L1655" t="s">
        <v>54</v>
      </c>
      <c r="M1655" t="s">
        <v>1647</v>
      </c>
      <c r="N1655" s="6">
        <v>2</v>
      </c>
      <c r="O1655" t="str">
        <f t="shared" si="101"/>
        <v>Normal</v>
      </c>
      <c r="P1655" t="str">
        <f t="shared" si="102"/>
        <v>Duplicate ID</v>
      </c>
      <c r="Q1655" t="str">
        <f t="shared" si="103"/>
        <v>5,000-9,999</v>
      </c>
      <c r="R1655" s="6">
        <f>IF(COUNTIF($A$2:A1655,A1655)=1,1,0)</f>
        <v>0</v>
      </c>
    </row>
    <row r="1656" spans="1:18" x14ac:dyDescent="0.25">
      <c r="A1656" s="6">
        <v>1155</v>
      </c>
      <c r="B1656" s="7">
        <v>44782</v>
      </c>
      <c r="C1656" t="s">
        <v>1648</v>
      </c>
      <c r="D1656" s="6">
        <v>2017</v>
      </c>
      <c r="E1656" s="8">
        <v>29320</v>
      </c>
      <c r="F1656" s="8">
        <v>31000</v>
      </c>
      <c r="G1656" s="8">
        <f t="shared" si="100"/>
        <v>1680</v>
      </c>
      <c r="H1656" s="6">
        <v>15000</v>
      </c>
      <c r="I1656" t="s">
        <v>58</v>
      </c>
      <c r="J1656" t="s">
        <v>72</v>
      </c>
      <c r="K1656" t="s">
        <v>96</v>
      </c>
      <c r="L1656" t="s">
        <v>100</v>
      </c>
      <c r="M1656" t="s">
        <v>1647</v>
      </c>
      <c r="N1656" s="6" t="s">
        <v>1647</v>
      </c>
      <c r="O1656" t="str">
        <f t="shared" si="101"/>
        <v>Normal</v>
      </c>
      <c r="P1656" t="str">
        <f t="shared" si="102"/>
        <v>Duplicate ID</v>
      </c>
      <c r="Q1656" t="str">
        <f t="shared" si="103"/>
        <v>25,000-30,000</v>
      </c>
      <c r="R1656" s="6">
        <f>IF(COUNTIF($A$2:A1656,A1656)=1,1,0)</f>
        <v>0</v>
      </c>
    </row>
    <row r="1657" spans="1:18" x14ac:dyDescent="0.25">
      <c r="A1657" s="6">
        <v>1447</v>
      </c>
      <c r="B1657" s="7">
        <v>44728</v>
      </c>
      <c r="C1657" t="s">
        <v>32</v>
      </c>
      <c r="D1657" s="6">
        <v>2017</v>
      </c>
      <c r="E1657" s="8">
        <v>6827</v>
      </c>
      <c r="F1657" s="8">
        <v>9000</v>
      </c>
      <c r="G1657" s="8">
        <f t="shared" si="100"/>
        <v>2173</v>
      </c>
      <c r="H1657" s="6">
        <v>25000</v>
      </c>
      <c r="I1657" t="s">
        <v>34</v>
      </c>
      <c r="J1657" t="s">
        <v>72</v>
      </c>
      <c r="K1657" t="s">
        <v>1647</v>
      </c>
      <c r="L1657" t="s">
        <v>100</v>
      </c>
      <c r="M1657" t="s">
        <v>90</v>
      </c>
      <c r="N1657" s="6">
        <v>3</v>
      </c>
      <c r="O1657" t="str">
        <f t="shared" si="101"/>
        <v>Normal</v>
      </c>
      <c r="P1657" t="str">
        <f t="shared" si="102"/>
        <v>Duplicate ID</v>
      </c>
      <c r="Q1657" t="str">
        <f t="shared" si="103"/>
        <v>5,000-9,999</v>
      </c>
      <c r="R1657" s="6">
        <f>IF(COUNTIF($A$2:A1657,A1657)=1,1,0)</f>
        <v>0</v>
      </c>
    </row>
    <row r="1658" spans="1:18" x14ac:dyDescent="0.25">
      <c r="A1658" s="6">
        <v>1508</v>
      </c>
      <c r="B1658" s="7">
        <v>44610</v>
      </c>
      <c r="C1658" t="s">
        <v>119</v>
      </c>
      <c r="D1658" s="6">
        <v>2015</v>
      </c>
      <c r="E1658" s="8">
        <v>25464</v>
      </c>
      <c r="F1658" s="8">
        <v>31000</v>
      </c>
      <c r="G1658" s="8">
        <f t="shared" si="100"/>
        <v>5536</v>
      </c>
      <c r="H1658" s="6">
        <v>120000</v>
      </c>
      <c r="I1658" t="s">
        <v>69</v>
      </c>
      <c r="J1658" t="s">
        <v>35</v>
      </c>
      <c r="K1658" t="s">
        <v>1647</v>
      </c>
      <c r="L1658" t="s">
        <v>100</v>
      </c>
      <c r="M1658" t="s">
        <v>126</v>
      </c>
      <c r="N1658" s="6">
        <v>0</v>
      </c>
      <c r="O1658" t="str">
        <f t="shared" si="101"/>
        <v>Normal</v>
      </c>
      <c r="P1658" t="str">
        <f t="shared" si="102"/>
        <v>Duplicate ID</v>
      </c>
      <c r="Q1658" t="str">
        <f t="shared" si="103"/>
        <v>25,000-30,000</v>
      </c>
      <c r="R1658" s="6">
        <f>IF(COUNTIF($A$2:A1658,A1658)=1,1,0)</f>
        <v>0</v>
      </c>
    </row>
    <row r="1659" spans="1:18" x14ac:dyDescent="0.25">
      <c r="A1659" s="6">
        <v>1438</v>
      </c>
      <c r="B1659" s="7">
        <v>44532</v>
      </c>
      <c r="C1659" t="s">
        <v>32</v>
      </c>
      <c r="D1659" s="6">
        <v>2018</v>
      </c>
      <c r="E1659" s="8">
        <v>3108</v>
      </c>
      <c r="F1659" s="8">
        <v>7000</v>
      </c>
      <c r="G1659" s="8">
        <f t="shared" si="100"/>
        <v>3892</v>
      </c>
      <c r="H1659" s="6">
        <v>60000</v>
      </c>
      <c r="I1659" t="s">
        <v>58</v>
      </c>
      <c r="J1659" t="s">
        <v>72</v>
      </c>
      <c r="K1659" t="s">
        <v>36</v>
      </c>
      <c r="L1659" t="s">
        <v>100</v>
      </c>
      <c r="M1659" t="s">
        <v>98</v>
      </c>
      <c r="N1659" s="6">
        <v>1</v>
      </c>
      <c r="O1659" t="str">
        <f t="shared" si="101"/>
        <v>Normal</v>
      </c>
      <c r="P1659" t="str">
        <f t="shared" si="102"/>
        <v>Duplicate ID</v>
      </c>
      <c r="Q1659" t="str">
        <f t="shared" si="103"/>
        <v>0-4,999</v>
      </c>
      <c r="R1659" s="6">
        <f>IF(COUNTIF($A$2:A1659,A1659)=1,1,0)</f>
        <v>0</v>
      </c>
    </row>
    <row r="1660" spans="1:18" x14ac:dyDescent="0.25">
      <c r="A1660" s="6">
        <v>1374</v>
      </c>
      <c r="B1660" s="7">
        <v>45198</v>
      </c>
      <c r="C1660" t="s">
        <v>119</v>
      </c>
      <c r="D1660" s="6">
        <v>2019</v>
      </c>
      <c r="E1660" s="8">
        <v>18961</v>
      </c>
      <c r="F1660" s="8">
        <v>22000</v>
      </c>
      <c r="G1660" s="8">
        <f t="shared" si="100"/>
        <v>3039</v>
      </c>
      <c r="H1660" s="6">
        <v>25000</v>
      </c>
      <c r="I1660" t="s">
        <v>1647</v>
      </c>
      <c r="J1660" t="s">
        <v>72</v>
      </c>
      <c r="K1660" t="s">
        <v>96</v>
      </c>
      <c r="L1660" t="s">
        <v>1647</v>
      </c>
      <c r="M1660" t="s">
        <v>98</v>
      </c>
      <c r="N1660" s="6" t="s">
        <v>1647</v>
      </c>
      <c r="O1660" t="str">
        <f t="shared" si="101"/>
        <v>Normal</v>
      </c>
      <c r="P1660" t="str">
        <f t="shared" si="102"/>
        <v>Duplicate ID</v>
      </c>
      <c r="Q1660" t="str">
        <f t="shared" si="103"/>
        <v>15,000-19,999</v>
      </c>
      <c r="R1660" s="6">
        <f>IF(COUNTIF($A$2:A1660,A1660)=1,1,0)</f>
        <v>0</v>
      </c>
    </row>
    <row r="1661" spans="1:18" x14ac:dyDescent="0.25">
      <c r="A1661" s="6">
        <v>1591</v>
      </c>
      <c r="B1661" s="7">
        <v>44767</v>
      </c>
      <c r="C1661" t="s">
        <v>51</v>
      </c>
      <c r="D1661" s="6"/>
      <c r="E1661" s="8">
        <v>23651</v>
      </c>
      <c r="F1661" s="8">
        <v>26000</v>
      </c>
      <c r="G1661" s="8">
        <f t="shared" si="100"/>
        <v>2349</v>
      </c>
      <c r="H1661" s="6">
        <v>25000</v>
      </c>
      <c r="I1661" t="s">
        <v>69</v>
      </c>
      <c r="J1661" t="s">
        <v>72</v>
      </c>
      <c r="K1661" t="s">
        <v>36</v>
      </c>
      <c r="L1661" t="s">
        <v>54</v>
      </c>
      <c r="M1661" t="s">
        <v>126</v>
      </c>
      <c r="N1661" s="6">
        <v>3</v>
      </c>
      <c r="O1661" t="str">
        <f t="shared" si="101"/>
        <v>Normal</v>
      </c>
      <c r="P1661" t="str">
        <f t="shared" si="102"/>
        <v>Duplicate ID</v>
      </c>
      <c r="Q1661" t="str">
        <f t="shared" si="103"/>
        <v>20,000-24,999</v>
      </c>
      <c r="R1661" s="6">
        <f>IF(COUNTIF($A$2:A1661,A1661)=1,1,0)</f>
        <v>0</v>
      </c>
    </row>
    <row r="1662" spans="1:18" x14ac:dyDescent="0.25">
      <c r="A1662" s="6">
        <v>1341</v>
      </c>
      <c r="B1662" s="7">
        <v>45290</v>
      </c>
      <c r="C1662" t="s">
        <v>32</v>
      </c>
      <c r="D1662" s="6"/>
      <c r="E1662" s="8">
        <v>21862</v>
      </c>
      <c r="F1662" s="8">
        <v>26000</v>
      </c>
      <c r="G1662" s="8">
        <f t="shared" si="100"/>
        <v>4138</v>
      </c>
      <c r="H1662" s="6">
        <v>40000</v>
      </c>
      <c r="I1662" t="s">
        <v>34</v>
      </c>
      <c r="J1662" t="s">
        <v>35</v>
      </c>
      <c r="K1662" t="s">
        <v>96</v>
      </c>
      <c r="L1662" t="s">
        <v>48</v>
      </c>
      <c r="M1662" t="s">
        <v>98</v>
      </c>
      <c r="N1662" s="6">
        <v>1</v>
      </c>
      <c r="O1662" t="str">
        <f t="shared" si="101"/>
        <v>Normal</v>
      </c>
      <c r="P1662" t="str">
        <f t="shared" si="102"/>
        <v>Duplicate ID</v>
      </c>
      <c r="Q1662" t="str">
        <f t="shared" si="103"/>
        <v>20,000-24,999</v>
      </c>
      <c r="R1662" s="6">
        <f>IF(COUNTIF($A$2:A1662,A1662)=1,1,0)</f>
        <v>0</v>
      </c>
    </row>
    <row r="1663" spans="1:18" x14ac:dyDescent="0.25">
      <c r="A1663" s="6">
        <v>1220</v>
      </c>
      <c r="B1663" s="7">
        <v>45393</v>
      </c>
      <c r="C1663" t="s">
        <v>119</v>
      </c>
      <c r="D1663" s="6">
        <v>2019</v>
      </c>
      <c r="E1663" s="8">
        <v>2389</v>
      </c>
      <c r="F1663" s="8">
        <v>7000</v>
      </c>
      <c r="G1663" s="8">
        <f t="shared" si="100"/>
        <v>4611</v>
      </c>
      <c r="H1663" s="6">
        <v>80000</v>
      </c>
      <c r="I1663" t="s">
        <v>41</v>
      </c>
      <c r="J1663" t="s">
        <v>35</v>
      </c>
      <c r="K1663" t="s">
        <v>1647</v>
      </c>
      <c r="L1663" t="s">
        <v>73</v>
      </c>
      <c r="M1663" t="s">
        <v>45</v>
      </c>
      <c r="N1663" s="6">
        <v>3</v>
      </c>
      <c r="O1663" t="str">
        <f t="shared" si="101"/>
        <v>Normal</v>
      </c>
      <c r="P1663" t="str">
        <f t="shared" si="102"/>
        <v>Duplicate ID</v>
      </c>
      <c r="Q1663" t="str">
        <f t="shared" si="103"/>
        <v>0-4,999</v>
      </c>
      <c r="R1663" s="6">
        <f>IF(COUNTIF($A$2:A1663,A1663)=1,1,0)</f>
        <v>0</v>
      </c>
    </row>
    <row r="1664" spans="1:18" x14ac:dyDescent="0.25">
      <c r="A1664" s="6">
        <v>1505</v>
      </c>
      <c r="B1664" s="7">
        <v>44796</v>
      </c>
      <c r="C1664" t="s">
        <v>79</v>
      </c>
      <c r="D1664" s="6">
        <v>2014</v>
      </c>
      <c r="E1664" s="8">
        <v>9396</v>
      </c>
      <c r="F1664" s="8">
        <v>12000</v>
      </c>
      <c r="G1664" s="8">
        <f t="shared" si="100"/>
        <v>2604</v>
      </c>
      <c r="H1664" s="6">
        <v>25000</v>
      </c>
      <c r="I1664" t="s">
        <v>41</v>
      </c>
      <c r="J1664" t="s">
        <v>72</v>
      </c>
      <c r="K1664" t="s">
        <v>96</v>
      </c>
      <c r="L1664" t="s">
        <v>48</v>
      </c>
      <c r="M1664" t="s">
        <v>98</v>
      </c>
      <c r="N1664" s="6">
        <v>1</v>
      </c>
      <c r="O1664" t="str">
        <f t="shared" si="101"/>
        <v>Normal</v>
      </c>
      <c r="P1664" t="str">
        <f t="shared" si="102"/>
        <v>Duplicate ID</v>
      </c>
      <c r="Q1664" t="str">
        <f t="shared" si="103"/>
        <v>5,000-9,999</v>
      </c>
      <c r="R1664" s="6">
        <f>IF(COUNTIF($A$2:A1664,A1664)=1,1,0)</f>
        <v>0</v>
      </c>
    </row>
    <row r="1665" spans="1:18" x14ac:dyDescent="0.25">
      <c r="A1665" s="6">
        <v>1469</v>
      </c>
      <c r="B1665" s="7">
        <v>44303</v>
      </c>
      <c r="C1665" t="s">
        <v>79</v>
      </c>
      <c r="D1665" s="6">
        <v>2015</v>
      </c>
      <c r="E1665" s="8">
        <v>11631</v>
      </c>
      <c r="F1665" s="8">
        <v>18000</v>
      </c>
      <c r="G1665" s="8">
        <f t="shared" si="100"/>
        <v>6369</v>
      </c>
      <c r="H1665" s="6">
        <v>120000</v>
      </c>
      <c r="I1665" t="s">
        <v>58</v>
      </c>
      <c r="J1665" t="s">
        <v>35</v>
      </c>
      <c r="K1665" t="s">
        <v>96</v>
      </c>
      <c r="L1665" t="s">
        <v>48</v>
      </c>
      <c r="M1665" t="s">
        <v>1647</v>
      </c>
      <c r="N1665" s="6">
        <v>1</v>
      </c>
      <c r="O1665" t="str">
        <f t="shared" si="101"/>
        <v>Normal</v>
      </c>
      <c r="P1665" t="str">
        <f t="shared" si="102"/>
        <v>Duplicate ID</v>
      </c>
      <c r="Q1665" t="str">
        <f t="shared" si="103"/>
        <v>10,000-14,999</v>
      </c>
      <c r="R1665" s="6">
        <f>IF(COUNTIF($A$2:A1665,A1665)=1,1,0)</f>
        <v>0</v>
      </c>
    </row>
    <row r="1666" spans="1:18" x14ac:dyDescent="0.25">
      <c r="A1666" s="6">
        <v>1057</v>
      </c>
      <c r="B1666" s="7">
        <v>44516</v>
      </c>
      <c r="C1666" t="s">
        <v>119</v>
      </c>
      <c r="D1666" s="6">
        <v>2017</v>
      </c>
      <c r="E1666" s="8">
        <v>24011</v>
      </c>
      <c r="F1666" s="8">
        <v>31000</v>
      </c>
      <c r="G1666" s="8">
        <f t="shared" ref="G1666:G1729" si="104">IF(OR(F1666="",E1666=""),"",F1666-E1666)</f>
        <v>6989</v>
      </c>
      <c r="H1666" s="6">
        <v>120000</v>
      </c>
      <c r="I1666" t="s">
        <v>41</v>
      </c>
      <c r="J1666" t="s">
        <v>72</v>
      </c>
      <c r="K1666" t="s">
        <v>96</v>
      </c>
      <c r="L1666" t="s">
        <v>48</v>
      </c>
      <c r="M1666" t="s">
        <v>98</v>
      </c>
      <c r="N1666" s="6">
        <v>0</v>
      </c>
      <c r="O1666" t="str">
        <f t="shared" ref="O1666:O1729" si="105">IF(E1666&lt;1000,"Outlier","Normal")</f>
        <v>Normal</v>
      </c>
      <c r="P1666" t="str">
        <f t="shared" ref="P1666:P1729" si="106">IF(COUNTIF($A$2:$A$2501,A1666)&gt;1,"Duplicate ID","Unique ID")</f>
        <v>Duplicate ID</v>
      </c>
      <c r="Q1666" t="str">
        <f t="shared" ref="Q1666:Q1729" si="107">IF(E1666&lt;5000,"0-4,999",IF(E1666&lt;10000,"5,000-9,999",IF(E1666&lt;15000,"10,000-14,999",IF(E1666&lt;20000,"15,000-19,999",IF(E1666&lt;25000,"20,000-24,999","25,000-30,000")))))</f>
        <v>20,000-24,999</v>
      </c>
      <c r="R1666" s="6">
        <f>IF(COUNTIF($A$2:A1666,A1666)=1,1,0)</f>
        <v>0</v>
      </c>
    </row>
    <row r="1667" spans="1:18" x14ac:dyDescent="0.25">
      <c r="A1667" s="6">
        <v>1532</v>
      </c>
      <c r="B1667" s="7">
        <v>44484</v>
      </c>
      <c r="C1667" t="s">
        <v>79</v>
      </c>
      <c r="D1667" s="6">
        <v>2017</v>
      </c>
      <c r="E1667" s="8">
        <v>23201</v>
      </c>
      <c r="F1667" s="8">
        <v>26000</v>
      </c>
      <c r="G1667" s="8">
        <f t="shared" si="104"/>
        <v>2799</v>
      </c>
      <c r="H1667" s="6">
        <v>120000</v>
      </c>
      <c r="I1667" t="s">
        <v>58</v>
      </c>
      <c r="J1667" t="s">
        <v>35</v>
      </c>
      <c r="K1667" t="s">
        <v>36</v>
      </c>
      <c r="L1667" t="s">
        <v>73</v>
      </c>
      <c r="M1667" t="s">
        <v>1647</v>
      </c>
      <c r="N1667" s="6">
        <v>2</v>
      </c>
      <c r="O1667" t="str">
        <f t="shared" si="105"/>
        <v>Normal</v>
      </c>
      <c r="P1667" t="str">
        <f t="shared" si="106"/>
        <v>Duplicate ID</v>
      </c>
      <c r="Q1667" t="str">
        <f t="shared" si="107"/>
        <v>20,000-24,999</v>
      </c>
      <c r="R1667" s="6">
        <f>IF(COUNTIF($A$2:A1667,A1667)=1,1,0)</f>
        <v>0</v>
      </c>
    </row>
    <row r="1668" spans="1:18" x14ac:dyDescent="0.25">
      <c r="A1668" s="6">
        <v>1209</v>
      </c>
      <c r="B1668" s="7">
        <v>44613</v>
      </c>
      <c r="C1668" t="s">
        <v>119</v>
      </c>
      <c r="D1668" s="6">
        <v>2016</v>
      </c>
      <c r="E1668" s="8">
        <v>20551</v>
      </c>
      <c r="F1668" s="8">
        <v>26000</v>
      </c>
      <c r="G1668" s="8">
        <f t="shared" si="104"/>
        <v>5449</v>
      </c>
      <c r="H1668" s="6">
        <v>40000</v>
      </c>
      <c r="I1668" t="s">
        <v>34</v>
      </c>
      <c r="J1668" t="s">
        <v>35</v>
      </c>
      <c r="K1668" t="s">
        <v>1647</v>
      </c>
      <c r="L1668" t="s">
        <v>100</v>
      </c>
      <c r="M1668" t="s">
        <v>1647</v>
      </c>
      <c r="N1668" s="6" t="s">
        <v>1647</v>
      </c>
      <c r="O1668" t="str">
        <f t="shared" si="105"/>
        <v>Normal</v>
      </c>
      <c r="P1668" t="str">
        <f t="shared" si="106"/>
        <v>Duplicate ID</v>
      </c>
      <c r="Q1668" t="str">
        <f t="shared" si="107"/>
        <v>20,000-24,999</v>
      </c>
      <c r="R1668" s="6">
        <f>IF(COUNTIF($A$2:A1668,A1668)=1,1,0)</f>
        <v>0</v>
      </c>
    </row>
    <row r="1669" spans="1:18" x14ac:dyDescent="0.25">
      <c r="A1669" s="6">
        <v>1008</v>
      </c>
      <c r="B1669" s="7">
        <v>44977</v>
      </c>
      <c r="C1669" t="s">
        <v>79</v>
      </c>
      <c r="D1669" s="6">
        <v>2021</v>
      </c>
      <c r="E1669" s="8">
        <v>6306</v>
      </c>
      <c r="F1669" s="8">
        <v>9000</v>
      </c>
      <c r="G1669" s="8">
        <f t="shared" si="104"/>
        <v>2694</v>
      </c>
      <c r="H1669" s="6">
        <v>120000</v>
      </c>
      <c r="I1669" t="s">
        <v>69</v>
      </c>
      <c r="J1669" t="s">
        <v>72</v>
      </c>
      <c r="K1669" t="s">
        <v>1647</v>
      </c>
      <c r="L1669" t="s">
        <v>100</v>
      </c>
      <c r="M1669" t="s">
        <v>126</v>
      </c>
      <c r="N1669" s="6" t="s">
        <v>1647</v>
      </c>
      <c r="O1669" t="str">
        <f t="shared" si="105"/>
        <v>Normal</v>
      </c>
      <c r="P1669" t="str">
        <f t="shared" si="106"/>
        <v>Duplicate ID</v>
      </c>
      <c r="Q1669" t="str">
        <f t="shared" si="107"/>
        <v>5,000-9,999</v>
      </c>
      <c r="R1669" s="6">
        <f>IF(COUNTIF($A$2:A1669,A1669)=1,1,0)</f>
        <v>0</v>
      </c>
    </row>
    <row r="1670" spans="1:18" x14ac:dyDescent="0.25">
      <c r="A1670" s="6">
        <v>1116</v>
      </c>
      <c r="B1670" s="7">
        <v>44303</v>
      </c>
      <c r="C1670" t="s">
        <v>79</v>
      </c>
      <c r="D1670" s="6">
        <v>2020</v>
      </c>
      <c r="E1670" s="8">
        <v>11142</v>
      </c>
      <c r="F1670" s="8">
        <v>18000</v>
      </c>
      <c r="G1670" s="8">
        <f t="shared" si="104"/>
        <v>6858</v>
      </c>
      <c r="H1670" s="6">
        <v>80000</v>
      </c>
      <c r="I1670" t="s">
        <v>41</v>
      </c>
      <c r="J1670" t="s">
        <v>1647</v>
      </c>
      <c r="K1670" t="s">
        <v>36</v>
      </c>
      <c r="L1670" t="s">
        <v>54</v>
      </c>
      <c r="M1670" t="s">
        <v>126</v>
      </c>
      <c r="N1670" s="6">
        <v>0</v>
      </c>
      <c r="O1670" t="str">
        <f t="shared" si="105"/>
        <v>Normal</v>
      </c>
      <c r="P1670" t="str">
        <f t="shared" si="106"/>
        <v>Duplicate ID</v>
      </c>
      <c r="Q1670" t="str">
        <f t="shared" si="107"/>
        <v>10,000-14,999</v>
      </c>
      <c r="R1670" s="6">
        <f>IF(COUNTIF($A$2:A1670,A1670)=1,1,0)</f>
        <v>0</v>
      </c>
    </row>
    <row r="1671" spans="1:18" x14ac:dyDescent="0.25">
      <c r="A1671" s="6">
        <v>1486</v>
      </c>
      <c r="B1671" s="7">
        <v>44421</v>
      </c>
      <c r="C1671" t="s">
        <v>40</v>
      </c>
      <c r="D1671" s="6">
        <v>2015</v>
      </c>
      <c r="E1671" s="8">
        <v>17793</v>
      </c>
      <c r="F1671" s="8">
        <v>22000</v>
      </c>
      <c r="G1671" s="8">
        <f t="shared" si="104"/>
        <v>4207</v>
      </c>
      <c r="H1671" s="6">
        <v>40000</v>
      </c>
      <c r="I1671" t="s">
        <v>41</v>
      </c>
      <c r="J1671" t="s">
        <v>1647</v>
      </c>
      <c r="K1671" t="s">
        <v>36</v>
      </c>
      <c r="L1671" t="s">
        <v>100</v>
      </c>
      <c r="M1671" t="s">
        <v>1647</v>
      </c>
      <c r="N1671" s="6" t="s">
        <v>1647</v>
      </c>
      <c r="O1671" t="str">
        <f t="shared" si="105"/>
        <v>Normal</v>
      </c>
      <c r="P1671" t="str">
        <f t="shared" si="106"/>
        <v>Duplicate ID</v>
      </c>
      <c r="Q1671" t="str">
        <f t="shared" si="107"/>
        <v>15,000-19,999</v>
      </c>
      <c r="R1671" s="6">
        <f>IF(COUNTIF($A$2:A1671,A1671)=1,1,0)</f>
        <v>0</v>
      </c>
    </row>
    <row r="1672" spans="1:18" x14ac:dyDescent="0.25">
      <c r="A1672" s="6">
        <v>1288</v>
      </c>
      <c r="B1672" s="7">
        <v>44322</v>
      </c>
      <c r="C1672" t="s">
        <v>40</v>
      </c>
      <c r="D1672" s="6">
        <v>2018</v>
      </c>
      <c r="E1672" s="8">
        <v>16442</v>
      </c>
      <c r="F1672" s="8">
        <v>18000</v>
      </c>
      <c r="G1672" s="8">
        <f t="shared" si="104"/>
        <v>1558</v>
      </c>
      <c r="H1672" s="6">
        <v>120000</v>
      </c>
      <c r="I1672" t="s">
        <v>34</v>
      </c>
      <c r="J1672" t="s">
        <v>1647</v>
      </c>
      <c r="K1672" t="s">
        <v>96</v>
      </c>
      <c r="L1672" t="s">
        <v>73</v>
      </c>
      <c r="M1672" t="s">
        <v>90</v>
      </c>
      <c r="N1672" s="6">
        <v>2</v>
      </c>
      <c r="O1672" t="str">
        <f t="shared" si="105"/>
        <v>Normal</v>
      </c>
      <c r="P1672" t="str">
        <f t="shared" si="106"/>
        <v>Duplicate ID</v>
      </c>
      <c r="Q1672" t="str">
        <f t="shared" si="107"/>
        <v>15,000-19,999</v>
      </c>
      <c r="R1672" s="6">
        <f>IF(COUNTIF($A$2:A1672,A1672)=1,1,0)</f>
        <v>0</v>
      </c>
    </row>
    <row r="1673" spans="1:18" x14ac:dyDescent="0.25">
      <c r="A1673" s="6">
        <v>1488</v>
      </c>
      <c r="B1673" s="7">
        <v>44641</v>
      </c>
      <c r="C1673" t="s">
        <v>57</v>
      </c>
      <c r="D1673" s="6">
        <v>2022</v>
      </c>
      <c r="E1673" s="8">
        <v>3781</v>
      </c>
      <c r="F1673" s="8">
        <v>9000</v>
      </c>
      <c r="G1673" s="8">
        <f t="shared" si="104"/>
        <v>5219</v>
      </c>
      <c r="H1673" s="6">
        <v>40000</v>
      </c>
      <c r="I1673" t="s">
        <v>58</v>
      </c>
      <c r="J1673" t="s">
        <v>35</v>
      </c>
      <c r="K1673" t="s">
        <v>1647</v>
      </c>
      <c r="L1673" t="s">
        <v>73</v>
      </c>
      <c r="M1673" t="s">
        <v>126</v>
      </c>
      <c r="N1673" s="6">
        <v>3</v>
      </c>
      <c r="O1673" t="str">
        <f t="shared" si="105"/>
        <v>Normal</v>
      </c>
      <c r="P1673" t="str">
        <f t="shared" si="106"/>
        <v>Duplicate ID</v>
      </c>
      <c r="Q1673" t="str">
        <f t="shared" si="107"/>
        <v>0-4,999</v>
      </c>
      <c r="R1673" s="6">
        <f>IF(COUNTIF($A$2:A1673,A1673)=1,1,0)</f>
        <v>0</v>
      </c>
    </row>
    <row r="1674" spans="1:18" x14ac:dyDescent="0.25">
      <c r="A1674" s="6">
        <v>1461</v>
      </c>
      <c r="B1674" s="7">
        <v>45194</v>
      </c>
      <c r="C1674" t="s">
        <v>51</v>
      </c>
      <c r="D1674" s="6">
        <v>2020</v>
      </c>
      <c r="E1674" s="8">
        <v>16099</v>
      </c>
      <c r="F1674" s="8">
        <v>18000</v>
      </c>
      <c r="G1674" s="8">
        <f t="shared" si="104"/>
        <v>1901</v>
      </c>
      <c r="H1674" s="6">
        <v>60000</v>
      </c>
      <c r="I1674" t="s">
        <v>41</v>
      </c>
      <c r="J1674" t="s">
        <v>35</v>
      </c>
      <c r="K1674" t="s">
        <v>96</v>
      </c>
      <c r="L1674" t="s">
        <v>73</v>
      </c>
      <c r="M1674" t="s">
        <v>98</v>
      </c>
      <c r="N1674" s="6" t="s">
        <v>1647</v>
      </c>
      <c r="O1674" t="str">
        <f t="shared" si="105"/>
        <v>Normal</v>
      </c>
      <c r="P1674" t="str">
        <f t="shared" si="106"/>
        <v>Duplicate ID</v>
      </c>
      <c r="Q1674" t="str">
        <f t="shared" si="107"/>
        <v>15,000-19,999</v>
      </c>
      <c r="R1674" s="6">
        <f>IF(COUNTIF($A$2:A1674,A1674)=1,1,0)</f>
        <v>0</v>
      </c>
    </row>
    <row r="1675" spans="1:18" x14ac:dyDescent="0.25">
      <c r="A1675" s="6">
        <v>1374</v>
      </c>
      <c r="B1675" s="7">
        <v>44415</v>
      </c>
      <c r="C1675" t="s">
        <v>57</v>
      </c>
      <c r="D1675" s="6">
        <v>2021</v>
      </c>
      <c r="E1675" s="8">
        <v>7235</v>
      </c>
      <c r="F1675" s="8">
        <v>9000</v>
      </c>
      <c r="G1675" s="8">
        <f t="shared" si="104"/>
        <v>1765</v>
      </c>
      <c r="H1675" s="6">
        <v>60000</v>
      </c>
      <c r="I1675" t="s">
        <v>34</v>
      </c>
      <c r="J1675" t="s">
        <v>35</v>
      </c>
      <c r="K1675" t="s">
        <v>36</v>
      </c>
      <c r="L1675" t="s">
        <v>48</v>
      </c>
      <c r="M1675" t="s">
        <v>98</v>
      </c>
      <c r="N1675" s="6">
        <v>3</v>
      </c>
      <c r="O1675" t="str">
        <f t="shared" si="105"/>
        <v>Normal</v>
      </c>
      <c r="P1675" t="str">
        <f t="shared" si="106"/>
        <v>Duplicate ID</v>
      </c>
      <c r="Q1675" t="str">
        <f t="shared" si="107"/>
        <v>5,000-9,999</v>
      </c>
      <c r="R1675" s="6">
        <f>IF(COUNTIF($A$2:A1675,A1675)=1,1,0)</f>
        <v>0</v>
      </c>
    </row>
    <row r="1676" spans="1:18" x14ac:dyDescent="0.25">
      <c r="A1676" s="6">
        <v>1423</v>
      </c>
      <c r="B1676" s="7">
        <v>44524</v>
      </c>
      <c r="C1676" t="s">
        <v>79</v>
      </c>
      <c r="D1676" s="6"/>
      <c r="E1676" s="8">
        <v>12369</v>
      </c>
      <c r="F1676" s="8">
        <v>15000</v>
      </c>
      <c r="G1676" s="8">
        <f t="shared" si="104"/>
        <v>2631</v>
      </c>
      <c r="H1676" s="6">
        <v>120000</v>
      </c>
      <c r="I1676" t="s">
        <v>41</v>
      </c>
      <c r="J1676" t="s">
        <v>72</v>
      </c>
      <c r="K1676" t="s">
        <v>1647</v>
      </c>
      <c r="L1676" t="s">
        <v>100</v>
      </c>
      <c r="M1676" t="s">
        <v>45</v>
      </c>
      <c r="N1676" s="6">
        <v>1</v>
      </c>
      <c r="O1676" t="str">
        <f t="shared" si="105"/>
        <v>Normal</v>
      </c>
      <c r="P1676" t="str">
        <f t="shared" si="106"/>
        <v>Duplicate ID</v>
      </c>
      <c r="Q1676" t="str">
        <f t="shared" si="107"/>
        <v>10,000-14,999</v>
      </c>
      <c r="R1676" s="6">
        <f>IF(COUNTIF($A$2:A1676,A1676)=1,1,0)</f>
        <v>0</v>
      </c>
    </row>
    <row r="1677" spans="1:18" x14ac:dyDescent="0.25">
      <c r="A1677" s="6">
        <v>1335</v>
      </c>
      <c r="B1677" s="7">
        <v>45061</v>
      </c>
      <c r="C1677" t="s">
        <v>119</v>
      </c>
      <c r="D1677" s="6">
        <v>2019</v>
      </c>
      <c r="E1677" s="8">
        <v>5152</v>
      </c>
      <c r="F1677" s="8">
        <v>9000</v>
      </c>
      <c r="G1677" s="8">
        <f t="shared" si="104"/>
        <v>3848</v>
      </c>
      <c r="H1677" s="6">
        <v>80000</v>
      </c>
      <c r="I1677" t="s">
        <v>69</v>
      </c>
      <c r="J1677" t="s">
        <v>35</v>
      </c>
      <c r="K1677" t="s">
        <v>36</v>
      </c>
      <c r="L1677" t="s">
        <v>1647</v>
      </c>
      <c r="M1677" t="s">
        <v>90</v>
      </c>
      <c r="N1677" s="6">
        <v>2</v>
      </c>
      <c r="O1677" t="str">
        <f t="shared" si="105"/>
        <v>Normal</v>
      </c>
      <c r="P1677" t="str">
        <f t="shared" si="106"/>
        <v>Duplicate ID</v>
      </c>
      <c r="Q1677" t="str">
        <f t="shared" si="107"/>
        <v>5,000-9,999</v>
      </c>
      <c r="R1677" s="6">
        <f>IF(COUNTIF($A$2:A1677,A1677)=1,1,0)</f>
        <v>0</v>
      </c>
    </row>
    <row r="1678" spans="1:18" x14ac:dyDescent="0.25">
      <c r="A1678" s="6">
        <v>1479</v>
      </c>
      <c r="B1678" s="7">
        <v>44390</v>
      </c>
      <c r="C1678" t="s">
        <v>57</v>
      </c>
      <c r="D1678" s="6">
        <v>2020</v>
      </c>
      <c r="E1678" s="8">
        <v>23837</v>
      </c>
      <c r="F1678" s="8">
        <v>26000</v>
      </c>
      <c r="G1678" s="8">
        <f t="shared" si="104"/>
        <v>2163</v>
      </c>
      <c r="H1678" s="6">
        <v>120000</v>
      </c>
      <c r="I1678" t="s">
        <v>41</v>
      </c>
      <c r="J1678" t="s">
        <v>35</v>
      </c>
      <c r="K1678" t="s">
        <v>96</v>
      </c>
      <c r="L1678" t="s">
        <v>1647</v>
      </c>
      <c r="M1678" t="s">
        <v>45</v>
      </c>
      <c r="N1678" s="6">
        <v>3</v>
      </c>
      <c r="O1678" t="str">
        <f t="shared" si="105"/>
        <v>Normal</v>
      </c>
      <c r="P1678" t="str">
        <f t="shared" si="106"/>
        <v>Unique ID</v>
      </c>
      <c r="Q1678" t="str">
        <f t="shared" si="107"/>
        <v>20,000-24,999</v>
      </c>
      <c r="R1678" s="6">
        <f>IF(COUNTIF($A$2:A1678,A1678)=1,1,0)</f>
        <v>1</v>
      </c>
    </row>
    <row r="1679" spans="1:18" x14ac:dyDescent="0.25">
      <c r="A1679" s="6">
        <v>1207</v>
      </c>
      <c r="B1679" s="7">
        <v>44205</v>
      </c>
      <c r="C1679" t="s">
        <v>1648</v>
      </c>
      <c r="D1679" s="6">
        <v>2022</v>
      </c>
      <c r="E1679" s="8">
        <v>28296</v>
      </c>
      <c r="F1679" s="8">
        <v>31000</v>
      </c>
      <c r="G1679" s="8">
        <f t="shared" si="104"/>
        <v>2704</v>
      </c>
      <c r="H1679" s="6">
        <v>80000</v>
      </c>
      <c r="I1679" t="s">
        <v>58</v>
      </c>
      <c r="J1679" t="s">
        <v>72</v>
      </c>
      <c r="K1679" t="s">
        <v>36</v>
      </c>
      <c r="L1679" t="s">
        <v>48</v>
      </c>
      <c r="M1679" t="s">
        <v>98</v>
      </c>
      <c r="N1679" s="6">
        <v>3</v>
      </c>
      <c r="O1679" t="str">
        <f t="shared" si="105"/>
        <v>Normal</v>
      </c>
      <c r="P1679" t="str">
        <f t="shared" si="106"/>
        <v>Duplicate ID</v>
      </c>
      <c r="Q1679" t="str">
        <f t="shared" si="107"/>
        <v>25,000-30,000</v>
      </c>
      <c r="R1679" s="6">
        <f>IF(COUNTIF($A$2:A1679,A1679)=1,1,0)</f>
        <v>0</v>
      </c>
    </row>
    <row r="1680" spans="1:18" x14ac:dyDescent="0.25">
      <c r="A1680" s="6">
        <v>1062</v>
      </c>
      <c r="B1680" s="7">
        <v>44956</v>
      </c>
      <c r="C1680" t="s">
        <v>119</v>
      </c>
      <c r="D1680" s="6">
        <v>2018</v>
      </c>
      <c r="E1680" s="8">
        <v>15774</v>
      </c>
      <c r="F1680" s="8">
        <v>22000</v>
      </c>
      <c r="G1680" s="8">
        <f t="shared" si="104"/>
        <v>6226</v>
      </c>
      <c r="H1680" s="6">
        <v>15000</v>
      </c>
      <c r="I1680" t="s">
        <v>69</v>
      </c>
      <c r="J1680" t="s">
        <v>72</v>
      </c>
      <c r="K1680" t="s">
        <v>36</v>
      </c>
      <c r="L1680" t="s">
        <v>100</v>
      </c>
      <c r="M1680" t="s">
        <v>126</v>
      </c>
      <c r="N1680" s="6" t="s">
        <v>1647</v>
      </c>
      <c r="O1680" t="str">
        <f t="shared" si="105"/>
        <v>Normal</v>
      </c>
      <c r="P1680" t="str">
        <f t="shared" si="106"/>
        <v>Duplicate ID</v>
      </c>
      <c r="Q1680" t="str">
        <f t="shared" si="107"/>
        <v>15,000-19,999</v>
      </c>
      <c r="R1680" s="6">
        <f>IF(COUNTIF($A$2:A1680,A1680)=1,1,0)</f>
        <v>0</v>
      </c>
    </row>
    <row r="1681" spans="1:18" x14ac:dyDescent="0.25">
      <c r="A1681" s="6">
        <v>1128</v>
      </c>
      <c r="B1681" s="7">
        <v>45163</v>
      </c>
      <c r="C1681" t="s">
        <v>1648</v>
      </c>
      <c r="D1681" s="6">
        <v>2017</v>
      </c>
      <c r="E1681" s="8">
        <v>1378</v>
      </c>
      <c r="F1681" s="8">
        <v>7000</v>
      </c>
      <c r="G1681" s="8">
        <f t="shared" si="104"/>
        <v>5622</v>
      </c>
      <c r="H1681" s="6">
        <v>80000</v>
      </c>
      <c r="I1681" t="s">
        <v>58</v>
      </c>
      <c r="J1681" t="s">
        <v>1647</v>
      </c>
      <c r="K1681" t="s">
        <v>36</v>
      </c>
      <c r="L1681" t="s">
        <v>48</v>
      </c>
      <c r="M1681" t="s">
        <v>98</v>
      </c>
      <c r="N1681" s="6">
        <v>3</v>
      </c>
      <c r="O1681" t="str">
        <f t="shared" si="105"/>
        <v>Normal</v>
      </c>
      <c r="P1681" t="str">
        <f t="shared" si="106"/>
        <v>Duplicate ID</v>
      </c>
      <c r="Q1681" t="str">
        <f t="shared" si="107"/>
        <v>0-4,999</v>
      </c>
      <c r="R1681" s="6">
        <f>IF(COUNTIF($A$2:A1681,A1681)=1,1,0)</f>
        <v>0</v>
      </c>
    </row>
    <row r="1682" spans="1:18" x14ac:dyDescent="0.25">
      <c r="A1682" s="6">
        <v>1326</v>
      </c>
      <c r="B1682" s="7">
        <v>44484</v>
      </c>
      <c r="C1682" t="s">
        <v>1648</v>
      </c>
      <c r="D1682" s="6">
        <v>2015</v>
      </c>
      <c r="E1682" s="8">
        <v>5604</v>
      </c>
      <c r="F1682" s="8">
        <v>9000</v>
      </c>
      <c r="G1682" s="8">
        <f t="shared" si="104"/>
        <v>3396</v>
      </c>
      <c r="H1682" s="6">
        <v>80000</v>
      </c>
      <c r="I1682" t="s">
        <v>34</v>
      </c>
      <c r="J1682" t="s">
        <v>35</v>
      </c>
      <c r="K1682" t="s">
        <v>36</v>
      </c>
      <c r="L1682" t="s">
        <v>73</v>
      </c>
      <c r="M1682" t="s">
        <v>126</v>
      </c>
      <c r="N1682" s="6">
        <v>3</v>
      </c>
      <c r="O1682" t="str">
        <f t="shared" si="105"/>
        <v>Normal</v>
      </c>
      <c r="P1682" t="str">
        <f t="shared" si="106"/>
        <v>Duplicate ID</v>
      </c>
      <c r="Q1682" t="str">
        <f t="shared" si="107"/>
        <v>5,000-9,999</v>
      </c>
      <c r="R1682" s="6">
        <f>IF(COUNTIF($A$2:A1682,A1682)=1,1,0)</f>
        <v>0</v>
      </c>
    </row>
    <row r="1683" spans="1:18" x14ac:dyDescent="0.25">
      <c r="A1683" s="6">
        <v>1144</v>
      </c>
      <c r="B1683" s="7">
        <v>44767</v>
      </c>
      <c r="C1683" t="s">
        <v>40</v>
      </c>
      <c r="D1683" s="6">
        <v>2016</v>
      </c>
      <c r="E1683" s="8">
        <v>6841</v>
      </c>
      <c r="F1683" s="8">
        <v>9000</v>
      </c>
      <c r="G1683" s="8">
        <f t="shared" si="104"/>
        <v>2159</v>
      </c>
      <c r="H1683" s="6">
        <v>15000</v>
      </c>
      <c r="I1683" t="s">
        <v>41</v>
      </c>
      <c r="J1683" t="s">
        <v>72</v>
      </c>
      <c r="K1683" t="s">
        <v>96</v>
      </c>
      <c r="L1683" t="s">
        <v>48</v>
      </c>
      <c r="M1683" t="s">
        <v>98</v>
      </c>
      <c r="N1683" s="6">
        <v>0</v>
      </c>
      <c r="O1683" t="str">
        <f t="shared" si="105"/>
        <v>Normal</v>
      </c>
      <c r="P1683" t="str">
        <f t="shared" si="106"/>
        <v>Duplicate ID</v>
      </c>
      <c r="Q1683" t="str">
        <f t="shared" si="107"/>
        <v>5,000-9,999</v>
      </c>
      <c r="R1683" s="6">
        <f>IF(COUNTIF($A$2:A1683,A1683)=1,1,0)</f>
        <v>0</v>
      </c>
    </row>
    <row r="1684" spans="1:18" x14ac:dyDescent="0.25">
      <c r="A1684" s="6">
        <v>1444</v>
      </c>
      <c r="B1684" s="7">
        <v>44944</v>
      </c>
      <c r="C1684" t="s">
        <v>1648</v>
      </c>
      <c r="D1684" s="6">
        <v>2015</v>
      </c>
      <c r="E1684" s="8">
        <v>26919</v>
      </c>
      <c r="F1684" s="8">
        <v>31000</v>
      </c>
      <c r="G1684" s="8">
        <f t="shared" si="104"/>
        <v>4081</v>
      </c>
      <c r="H1684" s="6">
        <v>15000</v>
      </c>
      <c r="I1684" t="s">
        <v>34</v>
      </c>
      <c r="J1684" t="s">
        <v>72</v>
      </c>
      <c r="K1684" t="s">
        <v>36</v>
      </c>
      <c r="L1684" t="s">
        <v>48</v>
      </c>
      <c r="M1684" t="s">
        <v>1647</v>
      </c>
      <c r="N1684" s="6">
        <v>1</v>
      </c>
      <c r="O1684" t="str">
        <f t="shared" si="105"/>
        <v>Normal</v>
      </c>
      <c r="P1684" t="str">
        <f t="shared" si="106"/>
        <v>Duplicate ID</v>
      </c>
      <c r="Q1684" t="str">
        <f t="shared" si="107"/>
        <v>25,000-30,000</v>
      </c>
      <c r="R1684" s="6">
        <f>IF(COUNTIF($A$2:A1684,A1684)=1,1,0)</f>
        <v>0</v>
      </c>
    </row>
    <row r="1685" spans="1:18" x14ac:dyDescent="0.25">
      <c r="A1685" s="6">
        <v>1155</v>
      </c>
      <c r="B1685" s="7">
        <v>44947</v>
      </c>
      <c r="C1685" t="s">
        <v>57</v>
      </c>
      <c r="D1685" s="6">
        <v>2018</v>
      </c>
      <c r="E1685" s="8">
        <v>16857</v>
      </c>
      <c r="F1685" s="8">
        <v>18000</v>
      </c>
      <c r="G1685" s="8">
        <f t="shared" si="104"/>
        <v>1143</v>
      </c>
      <c r="H1685" s="6">
        <v>15000</v>
      </c>
      <c r="I1685" t="s">
        <v>58</v>
      </c>
      <c r="J1685" t="s">
        <v>72</v>
      </c>
      <c r="K1685" t="s">
        <v>96</v>
      </c>
      <c r="L1685" t="s">
        <v>100</v>
      </c>
      <c r="M1685" t="s">
        <v>98</v>
      </c>
      <c r="N1685" s="6" t="s">
        <v>1647</v>
      </c>
      <c r="O1685" t="str">
        <f t="shared" si="105"/>
        <v>Normal</v>
      </c>
      <c r="P1685" t="str">
        <f t="shared" si="106"/>
        <v>Duplicate ID</v>
      </c>
      <c r="Q1685" t="str">
        <f t="shared" si="107"/>
        <v>15,000-19,999</v>
      </c>
      <c r="R1685" s="6">
        <f>IF(COUNTIF($A$2:A1685,A1685)=1,1,0)</f>
        <v>0</v>
      </c>
    </row>
    <row r="1686" spans="1:18" x14ac:dyDescent="0.25">
      <c r="A1686" s="6">
        <v>1264</v>
      </c>
      <c r="B1686" s="7">
        <v>44352</v>
      </c>
      <c r="C1686" t="s">
        <v>57</v>
      </c>
      <c r="D1686" s="6">
        <v>2016</v>
      </c>
      <c r="E1686" s="8">
        <v>6254</v>
      </c>
      <c r="F1686" s="8">
        <v>12000</v>
      </c>
      <c r="G1686" s="8">
        <f t="shared" si="104"/>
        <v>5746</v>
      </c>
      <c r="H1686" s="6">
        <v>15000</v>
      </c>
      <c r="I1686" t="s">
        <v>41</v>
      </c>
      <c r="J1686" t="s">
        <v>72</v>
      </c>
      <c r="K1686" t="s">
        <v>96</v>
      </c>
      <c r="L1686" t="s">
        <v>48</v>
      </c>
      <c r="M1686" t="s">
        <v>90</v>
      </c>
      <c r="N1686" s="6">
        <v>3</v>
      </c>
      <c r="O1686" t="str">
        <f t="shared" si="105"/>
        <v>Normal</v>
      </c>
      <c r="P1686" t="str">
        <f t="shared" si="106"/>
        <v>Duplicate ID</v>
      </c>
      <c r="Q1686" t="str">
        <f t="shared" si="107"/>
        <v>5,000-9,999</v>
      </c>
      <c r="R1686" s="6">
        <f>IF(COUNTIF($A$2:A1686,A1686)=1,1,0)</f>
        <v>1</v>
      </c>
    </row>
    <row r="1687" spans="1:18" x14ac:dyDescent="0.25">
      <c r="A1687" s="6">
        <v>1084</v>
      </c>
      <c r="B1687" s="7">
        <v>44431</v>
      </c>
      <c r="C1687" t="s">
        <v>40</v>
      </c>
      <c r="D1687" s="6">
        <v>2015</v>
      </c>
      <c r="E1687" s="8">
        <v>15753</v>
      </c>
      <c r="F1687" s="8">
        <v>22000</v>
      </c>
      <c r="G1687" s="8">
        <f t="shared" si="104"/>
        <v>6247</v>
      </c>
      <c r="H1687" s="6">
        <v>60000</v>
      </c>
      <c r="I1687" t="s">
        <v>41</v>
      </c>
      <c r="J1687" t="s">
        <v>35</v>
      </c>
      <c r="K1687" t="s">
        <v>36</v>
      </c>
      <c r="L1687" t="s">
        <v>48</v>
      </c>
      <c r="M1687" t="s">
        <v>90</v>
      </c>
      <c r="N1687" s="6">
        <v>3</v>
      </c>
      <c r="O1687" t="str">
        <f t="shared" si="105"/>
        <v>Normal</v>
      </c>
      <c r="P1687" t="str">
        <f t="shared" si="106"/>
        <v>Duplicate ID</v>
      </c>
      <c r="Q1687" t="str">
        <f t="shared" si="107"/>
        <v>15,000-19,999</v>
      </c>
      <c r="R1687" s="6">
        <f>IF(COUNTIF($A$2:A1687,A1687)=1,1,0)</f>
        <v>0</v>
      </c>
    </row>
    <row r="1688" spans="1:18" x14ac:dyDescent="0.25">
      <c r="A1688" s="6">
        <v>1573</v>
      </c>
      <c r="B1688" s="7">
        <v>44911</v>
      </c>
      <c r="C1688" t="s">
        <v>40</v>
      </c>
      <c r="D1688" s="6">
        <v>2014</v>
      </c>
      <c r="E1688" s="8">
        <v>2713</v>
      </c>
      <c r="F1688" s="8">
        <v>7000</v>
      </c>
      <c r="G1688" s="8">
        <f t="shared" si="104"/>
        <v>4287</v>
      </c>
      <c r="H1688" s="6">
        <v>25000</v>
      </c>
      <c r="I1688" t="s">
        <v>1647</v>
      </c>
      <c r="J1688" t="s">
        <v>72</v>
      </c>
      <c r="K1688" t="s">
        <v>1647</v>
      </c>
      <c r="L1688" t="s">
        <v>48</v>
      </c>
      <c r="M1688" t="s">
        <v>1647</v>
      </c>
      <c r="N1688" s="6">
        <v>1</v>
      </c>
      <c r="O1688" t="str">
        <f t="shared" si="105"/>
        <v>Normal</v>
      </c>
      <c r="P1688" t="str">
        <f t="shared" si="106"/>
        <v>Duplicate ID</v>
      </c>
      <c r="Q1688" t="str">
        <f t="shared" si="107"/>
        <v>0-4,999</v>
      </c>
      <c r="R1688" s="6">
        <f>IF(COUNTIF($A$2:A1688,A1688)=1,1,0)</f>
        <v>0</v>
      </c>
    </row>
    <row r="1689" spans="1:18" x14ac:dyDescent="0.25">
      <c r="A1689" s="6">
        <v>1366</v>
      </c>
      <c r="B1689" s="7">
        <v>44620</v>
      </c>
      <c r="C1689" t="s">
        <v>119</v>
      </c>
      <c r="D1689" s="6">
        <v>2019</v>
      </c>
      <c r="E1689" s="8">
        <v>12901</v>
      </c>
      <c r="F1689" s="8">
        <v>18000</v>
      </c>
      <c r="G1689" s="8">
        <f t="shared" si="104"/>
        <v>5099</v>
      </c>
      <c r="H1689" s="6">
        <v>80000</v>
      </c>
      <c r="I1689" t="s">
        <v>69</v>
      </c>
      <c r="J1689" t="s">
        <v>1647</v>
      </c>
      <c r="K1689" t="s">
        <v>96</v>
      </c>
      <c r="L1689" t="s">
        <v>48</v>
      </c>
      <c r="M1689" t="s">
        <v>126</v>
      </c>
      <c r="N1689" s="6">
        <v>2</v>
      </c>
      <c r="O1689" t="str">
        <f t="shared" si="105"/>
        <v>Normal</v>
      </c>
      <c r="P1689" t="str">
        <f t="shared" si="106"/>
        <v>Duplicate ID</v>
      </c>
      <c r="Q1689" t="str">
        <f t="shared" si="107"/>
        <v>10,000-14,999</v>
      </c>
      <c r="R1689" s="6">
        <f>IF(COUNTIF($A$2:A1689,A1689)=1,1,0)</f>
        <v>0</v>
      </c>
    </row>
    <row r="1690" spans="1:18" x14ac:dyDescent="0.25">
      <c r="A1690" s="6">
        <v>1245</v>
      </c>
      <c r="B1690" s="7">
        <v>44777</v>
      </c>
      <c r="C1690" t="s">
        <v>79</v>
      </c>
      <c r="D1690" s="6">
        <v>2017</v>
      </c>
      <c r="E1690" s="8">
        <v>21827</v>
      </c>
      <c r="F1690" s="8">
        <v>26000</v>
      </c>
      <c r="G1690" s="8">
        <f t="shared" si="104"/>
        <v>4173</v>
      </c>
      <c r="H1690" s="6">
        <v>120000</v>
      </c>
      <c r="I1690" t="s">
        <v>1647</v>
      </c>
      <c r="J1690" t="s">
        <v>35</v>
      </c>
      <c r="K1690" t="s">
        <v>96</v>
      </c>
      <c r="L1690" t="s">
        <v>48</v>
      </c>
      <c r="M1690" t="s">
        <v>45</v>
      </c>
      <c r="N1690" s="6">
        <v>1</v>
      </c>
      <c r="O1690" t="str">
        <f t="shared" si="105"/>
        <v>Normal</v>
      </c>
      <c r="P1690" t="str">
        <f t="shared" si="106"/>
        <v>Duplicate ID</v>
      </c>
      <c r="Q1690" t="str">
        <f t="shared" si="107"/>
        <v>20,000-24,999</v>
      </c>
      <c r="R1690" s="6">
        <f>IF(COUNTIF($A$2:A1690,A1690)=1,1,0)</f>
        <v>0</v>
      </c>
    </row>
    <row r="1691" spans="1:18" x14ac:dyDescent="0.25">
      <c r="A1691" s="6">
        <v>1170</v>
      </c>
      <c r="B1691" s="7">
        <v>44737</v>
      </c>
      <c r="C1691" t="s">
        <v>32</v>
      </c>
      <c r="D1691" s="6">
        <v>2018</v>
      </c>
      <c r="E1691" s="8">
        <v>22272</v>
      </c>
      <c r="F1691" s="8">
        <v>26000</v>
      </c>
      <c r="G1691" s="8">
        <f t="shared" si="104"/>
        <v>3728</v>
      </c>
      <c r="H1691" s="6">
        <v>80000</v>
      </c>
      <c r="I1691" t="s">
        <v>41</v>
      </c>
      <c r="J1691" t="s">
        <v>35</v>
      </c>
      <c r="K1691" t="s">
        <v>36</v>
      </c>
      <c r="L1691" t="s">
        <v>100</v>
      </c>
      <c r="M1691" t="s">
        <v>126</v>
      </c>
      <c r="N1691" s="6" t="s">
        <v>1647</v>
      </c>
      <c r="O1691" t="str">
        <f t="shared" si="105"/>
        <v>Normal</v>
      </c>
      <c r="P1691" t="str">
        <f t="shared" si="106"/>
        <v>Duplicate ID</v>
      </c>
      <c r="Q1691" t="str">
        <f t="shared" si="107"/>
        <v>20,000-24,999</v>
      </c>
      <c r="R1691" s="6">
        <f>IF(COUNTIF($A$2:A1691,A1691)=1,1,0)</f>
        <v>0</v>
      </c>
    </row>
    <row r="1692" spans="1:18" x14ac:dyDescent="0.25">
      <c r="A1692" s="6">
        <v>1017</v>
      </c>
      <c r="B1692" s="7">
        <v>44969</v>
      </c>
      <c r="C1692" t="s">
        <v>79</v>
      </c>
      <c r="D1692" s="6">
        <v>2018</v>
      </c>
      <c r="E1692" s="8">
        <v>3509</v>
      </c>
      <c r="F1692" s="8">
        <v>7000</v>
      </c>
      <c r="G1692" s="8">
        <f t="shared" si="104"/>
        <v>3491</v>
      </c>
      <c r="H1692" s="6">
        <v>15000</v>
      </c>
      <c r="I1692" t="s">
        <v>69</v>
      </c>
      <c r="J1692" t="s">
        <v>72</v>
      </c>
      <c r="K1692" t="s">
        <v>36</v>
      </c>
      <c r="L1692" t="s">
        <v>100</v>
      </c>
      <c r="M1692" t="s">
        <v>98</v>
      </c>
      <c r="N1692" s="6">
        <v>0</v>
      </c>
      <c r="O1692" t="str">
        <f t="shared" si="105"/>
        <v>Normal</v>
      </c>
      <c r="P1692" t="str">
        <f t="shared" si="106"/>
        <v>Duplicate ID</v>
      </c>
      <c r="Q1692" t="str">
        <f t="shared" si="107"/>
        <v>0-4,999</v>
      </c>
      <c r="R1692" s="6">
        <f>IF(COUNTIF($A$2:A1692,A1692)=1,1,0)</f>
        <v>0</v>
      </c>
    </row>
    <row r="1693" spans="1:18" x14ac:dyDescent="0.25">
      <c r="A1693" s="6">
        <v>1240</v>
      </c>
      <c r="B1693" s="7">
        <v>44602</v>
      </c>
      <c r="C1693" t="s">
        <v>79</v>
      </c>
      <c r="D1693" s="6">
        <v>2018</v>
      </c>
      <c r="E1693" s="8">
        <v>13533</v>
      </c>
      <c r="F1693" s="8">
        <v>15000</v>
      </c>
      <c r="G1693" s="8">
        <f t="shared" si="104"/>
        <v>1467</v>
      </c>
      <c r="H1693" s="6">
        <v>120000</v>
      </c>
      <c r="I1693" t="s">
        <v>58</v>
      </c>
      <c r="J1693" t="s">
        <v>72</v>
      </c>
      <c r="K1693" t="s">
        <v>1647</v>
      </c>
      <c r="L1693" t="s">
        <v>100</v>
      </c>
      <c r="M1693" t="s">
        <v>126</v>
      </c>
      <c r="N1693" s="6">
        <v>0</v>
      </c>
      <c r="O1693" t="str">
        <f t="shared" si="105"/>
        <v>Normal</v>
      </c>
      <c r="P1693" t="str">
        <f t="shared" si="106"/>
        <v>Duplicate ID</v>
      </c>
      <c r="Q1693" t="str">
        <f t="shared" si="107"/>
        <v>10,000-14,999</v>
      </c>
      <c r="R1693" s="6">
        <f>IF(COUNTIF($A$2:A1693,A1693)=1,1,0)</f>
        <v>0</v>
      </c>
    </row>
    <row r="1694" spans="1:18" x14ac:dyDescent="0.25">
      <c r="A1694" s="6">
        <v>1240</v>
      </c>
      <c r="B1694" s="7">
        <v>45274</v>
      </c>
      <c r="C1694" t="s">
        <v>40</v>
      </c>
      <c r="D1694" s="6">
        <v>2014</v>
      </c>
      <c r="E1694" s="8">
        <v>5571</v>
      </c>
      <c r="F1694" s="8">
        <v>7000</v>
      </c>
      <c r="G1694" s="8">
        <f t="shared" si="104"/>
        <v>1429</v>
      </c>
      <c r="H1694" s="6">
        <v>80000</v>
      </c>
      <c r="I1694" t="s">
        <v>41</v>
      </c>
      <c r="J1694" t="s">
        <v>72</v>
      </c>
      <c r="K1694" t="s">
        <v>1647</v>
      </c>
      <c r="L1694" t="s">
        <v>73</v>
      </c>
      <c r="M1694" t="s">
        <v>90</v>
      </c>
      <c r="N1694" s="6" t="s">
        <v>1647</v>
      </c>
      <c r="O1694" t="str">
        <f t="shared" si="105"/>
        <v>Normal</v>
      </c>
      <c r="P1694" t="str">
        <f t="shared" si="106"/>
        <v>Duplicate ID</v>
      </c>
      <c r="Q1694" t="str">
        <f t="shared" si="107"/>
        <v>5,000-9,999</v>
      </c>
      <c r="R1694" s="6">
        <f>IF(COUNTIF($A$2:A1694,A1694)=1,1,0)</f>
        <v>0</v>
      </c>
    </row>
    <row r="1695" spans="1:18" x14ac:dyDescent="0.25">
      <c r="A1695" s="6">
        <v>1184</v>
      </c>
      <c r="B1695" s="7">
        <v>45310</v>
      </c>
      <c r="C1695" t="s">
        <v>119</v>
      </c>
      <c r="D1695" s="6">
        <v>2019</v>
      </c>
      <c r="E1695" s="8">
        <v>14255</v>
      </c>
      <c r="F1695" s="8">
        <v>18000</v>
      </c>
      <c r="G1695" s="8">
        <f t="shared" si="104"/>
        <v>3745</v>
      </c>
      <c r="H1695" s="6">
        <v>15000</v>
      </c>
      <c r="I1695" t="s">
        <v>41</v>
      </c>
      <c r="J1695" t="s">
        <v>72</v>
      </c>
      <c r="K1695" t="s">
        <v>36</v>
      </c>
      <c r="L1695" t="s">
        <v>48</v>
      </c>
      <c r="M1695" t="s">
        <v>98</v>
      </c>
      <c r="N1695" s="6">
        <v>3</v>
      </c>
      <c r="O1695" t="str">
        <f t="shared" si="105"/>
        <v>Normal</v>
      </c>
      <c r="P1695" t="str">
        <f t="shared" si="106"/>
        <v>Duplicate ID</v>
      </c>
      <c r="Q1695" t="str">
        <f t="shared" si="107"/>
        <v>10,000-14,999</v>
      </c>
      <c r="R1695" s="6">
        <f>IF(COUNTIF($A$2:A1695,A1695)=1,1,0)</f>
        <v>0</v>
      </c>
    </row>
    <row r="1696" spans="1:18" x14ac:dyDescent="0.25">
      <c r="A1696" s="6">
        <v>1025</v>
      </c>
      <c r="B1696" s="7">
        <v>45290</v>
      </c>
      <c r="C1696" t="s">
        <v>40</v>
      </c>
      <c r="D1696" s="6">
        <v>2017</v>
      </c>
      <c r="E1696" s="8">
        <v>23605</v>
      </c>
      <c r="F1696" s="8">
        <v>26000</v>
      </c>
      <c r="G1696" s="8">
        <f t="shared" si="104"/>
        <v>2395</v>
      </c>
      <c r="H1696" s="6">
        <v>60000</v>
      </c>
      <c r="I1696" t="s">
        <v>58</v>
      </c>
      <c r="J1696" t="s">
        <v>72</v>
      </c>
      <c r="K1696" t="s">
        <v>1647</v>
      </c>
      <c r="L1696" t="s">
        <v>73</v>
      </c>
      <c r="M1696" t="s">
        <v>45</v>
      </c>
      <c r="N1696" s="6" t="s">
        <v>1647</v>
      </c>
      <c r="O1696" t="str">
        <f t="shared" si="105"/>
        <v>Normal</v>
      </c>
      <c r="P1696" t="str">
        <f t="shared" si="106"/>
        <v>Duplicate ID</v>
      </c>
      <c r="Q1696" t="str">
        <f t="shared" si="107"/>
        <v>20,000-24,999</v>
      </c>
      <c r="R1696" s="6">
        <f>IF(COUNTIF($A$2:A1696,A1696)=1,1,0)</f>
        <v>0</v>
      </c>
    </row>
    <row r="1697" spans="1:18" x14ac:dyDescent="0.25">
      <c r="A1697" s="6">
        <v>1225</v>
      </c>
      <c r="B1697" s="7">
        <v>44908</v>
      </c>
      <c r="C1697" t="s">
        <v>51</v>
      </c>
      <c r="D1697" s="6">
        <v>2021</v>
      </c>
      <c r="E1697" s="8">
        <v>16970</v>
      </c>
      <c r="F1697" s="8">
        <v>18000</v>
      </c>
      <c r="G1697" s="8">
        <f t="shared" si="104"/>
        <v>1030</v>
      </c>
      <c r="H1697" s="6">
        <v>60000</v>
      </c>
      <c r="I1697" t="s">
        <v>41</v>
      </c>
      <c r="J1697" t="s">
        <v>72</v>
      </c>
      <c r="K1697" t="s">
        <v>1647</v>
      </c>
      <c r="L1697" t="s">
        <v>100</v>
      </c>
      <c r="M1697" t="s">
        <v>90</v>
      </c>
      <c r="N1697" s="6">
        <v>0</v>
      </c>
      <c r="O1697" t="str">
        <f t="shared" si="105"/>
        <v>Normal</v>
      </c>
      <c r="P1697" t="str">
        <f t="shared" si="106"/>
        <v>Duplicate ID</v>
      </c>
      <c r="Q1697" t="str">
        <f t="shared" si="107"/>
        <v>15,000-19,999</v>
      </c>
      <c r="R1697" s="6">
        <f>IF(COUNTIF($A$2:A1697,A1697)=1,1,0)</f>
        <v>0</v>
      </c>
    </row>
    <row r="1698" spans="1:18" x14ac:dyDescent="0.25">
      <c r="A1698" s="6">
        <v>1297</v>
      </c>
      <c r="B1698" s="7">
        <v>45228</v>
      </c>
      <c r="C1698" t="s">
        <v>1648</v>
      </c>
      <c r="D1698" s="6">
        <v>2021</v>
      </c>
      <c r="E1698" s="8">
        <v>10332</v>
      </c>
      <c r="F1698" s="8">
        <v>15000</v>
      </c>
      <c r="G1698" s="8">
        <f t="shared" si="104"/>
        <v>4668</v>
      </c>
      <c r="H1698" s="6">
        <v>80000</v>
      </c>
      <c r="I1698" t="s">
        <v>41</v>
      </c>
      <c r="J1698" t="s">
        <v>72</v>
      </c>
      <c r="K1698" t="s">
        <v>36</v>
      </c>
      <c r="L1698" t="s">
        <v>48</v>
      </c>
      <c r="M1698" t="s">
        <v>90</v>
      </c>
      <c r="N1698" s="6">
        <v>3</v>
      </c>
      <c r="O1698" t="str">
        <f t="shared" si="105"/>
        <v>Normal</v>
      </c>
      <c r="P1698" t="str">
        <f t="shared" si="106"/>
        <v>Duplicate ID</v>
      </c>
      <c r="Q1698" t="str">
        <f t="shared" si="107"/>
        <v>10,000-14,999</v>
      </c>
      <c r="R1698" s="6">
        <f>IF(COUNTIF($A$2:A1698,A1698)=1,1,0)</f>
        <v>0</v>
      </c>
    </row>
    <row r="1699" spans="1:18" x14ac:dyDescent="0.25">
      <c r="A1699" s="6">
        <v>1497</v>
      </c>
      <c r="B1699" s="7">
        <v>45027</v>
      </c>
      <c r="C1699" t="s">
        <v>1648</v>
      </c>
      <c r="D1699" s="6">
        <v>2019</v>
      </c>
      <c r="E1699" s="8">
        <v>5150</v>
      </c>
      <c r="F1699" s="8">
        <v>7000</v>
      </c>
      <c r="G1699" s="8">
        <f t="shared" si="104"/>
        <v>1850</v>
      </c>
      <c r="H1699" s="6">
        <v>120000</v>
      </c>
      <c r="I1699" t="s">
        <v>1647</v>
      </c>
      <c r="J1699" t="s">
        <v>72</v>
      </c>
      <c r="K1699" t="s">
        <v>96</v>
      </c>
      <c r="L1699" t="s">
        <v>100</v>
      </c>
      <c r="M1699" t="s">
        <v>1647</v>
      </c>
      <c r="N1699" s="6" t="s">
        <v>1647</v>
      </c>
      <c r="O1699" t="str">
        <f t="shared" si="105"/>
        <v>Normal</v>
      </c>
      <c r="P1699" t="str">
        <f t="shared" si="106"/>
        <v>Duplicate ID</v>
      </c>
      <c r="Q1699" t="str">
        <f t="shared" si="107"/>
        <v>5,000-9,999</v>
      </c>
      <c r="R1699" s="6">
        <f>IF(COUNTIF($A$2:A1699,A1699)=1,1,0)</f>
        <v>0</v>
      </c>
    </row>
    <row r="1700" spans="1:18" x14ac:dyDescent="0.25">
      <c r="A1700" s="6">
        <v>1366</v>
      </c>
      <c r="B1700" s="7">
        <v>45274</v>
      </c>
      <c r="C1700" t="s">
        <v>57</v>
      </c>
      <c r="D1700" s="6">
        <v>2020</v>
      </c>
      <c r="E1700" s="8">
        <v>9538</v>
      </c>
      <c r="F1700" s="8">
        <v>15000</v>
      </c>
      <c r="G1700" s="8">
        <f t="shared" si="104"/>
        <v>5462</v>
      </c>
      <c r="H1700" s="6">
        <v>60000</v>
      </c>
      <c r="I1700" t="s">
        <v>58</v>
      </c>
      <c r="J1700" t="s">
        <v>72</v>
      </c>
      <c r="K1700" t="s">
        <v>96</v>
      </c>
      <c r="L1700" t="s">
        <v>100</v>
      </c>
      <c r="M1700" t="s">
        <v>90</v>
      </c>
      <c r="N1700" s="6">
        <v>1</v>
      </c>
      <c r="O1700" t="str">
        <f t="shared" si="105"/>
        <v>Normal</v>
      </c>
      <c r="P1700" t="str">
        <f t="shared" si="106"/>
        <v>Duplicate ID</v>
      </c>
      <c r="Q1700" t="str">
        <f t="shared" si="107"/>
        <v>5,000-9,999</v>
      </c>
      <c r="R1700" s="6">
        <f>IF(COUNTIF($A$2:A1700,A1700)=1,1,0)</f>
        <v>0</v>
      </c>
    </row>
    <row r="1701" spans="1:18" x14ac:dyDescent="0.25">
      <c r="A1701" s="6">
        <v>1011</v>
      </c>
      <c r="B1701" s="7">
        <v>45251</v>
      </c>
      <c r="C1701" t="s">
        <v>1648</v>
      </c>
      <c r="D1701" s="6">
        <v>2020</v>
      </c>
      <c r="E1701" s="8">
        <v>20784</v>
      </c>
      <c r="F1701" s="8">
        <v>26000</v>
      </c>
      <c r="G1701" s="8">
        <f t="shared" si="104"/>
        <v>5216</v>
      </c>
      <c r="H1701" s="6">
        <v>60000</v>
      </c>
      <c r="I1701" t="s">
        <v>34</v>
      </c>
      <c r="J1701" t="s">
        <v>35</v>
      </c>
      <c r="K1701" t="s">
        <v>96</v>
      </c>
      <c r="L1701" t="s">
        <v>54</v>
      </c>
      <c r="M1701" t="s">
        <v>90</v>
      </c>
      <c r="N1701" s="6">
        <v>1</v>
      </c>
      <c r="O1701" t="str">
        <f t="shared" si="105"/>
        <v>Normal</v>
      </c>
      <c r="P1701" t="str">
        <f t="shared" si="106"/>
        <v>Duplicate ID</v>
      </c>
      <c r="Q1701" t="str">
        <f t="shared" si="107"/>
        <v>20,000-24,999</v>
      </c>
      <c r="R1701" s="6">
        <f>IF(COUNTIF($A$2:A1701,A1701)=1,1,0)</f>
        <v>0</v>
      </c>
    </row>
    <row r="1702" spans="1:18" x14ac:dyDescent="0.25">
      <c r="A1702" s="6">
        <v>1325</v>
      </c>
      <c r="B1702" s="7">
        <v>44692</v>
      </c>
      <c r="C1702" t="s">
        <v>40</v>
      </c>
      <c r="D1702" s="6">
        <v>2021</v>
      </c>
      <c r="E1702" s="8">
        <v>12219</v>
      </c>
      <c r="F1702" s="8">
        <v>18000</v>
      </c>
      <c r="G1702" s="8">
        <f t="shared" si="104"/>
        <v>5781</v>
      </c>
      <c r="H1702" s="6">
        <v>80000</v>
      </c>
      <c r="I1702" t="s">
        <v>1647</v>
      </c>
      <c r="J1702" t="s">
        <v>72</v>
      </c>
      <c r="K1702" t="s">
        <v>96</v>
      </c>
      <c r="L1702" t="s">
        <v>100</v>
      </c>
      <c r="M1702" t="s">
        <v>98</v>
      </c>
      <c r="N1702" s="6">
        <v>2</v>
      </c>
      <c r="O1702" t="str">
        <f t="shared" si="105"/>
        <v>Normal</v>
      </c>
      <c r="P1702" t="str">
        <f t="shared" si="106"/>
        <v>Duplicate ID</v>
      </c>
      <c r="Q1702" t="str">
        <f t="shared" si="107"/>
        <v>10,000-14,999</v>
      </c>
      <c r="R1702" s="6">
        <f>IF(COUNTIF($A$2:A1702,A1702)=1,1,0)</f>
        <v>0</v>
      </c>
    </row>
    <row r="1703" spans="1:18" x14ac:dyDescent="0.25">
      <c r="A1703" s="6">
        <v>1570</v>
      </c>
      <c r="B1703" s="7">
        <v>44581</v>
      </c>
      <c r="C1703" t="s">
        <v>1648</v>
      </c>
      <c r="D1703" s="6">
        <v>2020</v>
      </c>
      <c r="E1703" s="8">
        <v>12503</v>
      </c>
      <c r="F1703" s="8">
        <v>18000</v>
      </c>
      <c r="G1703" s="8">
        <f t="shared" si="104"/>
        <v>5497</v>
      </c>
      <c r="H1703" s="6">
        <v>15000</v>
      </c>
      <c r="I1703" t="s">
        <v>41</v>
      </c>
      <c r="J1703" t="s">
        <v>35</v>
      </c>
      <c r="K1703" t="s">
        <v>96</v>
      </c>
      <c r="L1703" t="s">
        <v>73</v>
      </c>
      <c r="M1703" t="s">
        <v>98</v>
      </c>
      <c r="N1703" s="6">
        <v>0</v>
      </c>
      <c r="O1703" t="str">
        <f t="shared" si="105"/>
        <v>Normal</v>
      </c>
      <c r="P1703" t="str">
        <f t="shared" si="106"/>
        <v>Duplicate ID</v>
      </c>
      <c r="Q1703" t="str">
        <f t="shared" si="107"/>
        <v>10,000-14,999</v>
      </c>
      <c r="R1703" s="6">
        <f>IF(COUNTIF($A$2:A1703,A1703)=1,1,0)</f>
        <v>0</v>
      </c>
    </row>
    <row r="1704" spans="1:18" x14ac:dyDescent="0.25">
      <c r="A1704" s="6">
        <v>1585</v>
      </c>
      <c r="B1704" s="7">
        <v>44582</v>
      </c>
      <c r="C1704" t="s">
        <v>79</v>
      </c>
      <c r="D1704" s="6">
        <v>2019</v>
      </c>
      <c r="E1704" s="8">
        <v>25227</v>
      </c>
      <c r="F1704" s="8">
        <v>31000</v>
      </c>
      <c r="G1704" s="8">
        <f t="shared" si="104"/>
        <v>5773</v>
      </c>
      <c r="H1704" s="6">
        <v>80000</v>
      </c>
      <c r="I1704" t="s">
        <v>69</v>
      </c>
      <c r="J1704" t="s">
        <v>72</v>
      </c>
      <c r="K1704" t="s">
        <v>96</v>
      </c>
      <c r="L1704" t="s">
        <v>73</v>
      </c>
      <c r="M1704" t="s">
        <v>1647</v>
      </c>
      <c r="N1704" s="6" t="s">
        <v>1647</v>
      </c>
      <c r="O1704" t="str">
        <f t="shared" si="105"/>
        <v>Normal</v>
      </c>
      <c r="P1704" t="str">
        <f t="shared" si="106"/>
        <v>Duplicate ID</v>
      </c>
      <c r="Q1704" t="str">
        <f t="shared" si="107"/>
        <v>25,000-30,000</v>
      </c>
      <c r="R1704" s="6">
        <f>IF(COUNTIF($A$2:A1704,A1704)=1,1,0)</f>
        <v>0</v>
      </c>
    </row>
    <row r="1705" spans="1:18" x14ac:dyDescent="0.25">
      <c r="A1705" s="6">
        <v>1040</v>
      </c>
      <c r="B1705" s="7">
        <v>45074</v>
      </c>
      <c r="C1705" t="s">
        <v>1648</v>
      </c>
      <c r="D1705" s="6">
        <v>2015</v>
      </c>
      <c r="E1705" s="8">
        <v>3695</v>
      </c>
      <c r="F1705" s="8">
        <v>9000</v>
      </c>
      <c r="G1705" s="8">
        <f t="shared" si="104"/>
        <v>5305</v>
      </c>
      <c r="H1705" s="6">
        <v>40000</v>
      </c>
      <c r="I1705" t="s">
        <v>41</v>
      </c>
      <c r="J1705" t="s">
        <v>1647</v>
      </c>
      <c r="K1705" t="s">
        <v>36</v>
      </c>
      <c r="L1705" t="s">
        <v>54</v>
      </c>
      <c r="M1705" t="s">
        <v>45</v>
      </c>
      <c r="N1705" s="6" t="s">
        <v>1647</v>
      </c>
      <c r="O1705" t="str">
        <f t="shared" si="105"/>
        <v>Normal</v>
      </c>
      <c r="P1705" t="str">
        <f t="shared" si="106"/>
        <v>Duplicate ID</v>
      </c>
      <c r="Q1705" t="str">
        <f t="shared" si="107"/>
        <v>0-4,999</v>
      </c>
      <c r="R1705" s="6">
        <f>IF(COUNTIF($A$2:A1705,A1705)=1,1,0)</f>
        <v>0</v>
      </c>
    </row>
    <row r="1706" spans="1:18" x14ac:dyDescent="0.25">
      <c r="A1706" s="6">
        <v>1474</v>
      </c>
      <c r="B1706" s="7">
        <v>44912</v>
      </c>
      <c r="C1706" t="s">
        <v>57</v>
      </c>
      <c r="D1706" s="6">
        <v>2022</v>
      </c>
      <c r="E1706" s="8">
        <v>25976</v>
      </c>
      <c r="F1706" s="8">
        <v>31000</v>
      </c>
      <c r="G1706" s="8">
        <f t="shared" si="104"/>
        <v>5024</v>
      </c>
      <c r="H1706" s="6">
        <v>80000</v>
      </c>
      <c r="I1706" t="s">
        <v>58</v>
      </c>
      <c r="J1706" t="s">
        <v>1647</v>
      </c>
      <c r="K1706" t="s">
        <v>36</v>
      </c>
      <c r="L1706" t="s">
        <v>73</v>
      </c>
      <c r="M1706" t="s">
        <v>126</v>
      </c>
      <c r="N1706" s="6">
        <v>0</v>
      </c>
      <c r="O1706" t="str">
        <f t="shared" si="105"/>
        <v>Normal</v>
      </c>
      <c r="P1706" t="str">
        <f t="shared" si="106"/>
        <v>Duplicate ID</v>
      </c>
      <c r="Q1706" t="str">
        <f t="shared" si="107"/>
        <v>25,000-30,000</v>
      </c>
      <c r="R1706" s="6">
        <f>IF(COUNTIF($A$2:A1706,A1706)=1,1,0)</f>
        <v>0</v>
      </c>
    </row>
    <row r="1707" spans="1:18" x14ac:dyDescent="0.25">
      <c r="A1707" s="6">
        <v>1400</v>
      </c>
      <c r="B1707" s="7">
        <v>45235</v>
      </c>
      <c r="C1707" t="s">
        <v>32</v>
      </c>
      <c r="D1707" s="6">
        <v>2019</v>
      </c>
      <c r="E1707" s="8">
        <v>727</v>
      </c>
      <c r="F1707" s="8">
        <v>7000</v>
      </c>
      <c r="G1707" s="8">
        <f t="shared" si="104"/>
        <v>6273</v>
      </c>
      <c r="H1707" s="6">
        <v>15000</v>
      </c>
      <c r="I1707" t="s">
        <v>41</v>
      </c>
      <c r="J1707" t="s">
        <v>72</v>
      </c>
      <c r="K1707" t="s">
        <v>1647</v>
      </c>
      <c r="L1707" t="s">
        <v>54</v>
      </c>
      <c r="M1707" t="s">
        <v>90</v>
      </c>
      <c r="N1707" s="6">
        <v>1</v>
      </c>
      <c r="O1707" t="str">
        <f t="shared" si="105"/>
        <v>Outlier</v>
      </c>
      <c r="P1707" t="str">
        <f t="shared" si="106"/>
        <v>Duplicate ID</v>
      </c>
      <c r="Q1707" t="str">
        <f t="shared" si="107"/>
        <v>0-4,999</v>
      </c>
      <c r="R1707" s="6">
        <f>IF(COUNTIF($A$2:A1707,A1707)=1,1,0)</f>
        <v>0</v>
      </c>
    </row>
    <row r="1708" spans="1:18" x14ac:dyDescent="0.25">
      <c r="A1708" s="6">
        <v>1121</v>
      </c>
      <c r="B1708" s="7">
        <v>44628</v>
      </c>
      <c r="C1708" t="s">
        <v>57</v>
      </c>
      <c r="D1708" s="6">
        <v>2017</v>
      </c>
      <c r="E1708" s="8">
        <v>9047</v>
      </c>
      <c r="F1708" s="8">
        <v>15000</v>
      </c>
      <c r="G1708" s="8">
        <f t="shared" si="104"/>
        <v>5953</v>
      </c>
      <c r="H1708" s="6">
        <v>60000</v>
      </c>
      <c r="I1708" t="s">
        <v>41</v>
      </c>
      <c r="J1708" t="s">
        <v>35</v>
      </c>
      <c r="K1708" t="s">
        <v>96</v>
      </c>
      <c r="L1708" t="s">
        <v>100</v>
      </c>
      <c r="M1708" t="s">
        <v>126</v>
      </c>
      <c r="N1708" s="6">
        <v>1</v>
      </c>
      <c r="O1708" t="str">
        <f t="shared" si="105"/>
        <v>Normal</v>
      </c>
      <c r="P1708" t="str">
        <f t="shared" si="106"/>
        <v>Duplicate ID</v>
      </c>
      <c r="Q1708" t="str">
        <f t="shared" si="107"/>
        <v>5,000-9,999</v>
      </c>
      <c r="R1708" s="6">
        <f>IF(COUNTIF($A$2:A1708,A1708)=1,1,0)</f>
        <v>0</v>
      </c>
    </row>
    <row r="1709" spans="1:18" x14ac:dyDescent="0.25">
      <c r="A1709" s="6">
        <v>1142</v>
      </c>
      <c r="B1709" s="7">
        <v>45064</v>
      </c>
      <c r="C1709" t="s">
        <v>119</v>
      </c>
      <c r="D1709" s="6">
        <v>2016</v>
      </c>
      <c r="E1709" s="8">
        <v>19179</v>
      </c>
      <c r="F1709" s="8">
        <v>26000</v>
      </c>
      <c r="G1709" s="8">
        <f t="shared" si="104"/>
        <v>6821</v>
      </c>
      <c r="H1709" s="6">
        <v>120000</v>
      </c>
      <c r="I1709" t="s">
        <v>58</v>
      </c>
      <c r="J1709" t="s">
        <v>72</v>
      </c>
      <c r="K1709" t="s">
        <v>96</v>
      </c>
      <c r="L1709" t="s">
        <v>73</v>
      </c>
      <c r="M1709" t="s">
        <v>45</v>
      </c>
      <c r="N1709" s="6">
        <v>3</v>
      </c>
      <c r="O1709" t="str">
        <f t="shared" si="105"/>
        <v>Normal</v>
      </c>
      <c r="P1709" t="str">
        <f t="shared" si="106"/>
        <v>Duplicate ID</v>
      </c>
      <c r="Q1709" t="str">
        <f t="shared" si="107"/>
        <v>15,000-19,999</v>
      </c>
      <c r="R1709" s="6">
        <f>IF(COUNTIF($A$2:A1709,A1709)=1,1,0)</f>
        <v>0</v>
      </c>
    </row>
    <row r="1710" spans="1:18" x14ac:dyDescent="0.25">
      <c r="A1710" s="6">
        <v>1417</v>
      </c>
      <c r="B1710" s="7">
        <v>44949</v>
      </c>
      <c r="C1710" t="s">
        <v>40</v>
      </c>
      <c r="D1710" s="6">
        <v>2018</v>
      </c>
      <c r="E1710" s="8">
        <v>13797</v>
      </c>
      <c r="F1710" s="8">
        <v>18000</v>
      </c>
      <c r="G1710" s="8">
        <f t="shared" si="104"/>
        <v>4203</v>
      </c>
      <c r="H1710" s="6">
        <v>40000</v>
      </c>
      <c r="I1710" t="s">
        <v>34</v>
      </c>
      <c r="J1710" t="s">
        <v>1647</v>
      </c>
      <c r="K1710" t="s">
        <v>96</v>
      </c>
      <c r="L1710" t="s">
        <v>100</v>
      </c>
      <c r="M1710" t="s">
        <v>45</v>
      </c>
      <c r="N1710" s="6">
        <v>2</v>
      </c>
      <c r="O1710" t="str">
        <f t="shared" si="105"/>
        <v>Normal</v>
      </c>
      <c r="P1710" t="str">
        <f t="shared" si="106"/>
        <v>Duplicate ID</v>
      </c>
      <c r="Q1710" t="str">
        <f t="shared" si="107"/>
        <v>10,000-14,999</v>
      </c>
      <c r="R1710" s="6">
        <f>IF(COUNTIF($A$2:A1710,A1710)=1,1,0)</f>
        <v>0</v>
      </c>
    </row>
    <row r="1711" spans="1:18" x14ac:dyDescent="0.25">
      <c r="A1711" s="6">
        <v>1287</v>
      </c>
      <c r="B1711" s="7">
        <v>44331</v>
      </c>
      <c r="C1711" t="s">
        <v>119</v>
      </c>
      <c r="D1711" s="6">
        <v>2019</v>
      </c>
      <c r="E1711" s="8">
        <v>11295</v>
      </c>
      <c r="F1711" s="8">
        <v>15000</v>
      </c>
      <c r="G1711" s="8">
        <f t="shared" si="104"/>
        <v>3705</v>
      </c>
      <c r="H1711" s="6">
        <v>40000</v>
      </c>
      <c r="I1711" t="s">
        <v>34</v>
      </c>
      <c r="J1711" t="s">
        <v>72</v>
      </c>
      <c r="K1711" t="s">
        <v>1647</v>
      </c>
      <c r="L1711" t="s">
        <v>100</v>
      </c>
      <c r="M1711" t="s">
        <v>45</v>
      </c>
      <c r="N1711" s="6" t="s">
        <v>1647</v>
      </c>
      <c r="O1711" t="str">
        <f t="shared" si="105"/>
        <v>Normal</v>
      </c>
      <c r="P1711" t="str">
        <f t="shared" si="106"/>
        <v>Duplicate ID</v>
      </c>
      <c r="Q1711" t="str">
        <f t="shared" si="107"/>
        <v>10,000-14,999</v>
      </c>
      <c r="R1711" s="6">
        <f>IF(COUNTIF($A$2:A1711,A1711)=1,1,0)</f>
        <v>0</v>
      </c>
    </row>
    <row r="1712" spans="1:18" x14ac:dyDescent="0.25">
      <c r="A1712" s="6">
        <v>1439</v>
      </c>
      <c r="B1712" s="7">
        <v>45317</v>
      </c>
      <c r="C1712" t="s">
        <v>57</v>
      </c>
      <c r="D1712" s="6">
        <v>2018</v>
      </c>
      <c r="E1712" s="8">
        <v>11107</v>
      </c>
      <c r="F1712" s="8">
        <v>15000</v>
      </c>
      <c r="G1712" s="8">
        <f t="shared" si="104"/>
        <v>3893</v>
      </c>
      <c r="H1712" s="6">
        <v>120000</v>
      </c>
      <c r="I1712" t="s">
        <v>58</v>
      </c>
      <c r="J1712" t="s">
        <v>72</v>
      </c>
      <c r="K1712" t="s">
        <v>96</v>
      </c>
      <c r="L1712" t="s">
        <v>54</v>
      </c>
      <c r="M1712" t="s">
        <v>1647</v>
      </c>
      <c r="N1712" s="6">
        <v>2</v>
      </c>
      <c r="O1712" t="str">
        <f t="shared" si="105"/>
        <v>Normal</v>
      </c>
      <c r="P1712" t="str">
        <f t="shared" si="106"/>
        <v>Duplicate ID</v>
      </c>
      <c r="Q1712" t="str">
        <f t="shared" si="107"/>
        <v>10,000-14,999</v>
      </c>
      <c r="R1712" s="6">
        <f>IF(COUNTIF($A$2:A1712,A1712)=1,1,0)</f>
        <v>0</v>
      </c>
    </row>
    <row r="1713" spans="1:18" x14ac:dyDescent="0.25">
      <c r="A1713" s="6">
        <v>1373</v>
      </c>
      <c r="B1713" s="7">
        <v>45165</v>
      </c>
      <c r="C1713" t="s">
        <v>119</v>
      </c>
      <c r="D1713" s="6">
        <v>2016</v>
      </c>
      <c r="E1713" s="8">
        <v>2226</v>
      </c>
      <c r="F1713" s="8">
        <v>7000</v>
      </c>
      <c r="G1713" s="8">
        <f t="shared" si="104"/>
        <v>4774</v>
      </c>
      <c r="H1713" s="6">
        <v>120000</v>
      </c>
      <c r="I1713" t="s">
        <v>69</v>
      </c>
      <c r="J1713" t="s">
        <v>35</v>
      </c>
      <c r="K1713" t="s">
        <v>36</v>
      </c>
      <c r="L1713" t="s">
        <v>48</v>
      </c>
      <c r="M1713" t="s">
        <v>1647</v>
      </c>
      <c r="N1713" s="6">
        <v>1</v>
      </c>
      <c r="O1713" t="str">
        <f t="shared" si="105"/>
        <v>Normal</v>
      </c>
      <c r="P1713" t="str">
        <f t="shared" si="106"/>
        <v>Unique ID</v>
      </c>
      <c r="Q1713" t="str">
        <f t="shared" si="107"/>
        <v>0-4,999</v>
      </c>
      <c r="R1713" s="6">
        <f>IF(COUNTIF($A$2:A1713,A1713)=1,1,0)</f>
        <v>1</v>
      </c>
    </row>
    <row r="1714" spans="1:18" x14ac:dyDescent="0.25">
      <c r="A1714" s="6">
        <v>1548</v>
      </c>
      <c r="B1714" s="7">
        <v>44887</v>
      </c>
      <c r="C1714" t="s">
        <v>119</v>
      </c>
      <c r="D1714" s="6">
        <v>2018</v>
      </c>
      <c r="E1714" s="8">
        <v>10473</v>
      </c>
      <c r="F1714" s="8">
        <v>15000</v>
      </c>
      <c r="G1714" s="8">
        <f t="shared" si="104"/>
        <v>4527</v>
      </c>
      <c r="H1714" s="6">
        <v>120000</v>
      </c>
      <c r="I1714" t="s">
        <v>69</v>
      </c>
      <c r="J1714" t="s">
        <v>72</v>
      </c>
      <c r="K1714" t="s">
        <v>36</v>
      </c>
      <c r="L1714" t="s">
        <v>54</v>
      </c>
      <c r="M1714" t="s">
        <v>126</v>
      </c>
      <c r="N1714" s="6" t="s">
        <v>1647</v>
      </c>
      <c r="O1714" t="str">
        <f t="shared" si="105"/>
        <v>Normal</v>
      </c>
      <c r="P1714" t="str">
        <f t="shared" si="106"/>
        <v>Duplicate ID</v>
      </c>
      <c r="Q1714" t="str">
        <f t="shared" si="107"/>
        <v>10,000-14,999</v>
      </c>
      <c r="R1714" s="6">
        <f>IF(COUNTIF($A$2:A1714,A1714)=1,1,0)</f>
        <v>0</v>
      </c>
    </row>
    <row r="1715" spans="1:18" x14ac:dyDescent="0.25">
      <c r="A1715" s="6">
        <v>1008</v>
      </c>
      <c r="B1715" s="7">
        <v>44535</v>
      </c>
      <c r="C1715" t="s">
        <v>57</v>
      </c>
      <c r="D1715" s="6">
        <v>2022</v>
      </c>
      <c r="E1715" s="8">
        <v>13204</v>
      </c>
      <c r="F1715" s="8">
        <v>18000</v>
      </c>
      <c r="G1715" s="8">
        <f t="shared" si="104"/>
        <v>4796</v>
      </c>
      <c r="H1715" s="6">
        <v>60000</v>
      </c>
      <c r="I1715" t="s">
        <v>58</v>
      </c>
      <c r="J1715" t="s">
        <v>1647</v>
      </c>
      <c r="K1715" t="s">
        <v>36</v>
      </c>
      <c r="L1715" t="s">
        <v>48</v>
      </c>
      <c r="M1715" t="s">
        <v>98</v>
      </c>
      <c r="N1715" s="6">
        <v>1</v>
      </c>
      <c r="O1715" t="str">
        <f t="shared" si="105"/>
        <v>Normal</v>
      </c>
      <c r="P1715" t="str">
        <f t="shared" si="106"/>
        <v>Duplicate ID</v>
      </c>
      <c r="Q1715" t="str">
        <f t="shared" si="107"/>
        <v>10,000-14,999</v>
      </c>
      <c r="R1715" s="6">
        <f>IF(COUNTIF($A$2:A1715,A1715)=1,1,0)</f>
        <v>0</v>
      </c>
    </row>
    <row r="1716" spans="1:18" x14ac:dyDescent="0.25">
      <c r="A1716" s="6">
        <v>1004</v>
      </c>
      <c r="B1716" s="7">
        <v>44904</v>
      </c>
      <c r="C1716" t="s">
        <v>1648</v>
      </c>
      <c r="D1716" s="6">
        <v>2016</v>
      </c>
      <c r="E1716" s="8">
        <v>15799</v>
      </c>
      <c r="F1716" s="8">
        <v>22000</v>
      </c>
      <c r="G1716" s="8">
        <f t="shared" si="104"/>
        <v>6201</v>
      </c>
      <c r="H1716" s="6">
        <v>40000</v>
      </c>
      <c r="I1716" t="s">
        <v>58</v>
      </c>
      <c r="J1716" t="s">
        <v>72</v>
      </c>
      <c r="K1716" t="s">
        <v>1647</v>
      </c>
      <c r="L1716" t="s">
        <v>54</v>
      </c>
      <c r="M1716" t="s">
        <v>126</v>
      </c>
      <c r="N1716" s="6">
        <v>2</v>
      </c>
      <c r="O1716" t="str">
        <f t="shared" si="105"/>
        <v>Normal</v>
      </c>
      <c r="P1716" t="str">
        <f t="shared" si="106"/>
        <v>Duplicate ID</v>
      </c>
      <c r="Q1716" t="str">
        <f t="shared" si="107"/>
        <v>15,000-19,999</v>
      </c>
      <c r="R1716" s="6">
        <f>IF(COUNTIF($A$2:A1716,A1716)=1,1,0)</f>
        <v>0</v>
      </c>
    </row>
    <row r="1717" spans="1:18" x14ac:dyDescent="0.25">
      <c r="A1717" s="6">
        <v>1307</v>
      </c>
      <c r="B1717" s="7">
        <v>44206</v>
      </c>
      <c r="C1717" t="s">
        <v>40</v>
      </c>
      <c r="D1717" s="6">
        <v>2018</v>
      </c>
      <c r="E1717" s="8">
        <v>5289</v>
      </c>
      <c r="F1717" s="8">
        <v>12000</v>
      </c>
      <c r="G1717" s="8">
        <f t="shared" si="104"/>
        <v>6711</v>
      </c>
      <c r="H1717" s="6">
        <v>120000</v>
      </c>
      <c r="I1717" t="s">
        <v>41</v>
      </c>
      <c r="J1717" t="s">
        <v>72</v>
      </c>
      <c r="K1717" t="s">
        <v>36</v>
      </c>
      <c r="L1717" t="s">
        <v>54</v>
      </c>
      <c r="M1717" t="s">
        <v>90</v>
      </c>
      <c r="N1717" s="6">
        <v>0</v>
      </c>
      <c r="O1717" t="str">
        <f t="shared" si="105"/>
        <v>Normal</v>
      </c>
      <c r="P1717" t="str">
        <f t="shared" si="106"/>
        <v>Duplicate ID</v>
      </c>
      <c r="Q1717" t="str">
        <f t="shared" si="107"/>
        <v>5,000-9,999</v>
      </c>
      <c r="R1717" s="6">
        <f>IF(COUNTIF($A$2:A1717,A1717)=1,1,0)</f>
        <v>0</v>
      </c>
    </row>
    <row r="1718" spans="1:18" x14ac:dyDescent="0.25">
      <c r="A1718" s="6">
        <v>1229</v>
      </c>
      <c r="B1718" s="7">
        <v>44673</v>
      </c>
      <c r="C1718" t="s">
        <v>32</v>
      </c>
      <c r="D1718" s="6">
        <v>2021</v>
      </c>
      <c r="E1718" s="8">
        <v>11375</v>
      </c>
      <c r="F1718" s="8">
        <v>18000</v>
      </c>
      <c r="G1718" s="8">
        <f t="shared" si="104"/>
        <v>6625</v>
      </c>
      <c r="H1718" s="6">
        <v>120000</v>
      </c>
      <c r="I1718" t="s">
        <v>69</v>
      </c>
      <c r="J1718" t="s">
        <v>35</v>
      </c>
      <c r="K1718" t="s">
        <v>36</v>
      </c>
      <c r="L1718" t="s">
        <v>73</v>
      </c>
      <c r="M1718" t="s">
        <v>126</v>
      </c>
      <c r="N1718" s="6">
        <v>1</v>
      </c>
      <c r="O1718" t="str">
        <f t="shared" si="105"/>
        <v>Normal</v>
      </c>
      <c r="P1718" t="str">
        <f t="shared" si="106"/>
        <v>Duplicate ID</v>
      </c>
      <c r="Q1718" t="str">
        <f t="shared" si="107"/>
        <v>10,000-14,999</v>
      </c>
      <c r="R1718" s="6">
        <f>IF(COUNTIF($A$2:A1718,A1718)=1,1,0)</f>
        <v>0</v>
      </c>
    </row>
    <row r="1719" spans="1:18" x14ac:dyDescent="0.25">
      <c r="A1719" s="6">
        <v>1170</v>
      </c>
      <c r="B1719" s="7">
        <v>44759</v>
      </c>
      <c r="C1719" t="s">
        <v>119</v>
      </c>
      <c r="D1719" s="6">
        <v>2018</v>
      </c>
      <c r="E1719" s="8">
        <v>20761</v>
      </c>
      <c r="F1719" s="8">
        <v>22000</v>
      </c>
      <c r="G1719" s="8">
        <f t="shared" si="104"/>
        <v>1239</v>
      </c>
      <c r="H1719" s="6">
        <v>80000</v>
      </c>
      <c r="I1719" t="s">
        <v>69</v>
      </c>
      <c r="J1719" t="s">
        <v>35</v>
      </c>
      <c r="K1719" t="s">
        <v>1647</v>
      </c>
      <c r="L1719" t="s">
        <v>48</v>
      </c>
      <c r="M1719" t="s">
        <v>98</v>
      </c>
      <c r="N1719" s="6">
        <v>1</v>
      </c>
      <c r="O1719" t="str">
        <f t="shared" si="105"/>
        <v>Normal</v>
      </c>
      <c r="P1719" t="str">
        <f t="shared" si="106"/>
        <v>Duplicate ID</v>
      </c>
      <c r="Q1719" t="str">
        <f t="shared" si="107"/>
        <v>20,000-24,999</v>
      </c>
      <c r="R1719" s="6">
        <f>IF(COUNTIF($A$2:A1719,A1719)=1,1,0)</f>
        <v>0</v>
      </c>
    </row>
    <row r="1720" spans="1:18" x14ac:dyDescent="0.25">
      <c r="A1720" s="6">
        <v>1228</v>
      </c>
      <c r="B1720" s="7">
        <v>45212</v>
      </c>
      <c r="C1720" t="s">
        <v>79</v>
      </c>
      <c r="D1720" s="6">
        <v>2015</v>
      </c>
      <c r="E1720" s="8">
        <v>3023</v>
      </c>
      <c r="F1720" s="8">
        <v>7000</v>
      </c>
      <c r="G1720" s="8">
        <f t="shared" si="104"/>
        <v>3977</v>
      </c>
      <c r="H1720" s="6">
        <v>80000</v>
      </c>
      <c r="I1720" t="s">
        <v>69</v>
      </c>
      <c r="J1720" t="s">
        <v>72</v>
      </c>
      <c r="K1720" t="s">
        <v>96</v>
      </c>
      <c r="L1720" t="s">
        <v>73</v>
      </c>
      <c r="M1720" t="s">
        <v>45</v>
      </c>
      <c r="N1720" s="6">
        <v>3</v>
      </c>
      <c r="O1720" t="str">
        <f t="shared" si="105"/>
        <v>Normal</v>
      </c>
      <c r="P1720" t="str">
        <f t="shared" si="106"/>
        <v>Duplicate ID</v>
      </c>
      <c r="Q1720" t="str">
        <f t="shared" si="107"/>
        <v>0-4,999</v>
      </c>
      <c r="R1720" s="6">
        <f>IF(COUNTIF($A$2:A1720,A1720)=1,1,0)</f>
        <v>0</v>
      </c>
    </row>
    <row r="1721" spans="1:18" x14ac:dyDescent="0.25">
      <c r="A1721" s="6">
        <v>1096</v>
      </c>
      <c r="B1721" s="7">
        <v>44860</v>
      </c>
      <c r="C1721" t="s">
        <v>40</v>
      </c>
      <c r="D1721" s="6"/>
      <c r="E1721" s="8">
        <v>6099</v>
      </c>
      <c r="F1721" s="8">
        <v>9000</v>
      </c>
      <c r="G1721" s="8">
        <f t="shared" si="104"/>
        <v>2901</v>
      </c>
      <c r="H1721" s="6">
        <v>80000</v>
      </c>
      <c r="I1721" t="s">
        <v>69</v>
      </c>
      <c r="J1721" t="s">
        <v>72</v>
      </c>
      <c r="K1721" t="s">
        <v>96</v>
      </c>
      <c r="L1721" t="s">
        <v>100</v>
      </c>
      <c r="M1721" t="s">
        <v>98</v>
      </c>
      <c r="N1721" s="6">
        <v>0</v>
      </c>
      <c r="O1721" t="str">
        <f t="shared" si="105"/>
        <v>Normal</v>
      </c>
      <c r="P1721" t="str">
        <f t="shared" si="106"/>
        <v>Unique ID</v>
      </c>
      <c r="Q1721" t="str">
        <f t="shared" si="107"/>
        <v>5,000-9,999</v>
      </c>
      <c r="R1721" s="6">
        <f>IF(COUNTIF($A$2:A1721,A1721)=1,1,0)</f>
        <v>1</v>
      </c>
    </row>
    <row r="1722" spans="1:18" x14ac:dyDescent="0.25">
      <c r="A1722" s="6">
        <v>1425</v>
      </c>
      <c r="B1722" s="7">
        <v>44417</v>
      </c>
      <c r="C1722" t="s">
        <v>1648</v>
      </c>
      <c r="D1722" s="6">
        <v>2016</v>
      </c>
      <c r="E1722" s="8">
        <v>25546</v>
      </c>
      <c r="F1722" s="8">
        <v>31000</v>
      </c>
      <c r="G1722" s="8">
        <f t="shared" si="104"/>
        <v>5454</v>
      </c>
      <c r="H1722" s="6">
        <v>25000</v>
      </c>
      <c r="I1722" t="s">
        <v>41</v>
      </c>
      <c r="J1722" t="s">
        <v>35</v>
      </c>
      <c r="K1722" t="s">
        <v>36</v>
      </c>
      <c r="L1722" t="s">
        <v>54</v>
      </c>
      <c r="M1722" t="s">
        <v>98</v>
      </c>
      <c r="N1722" s="6">
        <v>2</v>
      </c>
      <c r="O1722" t="str">
        <f t="shared" si="105"/>
        <v>Normal</v>
      </c>
      <c r="P1722" t="str">
        <f t="shared" si="106"/>
        <v>Duplicate ID</v>
      </c>
      <c r="Q1722" t="str">
        <f t="shared" si="107"/>
        <v>25,000-30,000</v>
      </c>
      <c r="R1722" s="6">
        <f>IF(COUNTIF($A$2:A1722,A1722)=1,1,0)</f>
        <v>0</v>
      </c>
    </row>
    <row r="1723" spans="1:18" x14ac:dyDescent="0.25">
      <c r="A1723" s="6">
        <v>1434</v>
      </c>
      <c r="B1723" s="7">
        <v>44552</v>
      </c>
      <c r="C1723" t="s">
        <v>1648</v>
      </c>
      <c r="D1723" s="6">
        <v>2016</v>
      </c>
      <c r="E1723" s="8">
        <v>24169</v>
      </c>
      <c r="F1723" s="8">
        <v>26000</v>
      </c>
      <c r="G1723" s="8">
        <f t="shared" si="104"/>
        <v>1831</v>
      </c>
      <c r="H1723" s="6">
        <v>40000</v>
      </c>
      <c r="I1723" t="s">
        <v>1647</v>
      </c>
      <c r="J1723" t="s">
        <v>72</v>
      </c>
      <c r="K1723" t="s">
        <v>36</v>
      </c>
      <c r="L1723" t="s">
        <v>73</v>
      </c>
      <c r="M1723" t="s">
        <v>126</v>
      </c>
      <c r="N1723" s="6">
        <v>3</v>
      </c>
      <c r="O1723" t="str">
        <f t="shared" si="105"/>
        <v>Normal</v>
      </c>
      <c r="P1723" t="str">
        <f t="shared" si="106"/>
        <v>Duplicate ID</v>
      </c>
      <c r="Q1723" t="str">
        <f t="shared" si="107"/>
        <v>20,000-24,999</v>
      </c>
      <c r="R1723" s="6">
        <f>IF(COUNTIF($A$2:A1723,A1723)=1,1,0)</f>
        <v>0</v>
      </c>
    </row>
    <row r="1724" spans="1:18" x14ac:dyDescent="0.25">
      <c r="A1724" s="6">
        <v>1344</v>
      </c>
      <c r="B1724" s="7">
        <v>44678</v>
      </c>
      <c r="C1724" t="s">
        <v>119</v>
      </c>
      <c r="D1724" s="6">
        <v>2015</v>
      </c>
      <c r="E1724" s="8">
        <v>24835</v>
      </c>
      <c r="F1724" s="8">
        <v>26000</v>
      </c>
      <c r="G1724" s="8">
        <f t="shared" si="104"/>
        <v>1165</v>
      </c>
      <c r="H1724" s="6">
        <v>25000</v>
      </c>
      <c r="I1724" t="s">
        <v>41</v>
      </c>
      <c r="J1724" t="s">
        <v>72</v>
      </c>
      <c r="K1724" t="s">
        <v>96</v>
      </c>
      <c r="L1724" t="s">
        <v>73</v>
      </c>
      <c r="M1724" t="s">
        <v>45</v>
      </c>
      <c r="N1724" s="6" t="s">
        <v>1647</v>
      </c>
      <c r="O1724" t="str">
        <f t="shared" si="105"/>
        <v>Normal</v>
      </c>
      <c r="P1724" t="str">
        <f t="shared" si="106"/>
        <v>Duplicate ID</v>
      </c>
      <c r="Q1724" t="str">
        <f t="shared" si="107"/>
        <v>20,000-24,999</v>
      </c>
      <c r="R1724" s="6">
        <f>IF(COUNTIF($A$2:A1724,A1724)=1,1,0)</f>
        <v>0</v>
      </c>
    </row>
    <row r="1725" spans="1:18" x14ac:dyDescent="0.25">
      <c r="A1725" s="6">
        <v>1177</v>
      </c>
      <c r="B1725" s="7">
        <v>44401</v>
      </c>
      <c r="C1725" t="s">
        <v>32</v>
      </c>
      <c r="D1725" s="6">
        <v>2016</v>
      </c>
      <c r="E1725" s="8">
        <v>23136</v>
      </c>
      <c r="F1725" s="8">
        <v>26000</v>
      </c>
      <c r="G1725" s="8">
        <f t="shared" si="104"/>
        <v>2864</v>
      </c>
      <c r="H1725" s="6">
        <v>60000</v>
      </c>
      <c r="I1725" t="s">
        <v>41</v>
      </c>
      <c r="J1725" t="s">
        <v>72</v>
      </c>
      <c r="K1725" t="s">
        <v>1647</v>
      </c>
      <c r="L1725" t="s">
        <v>54</v>
      </c>
      <c r="M1725" t="s">
        <v>126</v>
      </c>
      <c r="N1725" s="6">
        <v>2</v>
      </c>
      <c r="O1725" t="str">
        <f t="shared" si="105"/>
        <v>Normal</v>
      </c>
      <c r="P1725" t="str">
        <f t="shared" si="106"/>
        <v>Duplicate ID</v>
      </c>
      <c r="Q1725" t="str">
        <f t="shared" si="107"/>
        <v>20,000-24,999</v>
      </c>
      <c r="R1725" s="6">
        <f>IF(COUNTIF($A$2:A1725,A1725)=1,1,0)</f>
        <v>0</v>
      </c>
    </row>
    <row r="1726" spans="1:18" x14ac:dyDescent="0.25">
      <c r="A1726" s="6">
        <v>1410</v>
      </c>
      <c r="B1726" s="7">
        <v>44693</v>
      </c>
      <c r="C1726" t="s">
        <v>32</v>
      </c>
      <c r="D1726" s="6">
        <v>2014</v>
      </c>
      <c r="E1726" s="8">
        <v>6021</v>
      </c>
      <c r="F1726" s="8">
        <v>12000</v>
      </c>
      <c r="G1726" s="8">
        <f t="shared" si="104"/>
        <v>5979</v>
      </c>
      <c r="H1726" s="6">
        <v>40000</v>
      </c>
      <c r="I1726" t="s">
        <v>58</v>
      </c>
      <c r="J1726" t="s">
        <v>35</v>
      </c>
      <c r="K1726" t="s">
        <v>36</v>
      </c>
      <c r="L1726" t="s">
        <v>100</v>
      </c>
      <c r="M1726" t="s">
        <v>45</v>
      </c>
      <c r="N1726" s="6">
        <v>1</v>
      </c>
      <c r="O1726" t="str">
        <f t="shared" si="105"/>
        <v>Normal</v>
      </c>
      <c r="P1726" t="str">
        <f t="shared" si="106"/>
        <v>Duplicate ID</v>
      </c>
      <c r="Q1726" t="str">
        <f t="shared" si="107"/>
        <v>5,000-9,999</v>
      </c>
      <c r="R1726" s="6">
        <f>IF(COUNTIF($A$2:A1726,A1726)=1,1,0)</f>
        <v>0</v>
      </c>
    </row>
    <row r="1727" spans="1:18" x14ac:dyDescent="0.25">
      <c r="A1727" s="6">
        <v>1189</v>
      </c>
      <c r="B1727" s="7">
        <v>45152</v>
      </c>
      <c r="C1727" t="s">
        <v>1648</v>
      </c>
      <c r="D1727" s="6">
        <v>2019</v>
      </c>
      <c r="E1727" s="8">
        <v>17899</v>
      </c>
      <c r="F1727" s="8">
        <v>22000</v>
      </c>
      <c r="G1727" s="8">
        <f t="shared" si="104"/>
        <v>4101</v>
      </c>
      <c r="H1727" s="6">
        <v>60000</v>
      </c>
      <c r="I1727" t="s">
        <v>69</v>
      </c>
      <c r="J1727" t="s">
        <v>1647</v>
      </c>
      <c r="K1727" t="s">
        <v>36</v>
      </c>
      <c r="L1727" t="s">
        <v>54</v>
      </c>
      <c r="M1727" t="s">
        <v>45</v>
      </c>
      <c r="N1727" s="6">
        <v>1</v>
      </c>
      <c r="O1727" t="str">
        <f t="shared" si="105"/>
        <v>Normal</v>
      </c>
      <c r="P1727" t="str">
        <f t="shared" si="106"/>
        <v>Duplicate ID</v>
      </c>
      <c r="Q1727" t="str">
        <f t="shared" si="107"/>
        <v>15,000-19,999</v>
      </c>
      <c r="R1727" s="6">
        <f>IF(COUNTIF($A$2:A1727,A1727)=1,1,0)</f>
        <v>0</v>
      </c>
    </row>
    <row r="1728" spans="1:18" x14ac:dyDescent="0.25">
      <c r="A1728" s="6">
        <v>1446</v>
      </c>
      <c r="B1728" s="7">
        <v>44706</v>
      </c>
      <c r="C1728" t="s">
        <v>40</v>
      </c>
      <c r="D1728" s="6">
        <v>2022</v>
      </c>
      <c r="E1728" s="8">
        <v>11550</v>
      </c>
      <c r="F1728" s="8">
        <v>15000</v>
      </c>
      <c r="G1728" s="8">
        <f t="shared" si="104"/>
        <v>3450</v>
      </c>
      <c r="H1728" s="6">
        <v>120000</v>
      </c>
      <c r="I1728" t="s">
        <v>41</v>
      </c>
      <c r="J1728" t="s">
        <v>35</v>
      </c>
      <c r="K1728" t="s">
        <v>36</v>
      </c>
      <c r="L1728" t="s">
        <v>48</v>
      </c>
      <c r="M1728" t="s">
        <v>98</v>
      </c>
      <c r="N1728" s="6">
        <v>0</v>
      </c>
      <c r="O1728" t="str">
        <f t="shared" si="105"/>
        <v>Normal</v>
      </c>
      <c r="P1728" t="str">
        <f t="shared" si="106"/>
        <v>Duplicate ID</v>
      </c>
      <c r="Q1728" t="str">
        <f t="shared" si="107"/>
        <v>10,000-14,999</v>
      </c>
      <c r="R1728" s="6">
        <f>IF(COUNTIF($A$2:A1728,A1728)=1,1,0)</f>
        <v>0</v>
      </c>
    </row>
    <row r="1729" spans="1:18" x14ac:dyDescent="0.25">
      <c r="A1729" s="6">
        <v>1117</v>
      </c>
      <c r="B1729" s="7">
        <v>45394</v>
      </c>
      <c r="C1729" t="s">
        <v>32</v>
      </c>
      <c r="D1729" s="6">
        <v>2019</v>
      </c>
      <c r="E1729" s="8">
        <v>4796</v>
      </c>
      <c r="F1729" s="8">
        <v>7000</v>
      </c>
      <c r="G1729" s="8">
        <f t="shared" si="104"/>
        <v>2204</v>
      </c>
      <c r="H1729" s="6">
        <v>60000</v>
      </c>
      <c r="I1729" t="s">
        <v>34</v>
      </c>
      <c r="J1729" t="s">
        <v>72</v>
      </c>
      <c r="K1729" t="s">
        <v>36</v>
      </c>
      <c r="L1729" t="s">
        <v>48</v>
      </c>
      <c r="M1729" t="s">
        <v>90</v>
      </c>
      <c r="N1729" s="6">
        <v>1</v>
      </c>
      <c r="O1729" t="str">
        <f t="shared" si="105"/>
        <v>Normal</v>
      </c>
      <c r="P1729" t="str">
        <f t="shared" si="106"/>
        <v>Duplicate ID</v>
      </c>
      <c r="Q1729" t="str">
        <f t="shared" si="107"/>
        <v>0-4,999</v>
      </c>
      <c r="R1729" s="6">
        <f>IF(COUNTIF($A$2:A1729,A1729)=1,1,0)</f>
        <v>0</v>
      </c>
    </row>
    <row r="1730" spans="1:18" x14ac:dyDescent="0.25">
      <c r="A1730" s="6">
        <v>1054</v>
      </c>
      <c r="B1730" s="7">
        <v>44367</v>
      </c>
      <c r="C1730" t="s">
        <v>32</v>
      </c>
      <c r="D1730" s="6">
        <v>2020</v>
      </c>
      <c r="E1730" s="8">
        <v>5967</v>
      </c>
      <c r="F1730" s="8">
        <v>12000</v>
      </c>
      <c r="G1730" s="8">
        <f t="shared" ref="G1730:G1793" si="108">IF(OR(F1730="",E1730=""),"",F1730-E1730)</f>
        <v>6033</v>
      </c>
      <c r="H1730" s="6">
        <v>120000</v>
      </c>
      <c r="I1730" t="s">
        <v>58</v>
      </c>
      <c r="J1730" t="s">
        <v>35</v>
      </c>
      <c r="K1730" t="s">
        <v>36</v>
      </c>
      <c r="L1730" t="s">
        <v>1647</v>
      </c>
      <c r="M1730" t="s">
        <v>90</v>
      </c>
      <c r="N1730" s="6">
        <v>3</v>
      </c>
      <c r="O1730" t="str">
        <f t="shared" ref="O1730:O1793" si="109">IF(E1730&lt;1000,"Outlier","Normal")</f>
        <v>Normal</v>
      </c>
      <c r="P1730" t="str">
        <f t="shared" ref="P1730:P1793" si="110">IF(COUNTIF($A$2:$A$2501,A1730)&gt;1,"Duplicate ID","Unique ID")</f>
        <v>Duplicate ID</v>
      </c>
      <c r="Q1730" t="str">
        <f t="shared" ref="Q1730:Q1793" si="111">IF(E1730&lt;5000,"0-4,999",IF(E1730&lt;10000,"5,000-9,999",IF(E1730&lt;15000,"10,000-14,999",IF(E1730&lt;20000,"15,000-19,999",IF(E1730&lt;25000,"20,000-24,999","25,000-30,000")))))</f>
        <v>5,000-9,999</v>
      </c>
      <c r="R1730" s="6">
        <f>IF(COUNTIF($A$2:A1730,A1730)=1,1,0)</f>
        <v>1</v>
      </c>
    </row>
    <row r="1731" spans="1:18" x14ac:dyDescent="0.25">
      <c r="A1731" s="6">
        <v>1445</v>
      </c>
      <c r="B1731" s="7">
        <v>45140</v>
      </c>
      <c r="C1731" t="s">
        <v>40</v>
      </c>
      <c r="D1731" s="6">
        <v>2019</v>
      </c>
      <c r="E1731" s="8">
        <v>24435</v>
      </c>
      <c r="F1731" s="8">
        <v>31000</v>
      </c>
      <c r="G1731" s="8">
        <f t="shared" si="108"/>
        <v>6565</v>
      </c>
      <c r="H1731" s="6">
        <v>25000</v>
      </c>
      <c r="I1731" t="s">
        <v>58</v>
      </c>
      <c r="J1731" t="s">
        <v>1647</v>
      </c>
      <c r="K1731" t="s">
        <v>1647</v>
      </c>
      <c r="L1731" t="s">
        <v>48</v>
      </c>
      <c r="M1731" t="s">
        <v>98</v>
      </c>
      <c r="N1731" s="6">
        <v>0</v>
      </c>
      <c r="O1731" t="str">
        <f t="shared" si="109"/>
        <v>Normal</v>
      </c>
      <c r="P1731" t="str">
        <f t="shared" si="110"/>
        <v>Duplicate ID</v>
      </c>
      <c r="Q1731" t="str">
        <f t="shared" si="111"/>
        <v>20,000-24,999</v>
      </c>
      <c r="R1731" s="6">
        <f>IF(COUNTIF($A$2:A1731,A1731)=1,1,0)</f>
        <v>0</v>
      </c>
    </row>
    <row r="1732" spans="1:18" x14ac:dyDescent="0.25">
      <c r="A1732" s="6">
        <v>1382</v>
      </c>
      <c r="B1732" s="7">
        <v>44362</v>
      </c>
      <c r="C1732" t="s">
        <v>1648</v>
      </c>
      <c r="D1732" s="6">
        <v>2018</v>
      </c>
      <c r="E1732" s="8">
        <v>12127</v>
      </c>
      <c r="F1732" s="8">
        <v>18000</v>
      </c>
      <c r="G1732" s="8">
        <f t="shared" si="108"/>
        <v>5873</v>
      </c>
      <c r="H1732" s="6">
        <v>40000</v>
      </c>
      <c r="I1732" t="s">
        <v>41</v>
      </c>
      <c r="J1732" t="s">
        <v>35</v>
      </c>
      <c r="K1732" t="s">
        <v>36</v>
      </c>
      <c r="L1732" t="s">
        <v>73</v>
      </c>
      <c r="M1732" t="s">
        <v>90</v>
      </c>
      <c r="N1732" s="6">
        <v>3</v>
      </c>
      <c r="O1732" t="str">
        <f t="shared" si="109"/>
        <v>Normal</v>
      </c>
      <c r="P1732" t="str">
        <f t="shared" si="110"/>
        <v>Duplicate ID</v>
      </c>
      <c r="Q1732" t="str">
        <f t="shared" si="111"/>
        <v>10,000-14,999</v>
      </c>
      <c r="R1732" s="6">
        <f>IF(COUNTIF($A$2:A1732,A1732)=1,1,0)</f>
        <v>0</v>
      </c>
    </row>
    <row r="1733" spans="1:18" x14ac:dyDescent="0.25">
      <c r="A1733" s="6">
        <v>1218</v>
      </c>
      <c r="B1733" s="7">
        <v>44267</v>
      </c>
      <c r="C1733" t="s">
        <v>119</v>
      </c>
      <c r="D1733" s="6">
        <v>2022</v>
      </c>
      <c r="E1733" s="8">
        <v>24979</v>
      </c>
      <c r="F1733" s="8">
        <v>31000</v>
      </c>
      <c r="G1733" s="8">
        <f t="shared" si="108"/>
        <v>6021</v>
      </c>
      <c r="H1733" s="6">
        <v>80000</v>
      </c>
      <c r="I1733" t="s">
        <v>41</v>
      </c>
      <c r="J1733" t="s">
        <v>35</v>
      </c>
      <c r="K1733" t="s">
        <v>1647</v>
      </c>
      <c r="L1733" t="s">
        <v>54</v>
      </c>
      <c r="M1733" t="s">
        <v>1647</v>
      </c>
      <c r="N1733" s="6">
        <v>3</v>
      </c>
      <c r="O1733" t="str">
        <f t="shared" si="109"/>
        <v>Normal</v>
      </c>
      <c r="P1733" t="str">
        <f t="shared" si="110"/>
        <v>Duplicate ID</v>
      </c>
      <c r="Q1733" t="str">
        <f t="shared" si="111"/>
        <v>20,000-24,999</v>
      </c>
      <c r="R1733" s="6">
        <f>IF(COUNTIF($A$2:A1733,A1733)=1,1,0)</f>
        <v>0</v>
      </c>
    </row>
    <row r="1734" spans="1:18" x14ac:dyDescent="0.25">
      <c r="A1734" s="6">
        <v>1278</v>
      </c>
      <c r="B1734" s="7">
        <v>44294</v>
      </c>
      <c r="C1734" t="s">
        <v>1648</v>
      </c>
      <c r="D1734" s="6">
        <v>2020</v>
      </c>
      <c r="E1734" s="8">
        <v>687</v>
      </c>
      <c r="F1734" s="8">
        <v>7000</v>
      </c>
      <c r="G1734" s="8">
        <f t="shared" si="108"/>
        <v>6313</v>
      </c>
      <c r="H1734" s="6">
        <v>25000</v>
      </c>
      <c r="I1734" t="s">
        <v>69</v>
      </c>
      <c r="J1734" t="s">
        <v>72</v>
      </c>
      <c r="K1734" t="s">
        <v>96</v>
      </c>
      <c r="L1734" t="s">
        <v>54</v>
      </c>
      <c r="M1734" t="s">
        <v>45</v>
      </c>
      <c r="N1734" s="6">
        <v>0</v>
      </c>
      <c r="O1734" t="str">
        <f t="shared" si="109"/>
        <v>Outlier</v>
      </c>
      <c r="P1734" t="str">
        <f t="shared" si="110"/>
        <v>Duplicate ID</v>
      </c>
      <c r="Q1734" t="str">
        <f t="shared" si="111"/>
        <v>0-4,999</v>
      </c>
      <c r="R1734" s="6">
        <f>IF(COUNTIF($A$2:A1734,A1734)=1,1,0)</f>
        <v>0</v>
      </c>
    </row>
    <row r="1735" spans="1:18" x14ac:dyDescent="0.25">
      <c r="A1735" s="6">
        <v>1045</v>
      </c>
      <c r="B1735" s="7">
        <v>44394</v>
      </c>
      <c r="C1735" t="s">
        <v>32</v>
      </c>
      <c r="D1735" s="6">
        <v>2017</v>
      </c>
      <c r="E1735" s="8">
        <v>20864</v>
      </c>
      <c r="F1735" s="8">
        <v>26000</v>
      </c>
      <c r="G1735" s="8">
        <f t="shared" si="108"/>
        <v>5136</v>
      </c>
      <c r="H1735" s="6">
        <v>80000</v>
      </c>
      <c r="I1735" t="s">
        <v>58</v>
      </c>
      <c r="J1735" t="s">
        <v>72</v>
      </c>
      <c r="K1735" t="s">
        <v>36</v>
      </c>
      <c r="L1735" t="s">
        <v>73</v>
      </c>
      <c r="M1735" t="s">
        <v>126</v>
      </c>
      <c r="N1735" s="6">
        <v>2</v>
      </c>
      <c r="O1735" t="str">
        <f t="shared" si="109"/>
        <v>Normal</v>
      </c>
      <c r="P1735" t="str">
        <f t="shared" si="110"/>
        <v>Duplicate ID</v>
      </c>
      <c r="Q1735" t="str">
        <f t="shared" si="111"/>
        <v>20,000-24,999</v>
      </c>
      <c r="R1735" s="6">
        <f>IF(COUNTIF($A$2:A1735,A1735)=1,1,0)</f>
        <v>0</v>
      </c>
    </row>
    <row r="1736" spans="1:18" x14ac:dyDescent="0.25">
      <c r="A1736" s="6">
        <v>1102</v>
      </c>
      <c r="B1736" s="7">
        <v>44320</v>
      </c>
      <c r="C1736" t="s">
        <v>32</v>
      </c>
      <c r="D1736" s="6">
        <v>2017</v>
      </c>
      <c r="E1736" s="8">
        <v>10926</v>
      </c>
      <c r="F1736" s="8">
        <v>15000</v>
      </c>
      <c r="G1736" s="8">
        <f t="shared" si="108"/>
        <v>4074</v>
      </c>
      <c r="H1736" s="6">
        <v>40000</v>
      </c>
      <c r="I1736" t="s">
        <v>58</v>
      </c>
      <c r="J1736" t="s">
        <v>1647</v>
      </c>
      <c r="K1736" t="s">
        <v>1647</v>
      </c>
      <c r="L1736" t="s">
        <v>100</v>
      </c>
      <c r="M1736" t="s">
        <v>45</v>
      </c>
      <c r="N1736" s="6">
        <v>1</v>
      </c>
      <c r="O1736" t="str">
        <f t="shared" si="109"/>
        <v>Normal</v>
      </c>
      <c r="P1736" t="str">
        <f t="shared" si="110"/>
        <v>Duplicate ID</v>
      </c>
      <c r="Q1736" t="str">
        <f t="shared" si="111"/>
        <v>10,000-14,999</v>
      </c>
      <c r="R1736" s="6">
        <f>IF(COUNTIF($A$2:A1736,A1736)=1,1,0)</f>
        <v>0</v>
      </c>
    </row>
    <row r="1737" spans="1:18" x14ac:dyDescent="0.25">
      <c r="A1737" s="6">
        <v>1396</v>
      </c>
      <c r="B1737" s="7">
        <v>44354</v>
      </c>
      <c r="C1737" t="s">
        <v>57</v>
      </c>
      <c r="D1737" s="6">
        <v>2014</v>
      </c>
      <c r="E1737" s="8">
        <v>8010</v>
      </c>
      <c r="F1737" s="8">
        <v>15000</v>
      </c>
      <c r="G1737" s="8">
        <f t="shared" si="108"/>
        <v>6990</v>
      </c>
      <c r="H1737" s="6">
        <v>120000</v>
      </c>
      <c r="I1737" t="s">
        <v>58</v>
      </c>
      <c r="J1737" t="s">
        <v>72</v>
      </c>
      <c r="K1737" t="s">
        <v>36</v>
      </c>
      <c r="L1737" t="s">
        <v>100</v>
      </c>
      <c r="M1737" t="s">
        <v>1647</v>
      </c>
      <c r="N1737" s="6" t="s">
        <v>1647</v>
      </c>
      <c r="O1737" t="str">
        <f t="shared" si="109"/>
        <v>Normal</v>
      </c>
      <c r="P1737" t="str">
        <f t="shared" si="110"/>
        <v>Duplicate ID</v>
      </c>
      <c r="Q1737" t="str">
        <f t="shared" si="111"/>
        <v>5,000-9,999</v>
      </c>
      <c r="R1737" s="6">
        <f>IF(COUNTIF($A$2:A1737,A1737)=1,1,0)</f>
        <v>0</v>
      </c>
    </row>
    <row r="1738" spans="1:18" x14ac:dyDescent="0.25">
      <c r="A1738" s="6">
        <v>1477</v>
      </c>
      <c r="B1738" s="7">
        <v>44222</v>
      </c>
      <c r="C1738" t="s">
        <v>40</v>
      </c>
      <c r="D1738" s="6">
        <v>2018</v>
      </c>
      <c r="E1738" s="8">
        <v>26884</v>
      </c>
      <c r="F1738" s="8">
        <v>31000</v>
      </c>
      <c r="G1738" s="8">
        <f t="shared" si="108"/>
        <v>4116</v>
      </c>
      <c r="H1738" s="6">
        <v>25000</v>
      </c>
      <c r="I1738" t="s">
        <v>1647</v>
      </c>
      <c r="J1738" t="s">
        <v>72</v>
      </c>
      <c r="K1738" t="s">
        <v>96</v>
      </c>
      <c r="L1738" t="s">
        <v>100</v>
      </c>
      <c r="M1738" t="s">
        <v>126</v>
      </c>
      <c r="N1738" s="6">
        <v>0</v>
      </c>
      <c r="O1738" t="str">
        <f t="shared" si="109"/>
        <v>Normal</v>
      </c>
      <c r="P1738" t="str">
        <f t="shared" si="110"/>
        <v>Duplicate ID</v>
      </c>
      <c r="Q1738" t="str">
        <f t="shared" si="111"/>
        <v>25,000-30,000</v>
      </c>
      <c r="R1738" s="6">
        <f>IF(COUNTIF($A$2:A1738,A1738)=1,1,0)</f>
        <v>1</v>
      </c>
    </row>
    <row r="1739" spans="1:18" x14ac:dyDescent="0.25">
      <c r="A1739" s="6">
        <v>1051</v>
      </c>
      <c r="B1739" s="7">
        <v>44401</v>
      </c>
      <c r="C1739" t="s">
        <v>40</v>
      </c>
      <c r="D1739" s="6">
        <v>2019</v>
      </c>
      <c r="E1739" s="8">
        <v>8895</v>
      </c>
      <c r="F1739" s="8">
        <v>12000</v>
      </c>
      <c r="G1739" s="8">
        <f t="shared" si="108"/>
        <v>3105</v>
      </c>
      <c r="H1739" s="6">
        <v>15000</v>
      </c>
      <c r="I1739" t="s">
        <v>34</v>
      </c>
      <c r="J1739" t="s">
        <v>35</v>
      </c>
      <c r="K1739" t="s">
        <v>96</v>
      </c>
      <c r="L1739" t="s">
        <v>1647</v>
      </c>
      <c r="M1739" t="s">
        <v>45</v>
      </c>
      <c r="N1739" s="6">
        <v>0</v>
      </c>
      <c r="O1739" t="str">
        <f t="shared" si="109"/>
        <v>Normal</v>
      </c>
      <c r="P1739" t="str">
        <f t="shared" si="110"/>
        <v>Duplicate ID</v>
      </c>
      <c r="Q1739" t="str">
        <f t="shared" si="111"/>
        <v>5,000-9,999</v>
      </c>
      <c r="R1739" s="6">
        <f>IF(COUNTIF($A$2:A1739,A1739)=1,1,0)</f>
        <v>0</v>
      </c>
    </row>
    <row r="1740" spans="1:18" x14ac:dyDescent="0.25">
      <c r="A1740" s="6">
        <v>1541</v>
      </c>
      <c r="B1740" s="7">
        <v>44210</v>
      </c>
      <c r="C1740" t="s">
        <v>51</v>
      </c>
      <c r="D1740" s="6">
        <v>2015</v>
      </c>
      <c r="E1740" s="8">
        <v>7242</v>
      </c>
      <c r="F1740" s="8">
        <v>12000</v>
      </c>
      <c r="G1740" s="8">
        <f t="shared" si="108"/>
        <v>4758</v>
      </c>
      <c r="H1740" s="6">
        <v>25000</v>
      </c>
      <c r="I1740" t="s">
        <v>41</v>
      </c>
      <c r="J1740" t="s">
        <v>1647</v>
      </c>
      <c r="K1740" t="s">
        <v>96</v>
      </c>
      <c r="L1740" t="s">
        <v>54</v>
      </c>
      <c r="M1740" t="s">
        <v>45</v>
      </c>
      <c r="N1740" s="6">
        <v>2</v>
      </c>
      <c r="O1740" t="str">
        <f t="shared" si="109"/>
        <v>Normal</v>
      </c>
      <c r="P1740" t="str">
        <f t="shared" si="110"/>
        <v>Duplicate ID</v>
      </c>
      <c r="Q1740" t="str">
        <f t="shared" si="111"/>
        <v>5,000-9,999</v>
      </c>
      <c r="R1740" s="6">
        <f>IF(COUNTIF($A$2:A1740,A1740)=1,1,0)</f>
        <v>0</v>
      </c>
    </row>
    <row r="1741" spans="1:18" x14ac:dyDescent="0.25">
      <c r="A1741" s="6">
        <v>1352</v>
      </c>
      <c r="B1741" s="7">
        <v>45006</v>
      </c>
      <c r="C1741" t="s">
        <v>79</v>
      </c>
      <c r="D1741" s="6">
        <v>2020</v>
      </c>
      <c r="E1741" s="8">
        <v>24947</v>
      </c>
      <c r="F1741" s="8">
        <v>31000</v>
      </c>
      <c r="G1741" s="8">
        <f t="shared" si="108"/>
        <v>6053</v>
      </c>
      <c r="H1741" s="6">
        <v>25000</v>
      </c>
      <c r="I1741" t="s">
        <v>1647</v>
      </c>
      <c r="J1741" t="s">
        <v>72</v>
      </c>
      <c r="K1741" t="s">
        <v>96</v>
      </c>
      <c r="L1741" t="s">
        <v>73</v>
      </c>
      <c r="M1741" t="s">
        <v>90</v>
      </c>
      <c r="N1741" s="6">
        <v>3</v>
      </c>
      <c r="O1741" t="str">
        <f t="shared" si="109"/>
        <v>Normal</v>
      </c>
      <c r="P1741" t="str">
        <f t="shared" si="110"/>
        <v>Unique ID</v>
      </c>
      <c r="Q1741" t="str">
        <f t="shared" si="111"/>
        <v>20,000-24,999</v>
      </c>
      <c r="R1741" s="6">
        <f>IF(COUNTIF($A$2:A1741,A1741)=1,1,0)</f>
        <v>1</v>
      </c>
    </row>
    <row r="1742" spans="1:18" x14ac:dyDescent="0.25">
      <c r="A1742" s="6">
        <v>1512</v>
      </c>
      <c r="B1742" s="7">
        <v>45223</v>
      </c>
      <c r="C1742" t="s">
        <v>1648</v>
      </c>
      <c r="D1742" s="6">
        <v>2018</v>
      </c>
      <c r="E1742" s="8">
        <v>2465</v>
      </c>
      <c r="F1742" s="8">
        <v>9000</v>
      </c>
      <c r="G1742" s="8">
        <f t="shared" si="108"/>
        <v>6535</v>
      </c>
      <c r="H1742" s="6">
        <v>120000</v>
      </c>
      <c r="I1742" t="s">
        <v>69</v>
      </c>
      <c r="J1742" t="s">
        <v>72</v>
      </c>
      <c r="K1742" t="s">
        <v>36</v>
      </c>
      <c r="L1742" t="s">
        <v>100</v>
      </c>
      <c r="M1742" t="s">
        <v>98</v>
      </c>
      <c r="N1742" s="6">
        <v>3</v>
      </c>
      <c r="O1742" t="str">
        <f t="shared" si="109"/>
        <v>Normal</v>
      </c>
      <c r="P1742" t="str">
        <f t="shared" si="110"/>
        <v>Duplicate ID</v>
      </c>
      <c r="Q1742" t="str">
        <f t="shared" si="111"/>
        <v>0-4,999</v>
      </c>
      <c r="R1742" s="6">
        <f>IF(COUNTIF($A$2:A1742,A1742)=1,1,0)</f>
        <v>0</v>
      </c>
    </row>
    <row r="1743" spans="1:18" x14ac:dyDescent="0.25">
      <c r="A1743" s="6">
        <v>1506</v>
      </c>
      <c r="B1743" s="7">
        <v>44941</v>
      </c>
      <c r="C1743" t="s">
        <v>1648</v>
      </c>
      <c r="D1743" s="6">
        <v>2022</v>
      </c>
      <c r="E1743" s="8">
        <v>10951</v>
      </c>
      <c r="F1743" s="8">
        <v>15000</v>
      </c>
      <c r="G1743" s="8">
        <f t="shared" si="108"/>
        <v>4049</v>
      </c>
      <c r="H1743" s="6">
        <v>15000</v>
      </c>
      <c r="I1743" t="s">
        <v>1647</v>
      </c>
      <c r="J1743" t="s">
        <v>72</v>
      </c>
      <c r="K1743" t="s">
        <v>36</v>
      </c>
      <c r="L1743" t="s">
        <v>100</v>
      </c>
      <c r="M1743" t="s">
        <v>90</v>
      </c>
      <c r="N1743" s="6">
        <v>1</v>
      </c>
      <c r="O1743" t="str">
        <f t="shared" si="109"/>
        <v>Normal</v>
      </c>
      <c r="P1743" t="str">
        <f t="shared" si="110"/>
        <v>Duplicate ID</v>
      </c>
      <c r="Q1743" t="str">
        <f t="shared" si="111"/>
        <v>10,000-14,999</v>
      </c>
      <c r="R1743" s="6">
        <f>IF(COUNTIF($A$2:A1743,A1743)=1,1,0)</f>
        <v>1</v>
      </c>
    </row>
    <row r="1744" spans="1:18" x14ac:dyDescent="0.25">
      <c r="A1744" s="6">
        <v>1400</v>
      </c>
      <c r="B1744" s="7">
        <v>44805</v>
      </c>
      <c r="C1744" t="s">
        <v>51</v>
      </c>
      <c r="D1744" s="6">
        <v>2018</v>
      </c>
      <c r="E1744" s="8">
        <v>22527</v>
      </c>
      <c r="F1744" s="8">
        <v>26000</v>
      </c>
      <c r="G1744" s="8">
        <f t="shared" si="108"/>
        <v>3473</v>
      </c>
      <c r="H1744" s="6">
        <v>15000</v>
      </c>
      <c r="I1744" t="s">
        <v>58</v>
      </c>
      <c r="J1744" t="s">
        <v>35</v>
      </c>
      <c r="K1744" t="s">
        <v>96</v>
      </c>
      <c r="L1744" t="s">
        <v>73</v>
      </c>
      <c r="M1744" t="s">
        <v>126</v>
      </c>
      <c r="N1744" s="6">
        <v>3</v>
      </c>
      <c r="O1744" t="str">
        <f t="shared" si="109"/>
        <v>Normal</v>
      </c>
      <c r="P1744" t="str">
        <f t="shared" si="110"/>
        <v>Duplicate ID</v>
      </c>
      <c r="Q1744" t="str">
        <f t="shared" si="111"/>
        <v>20,000-24,999</v>
      </c>
      <c r="R1744" s="6">
        <f>IF(COUNTIF($A$2:A1744,A1744)=1,1,0)</f>
        <v>0</v>
      </c>
    </row>
    <row r="1745" spans="1:18" x14ac:dyDescent="0.25">
      <c r="A1745" s="6">
        <v>1383</v>
      </c>
      <c r="B1745" s="7">
        <v>44406</v>
      </c>
      <c r="C1745" t="s">
        <v>1648</v>
      </c>
      <c r="D1745" s="6">
        <v>2015</v>
      </c>
      <c r="E1745" s="8">
        <v>11871</v>
      </c>
      <c r="F1745" s="8">
        <v>18000</v>
      </c>
      <c r="G1745" s="8">
        <f t="shared" si="108"/>
        <v>6129</v>
      </c>
      <c r="H1745" s="6">
        <v>25000</v>
      </c>
      <c r="I1745" t="s">
        <v>34</v>
      </c>
      <c r="J1745" t="s">
        <v>1647</v>
      </c>
      <c r="K1745" t="s">
        <v>96</v>
      </c>
      <c r="L1745" t="s">
        <v>100</v>
      </c>
      <c r="M1745" t="s">
        <v>98</v>
      </c>
      <c r="N1745" s="6">
        <v>2</v>
      </c>
      <c r="O1745" t="str">
        <f t="shared" si="109"/>
        <v>Normal</v>
      </c>
      <c r="P1745" t="str">
        <f t="shared" si="110"/>
        <v>Duplicate ID</v>
      </c>
      <c r="Q1745" t="str">
        <f t="shared" si="111"/>
        <v>10,000-14,999</v>
      </c>
      <c r="R1745" s="6">
        <f>IF(COUNTIF($A$2:A1745,A1745)=1,1,0)</f>
        <v>0</v>
      </c>
    </row>
    <row r="1746" spans="1:18" x14ac:dyDescent="0.25">
      <c r="A1746" s="6">
        <v>1551</v>
      </c>
      <c r="B1746" s="7">
        <v>44969</v>
      </c>
      <c r="C1746" t="s">
        <v>1648</v>
      </c>
      <c r="D1746" s="6">
        <v>2014</v>
      </c>
      <c r="E1746" s="8">
        <v>14435</v>
      </c>
      <c r="F1746" s="8">
        <v>18000</v>
      </c>
      <c r="G1746" s="8">
        <f t="shared" si="108"/>
        <v>3565</v>
      </c>
      <c r="H1746" s="6">
        <v>60000</v>
      </c>
      <c r="I1746" t="s">
        <v>1647</v>
      </c>
      <c r="J1746" t="s">
        <v>35</v>
      </c>
      <c r="K1746" t="s">
        <v>36</v>
      </c>
      <c r="L1746" t="s">
        <v>48</v>
      </c>
      <c r="M1746" t="s">
        <v>1647</v>
      </c>
      <c r="N1746" s="6" t="s">
        <v>1647</v>
      </c>
      <c r="O1746" t="str">
        <f t="shared" si="109"/>
        <v>Normal</v>
      </c>
      <c r="P1746" t="str">
        <f t="shared" si="110"/>
        <v>Duplicate ID</v>
      </c>
      <c r="Q1746" t="str">
        <f t="shared" si="111"/>
        <v>10,000-14,999</v>
      </c>
      <c r="R1746" s="6">
        <f>IF(COUNTIF($A$2:A1746,A1746)=1,1,0)</f>
        <v>0</v>
      </c>
    </row>
    <row r="1747" spans="1:18" x14ac:dyDescent="0.25">
      <c r="A1747" s="6">
        <v>1498</v>
      </c>
      <c r="B1747" s="7">
        <v>44647</v>
      </c>
      <c r="C1747" t="s">
        <v>119</v>
      </c>
      <c r="D1747" s="6">
        <v>2014</v>
      </c>
      <c r="E1747" s="8">
        <v>1566</v>
      </c>
      <c r="F1747" s="8">
        <v>7000</v>
      </c>
      <c r="G1747" s="8">
        <f t="shared" si="108"/>
        <v>5434</v>
      </c>
      <c r="H1747" s="6">
        <v>40000</v>
      </c>
      <c r="I1747" t="s">
        <v>58</v>
      </c>
      <c r="J1747" t="s">
        <v>35</v>
      </c>
      <c r="K1747" t="s">
        <v>96</v>
      </c>
      <c r="L1747" t="s">
        <v>100</v>
      </c>
      <c r="M1747" t="s">
        <v>90</v>
      </c>
      <c r="N1747" s="6" t="s">
        <v>1647</v>
      </c>
      <c r="O1747" t="str">
        <f t="shared" si="109"/>
        <v>Normal</v>
      </c>
      <c r="P1747" t="str">
        <f t="shared" si="110"/>
        <v>Duplicate ID</v>
      </c>
      <c r="Q1747" t="str">
        <f t="shared" si="111"/>
        <v>0-4,999</v>
      </c>
      <c r="R1747" s="6">
        <f>IF(COUNTIF($A$2:A1747,A1747)=1,1,0)</f>
        <v>0</v>
      </c>
    </row>
    <row r="1748" spans="1:18" x14ac:dyDescent="0.25">
      <c r="A1748" s="6">
        <v>1337</v>
      </c>
      <c r="B1748" s="7">
        <v>44982</v>
      </c>
      <c r="C1748" t="s">
        <v>32</v>
      </c>
      <c r="D1748" s="6">
        <v>2018</v>
      </c>
      <c r="E1748" s="8">
        <v>10528</v>
      </c>
      <c r="F1748" s="8">
        <v>12000</v>
      </c>
      <c r="G1748" s="8">
        <f t="shared" si="108"/>
        <v>1472</v>
      </c>
      <c r="H1748" s="6">
        <v>60000</v>
      </c>
      <c r="I1748" t="s">
        <v>69</v>
      </c>
      <c r="J1748" t="s">
        <v>35</v>
      </c>
      <c r="K1748" t="s">
        <v>96</v>
      </c>
      <c r="L1748" t="s">
        <v>100</v>
      </c>
      <c r="M1748" t="s">
        <v>126</v>
      </c>
      <c r="N1748" s="6">
        <v>0</v>
      </c>
      <c r="O1748" t="str">
        <f t="shared" si="109"/>
        <v>Normal</v>
      </c>
      <c r="P1748" t="str">
        <f t="shared" si="110"/>
        <v>Duplicate ID</v>
      </c>
      <c r="Q1748" t="str">
        <f t="shared" si="111"/>
        <v>10,000-14,999</v>
      </c>
      <c r="R1748" s="6">
        <f>IF(COUNTIF($A$2:A1748,A1748)=1,1,0)</f>
        <v>1</v>
      </c>
    </row>
    <row r="1749" spans="1:18" x14ac:dyDescent="0.25">
      <c r="A1749" s="6">
        <v>1491</v>
      </c>
      <c r="B1749" s="7">
        <v>44772</v>
      </c>
      <c r="C1749" t="s">
        <v>1648</v>
      </c>
      <c r="D1749" s="6">
        <v>2016</v>
      </c>
      <c r="E1749" s="8">
        <v>9715</v>
      </c>
      <c r="F1749" s="8">
        <v>12000</v>
      </c>
      <c r="G1749" s="8">
        <f t="shared" si="108"/>
        <v>2285</v>
      </c>
      <c r="H1749" s="6">
        <v>80000</v>
      </c>
      <c r="I1749" t="s">
        <v>41</v>
      </c>
      <c r="J1749" t="s">
        <v>72</v>
      </c>
      <c r="K1749" t="s">
        <v>1647</v>
      </c>
      <c r="L1749" t="s">
        <v>48</v>
      </c>
      <c r="M1749" t="s">
        <v>126</v>
      </c>
      <c r="N1749" s="6">
        <v>3</v>
      </c>
      <c r="O1749" t="str">
        <f t="shared" si="109"/>
        <v>Normal</v>
      </c>
      <c r="P1749" t="str">
        <f t="shared" si="110"/>
        <v>Duplicate ID</v>
      </c>
      <c r="Q1749" t="str">
        <f t="shared" si="111"/>
        <v>5,000-9,999</v>
      </c>
      <c r="R1749" s="6">
        <f>IF(COUNTIF($A$2:A1749,A1749)=1,1,0)</f>
        <v>0</v>
      </c>
    </row>
    <row r="1750" spans="1:18" x14ac:dyDescent="0.25">
      <c r="A1750" s="6">
        <v>1258</v>
      </c>
      <c r="B1750" s="7">
        <v>45263</v>
      </c>
      <c r="C1750" t="s">
        <v>51</v>
      </c>
      <c r="D1750" s="6">
        <v>2018</v>
      </c>
      <c r="E1750" s="8">
        <v>24980</v>
      </c>
      <c r="F1750" s="8">
        <v>31000</v>
      </c>
      <c r="G1750" s="8">
        <f t="shared" si="108"/>
        <v>6020</v>
      </c>
      <c r="H1750" s="6">
        <v>80000</v>
      </c>
      <c r="I1750" t="s">
        <v>1647</v>
      </c>
      <c r="J1750" t="s">
        <v>1647</v>
      </c>
      <c r="K1750" t="s">
        <v>1647</v>
      </c>
      <c r="L1750" t="s">
        <v>73</v>
      </c>
      <c r="M1750" t="s">
        <v>45</v>
      </c>
      <c r="N1750" s="6">
        <v>1</v>
      </c>
      <c r="O1750" t="str">
        <f t="shared" si="109"/>
        <v>Normal</v>
      </c>
      <c r="P1750" t="str">
        <f t="shared" si="110"/>
        <v>Duplicate ID</v>
      </c>
      <c r="Q1750" t="str">
        <f t="shared" si="111"/>
        <v>20,000-24,999</v>
      </c>
      <c r="R1750" s="6">
        <f>IF(COUNTIF($A$2:A1750,A1750)=1,1,0)</f>
        <v>0</v>
      </c>
    </row>
    <row r="1751" spans="1:18" x14ac:dyDescent="0.25">
      <c r="A1751" s="6">
        <v>1559</v>
      </c>
      <c r="B1751" s="7">
        <v>44768</v>
      </c>
      <c r="C1751" t="s">
        <v>32</v>
      </c>
      <c r="D1751" s="6">
        <v>2015</v>
      </c>
      <c r="E1751" s="8">
        <v>29096</v>
      </c>
      <c r="F1751" s="8">
        <v>31000</v>
      </c>
      <c r="G1751" s="8">
        <f t="shared" si="108"/>
        <v>1904</v>
      </c>
      <c r="H1751" s="6">
        <v>15000</v>
      </c>
      <c r="I1751" t="s">
        <v>69</v>
      </c>
      <c r="J1751" t="s">
        <v>1647</v>
      </c>
      <c r="K1751" t="s">
        <v>36</v>
      </c>
      <c r="L1751" t="s">
        <v>1647</v>
      </c>
      <c r="M1751" t="s">
        <v>1647</v>
      </c>
      <c r="N1751" s="6">
        <v>0</v>
      </c>
      <c r="O1751" t="str">
        <f t="shared" si="109"/>
        <v>Normal</v>
      </c>
      <c r="P1751" t="str">
        <f t="shared" si="110"/>
        <v>Duplicate ID</v>
      </c>
      <c r="Q1751" t="str">
        <f t="shared" si="111"/>
        <v>25,000-30,000</v>
      </c>
      <c r="R1751" s="6">
        <f>IF(COUNTIF($A$2:A1751,A1751)=1,1,0)</f>
        <v>0</v>
      </c>
    </row>
    <row r="1752" spans="1:18" x14ac:dyDescent="0.25">
      <c r="A1752" s="6">
        <v>1416</v>
      </c>
      <c r="B1752" s="7">
        <v>44838</v>
      </c>
      <c r="C1752" t="s">
        <v>40</v>
      </c>
      <c r="D1752" s="6">
        <v>2020</v>
      </c>
      <c r="E1752" s="8">
        <v>6270</v>
      </c>
      <c r="F1752" s="8">
        <v>9000</v>
      </c>
      <c r="G1752" s="8">
        <f t="shared" si="108"/>
        <v>2730</v>
      </c>
      <c r="H1752" s="6">
        <v>60000</v>
      </c>
      <c r="I1752" t="s">
        <v>41</v>
      </c>
      <c r="J1752" t="s">
        <v>35</v>
      </c>
      <c r="K1752" t="s">
        <v>1647</v>
      </c>
      <c r="L1752" t="s">
        <v>48</v>
      </c>
      <c r="M1752" t="s">
        <v>45</v>
      </c>
      <c r="N1752" s="6">
        <v>2</v>
      </c>
      <c r="O1752" t="str">
        <f t="shared" si="109"/>
        <v>Normal</v>
      </c>
      <c r="P1752" t="str">
        <f t="shared" si="110"/>
        <v>Duplicate ID</v>
      </c>
      <c r="Q1752" t="str">
        <f t="shared" si="111"/>
        <v>5,000-9,999</v>
      </c>
      <c r="R1752" s="6">
        <f>IF(COUNTIF($A$2:A1752,A1752)=1,1,0)</f>
        <v>0</v>
      </c>
    </row>
    <row r="1753" spans="1:18" x14ac:dyDescent="0.25">
      <c r="A1753" s="6">
        <v>1420</v>
      </c>
      <c r="B1753" s="7">
        <v>44821</v>
      </c>
      <c r="C1753" t="s">
        <v>1648</v>
      </c>
      <c r="D1753" s="6">
        <v>2016</v>
      </c>
      <c r="E1753" s="8">
        <v>21572</v>
      </c>
      <c r="F1753" s="8">
        <v>26000</v>
      </c>
      <c r="G1753" s="8">
        <f t="shared" si="108"/>
        <v>4428</v>
      </c>
      <c r="H1753" s="6">
        <v>15000</v>
      </c>
      <c r="I1753" t="s">
        <v>41</v>
      </c>
      <c r="J1753" t="s">
        <v>1647</v>
      </c>
      <c r="K1753" t="s">
        <v>36</v>
      </c>
      <c r="L1753" t="s">
        <v>1647</v>
      </c>
      <c r="M1753" t="s">
        <v>126</v>
      </c>
      <c r="N1753" s="6">
        <v>3</v>
      </c>
      <c r="O1753" t="str">
        <f t="shared" si="109"/>
        <v>Normal</v>
      </c>
      <c r="P1753" t="str">
        <f t="shared" si="110"/>
        <v>Duplicate ID</v>
      </c>
      <c r="Q1753" t="str">
        <f t="shared" si="111"/>
        <v>20,000-24,999</v>
      </c>
      <c r="R1753" s="6">
        <f>IF(COUNTIF($A$2:A1753,A1753)=1,1,0)</f>
        <v>0</v>
      </c>
    </row>
    <row r="1754" spans="1:18" x14ac:dyDescent="0.25">
      <c r="A1754" s="6">
        <v>1511</v>
      </c>
      <c r="B1754" s="7">
        <v>44223</v>
      </c>
      <c r="C1754" t="s">
        <v>57</v>
      </c>
      <c r="D1754" s="6">
        <v>2014</v>
      </c>
      <c r="E1754" s="8">
        <v>2733</v>
      </c>
      <c r="F1754" s="8">
        <v>9000</v>
      </c>
      <c r="G1754" s="8">
        <f t="shared" si="108"/>
        <v>6267</v>
      </c>
      <c r="H1754" s="6">
        <v>25000</v>
      </c>
      <c r="I1754" t="s">
        <v>58</v>
      </c>
      <c r="J1754" t="s">
        <v>35</v>
      </c>
      <c r="K1754" t="s">
        <v>96</v>
      </c>
      <c r="L1754" t="s">
        <v>100</v>
      </c>
      <c r="M1754" t="s">
        <v>90</v>
      </c>
      <c r="N1754" s="6">
        <v>3</v>
      </c>
      <c r="O1754" t="str">
        <f t="shared" si="109"/>
        <v>Normal</v>
      </c>
      <c r="P1754" t="str">
        <f t="shared" si="110"/>
        <v>Duplicate ID</v>
      </c>
      <c r="Q1754" t="str">
        <f t="shared" si="111"/>
        <v>0-4,999</v>
      </c>
      <c r="R1754" s="6">
        <f>IF(COUNTIF($A$2:A1754,A1754)=1,1,0)</f>
        <v>0</v>
      </c>
    </row>
    <row r="1755" spans="1:18" x14ac:dyDescent="0.25">
      <c r="A1755" s="6">
        <v>1337</v>
      </c>
      <c r="B1755" s="7">
        <v>45276</v>
      </c>
      <c r="C1755" t="s">
        <v>32</v>
      </c>
      <c r="D1755" s="6">
        <v>2017</v>
      </c>
      <c r="E1755" s="8">
        <v>2971</v>
      </c>
      <c r="F1755" s="8">
        <v>9000</v>
      </c>
      <c r="G1755" s="8">
        <f t="shared" si="108"/>
        <v>6029</v>
      </c>
      <c r="H1755" s="6">
        <v>60000</v>
      </c>
      <c r="I1755" t="s">
        <v>69</v>
      </c>
      <c r="J1755" t="s">
        <v>1647</v>
      </c>
      <c r="K1755" t="s">
        <v>36</v>
      </c>
      <c r="L1755" t="s">
        <v>100</v>
      </c>
      <c r="M1755" t="s">
        <v>98</v>
      </c>
      <c r="N1755" s="6">
        <v>1</v>
      </c>
      <c r="O1755" t="str">
        <f t="shared" si="109"/>
        <v>Normal</v>
      </c>
      <c r="P1755" t="str">
        <f t="shared" si="110"/>
        <v>Duplicate ID</v>
      </c>
      <c r="Q1755" t="str">
        <f t="shared" si="111"/>
        <v>0-4,999</v>
      </c>
      <c r="R1755" s="6">
        <f>IF(COUNTIF($A$2:A1755,A1755)=1,1,0)</f>
        <v>0</v>
      </c>
    </row>
    <row r="1756" spans="1:18" x14ac:dyDescent="0.25">
      <c r="A1756" s="6">
        <v>1230</v>
      </c>
      <c r="B1756" s="7">
        <v>45228</v>
      </c>
      <c r="C1756" t="s">
        <v>79</v>
      </c>
      <c r="D1756" s="6">
        <v>2018</v>
      </c>
      <c r="E1756" s="8">
        <v>18273</v>
      </c>
      <c r="F1756" s="8">
        <v>22000</v>
      </c>
      <c r="G1756" s="8">
        <f t="shared" si="108"/>
        <v>3727</v>
      </c>
      <c r="H1756" s="6">
        <v>80000</v>
      </c>
      <c r="I1756" t="s">
        <v>58</v>
      </c>
      <c r="J1756" t="s">
        <v>1647</v>
      </c>
      <c r="K1756" t="s">
        <v>1647</v>
      </c>
      <c r="L1756" t="s">
        <v>1647</v>
      </c>
      <c r="M1756" t="s">
        <v>126</v>
      </c>
      <c r="N1756" s="6">
        <v>1</v>
      </c>
      <c r="O1756" t="str">
        <f t="shared" si="109"/>
        <v>Normal</v>
      </c>
      <c r="P1756" t="str">
        <f t="shared" si="110"/>
        <v>Duplicate ID</v>
      </c>
      <c r="Q1756" t="str">
        <f t="shared" si="111"/>
        <v>15,000-19,999</v>
      </c>
      <c r="R1756" s="6">
        <f>IF(COUNTIF($A$2:A1756,A1756)=1,1,0)</f>
        <v>0</v>
      </c>
    </row>
    <row r="1757" spans="1:18" x14ac:dyDescent="0.25">
      <c r="A1757" s="6">
        <v>1148</v>
      </c>
      <c r="B1757" s="7">
        <v>44512</v>
      </c>
      <c r="C1757" t="s">
        <v>1648</v>
      </c>
      <c r="D1757" s="6">
        <v>2018</v>
      </c>
      <c r="E1757" s="8">
        <v>8822</v>
      </c>
      <c r="F1757" s="8">
        <v>15000</v>
      </c>
      <c r="G1757" s="8">
        <f t="shared" si="108"/>
        <v>6178</v>
      </c>
      <c r="H1757" s="6">
        <v>80000</v>
      </c>
      <c r="I1757" t="s">
        <v>41</v>
      </c>
      <c r="J1757" t="s">
        <v>72</v>
      </c>
      <c r="K1757" t="s">
        <v>96</v>
      </c>
      <c r="L1757" t="s">
        <v>73</v>
      </c>
      <c r="M1757" t="s">
        <v>90</v>
      </c>
      <c r="N1757" s="6">
        <v>2</v>
      </c>
      <c r="O1757" t="str">
        <f t="shared" si="109"/>
        <v>Normal</v>
      </c>
      <c r="P1757" t="str">
        <f t="shared" si="110"/>
        <v>Duplicate ID</v>
      </c>
      <c r="Q1757" t="str">
        <f t="shared" si="111"/>
        <v>5,000-9,999</v>
      </c>
      <c r="R1757" s="6">
        <f>IF(COUNTIF($A$2:A1757,A1757)=1,1,0)</f>
        <v>0</v>
      </c>
    </row>
    <row r="1758" spans="1:18" x14ac:dyDescent="0.25">
      <c r="A1758" s="6">
        <v>1108</v>
      </c>
      <c r="B1758" s="7">
        <v>44564</v>
      </c>
      <c r="C1758" t="s">
        <v>40</v>
      </c>
      <c r="D1758" s="6">
        <v>2018</v>
      </c>
      <c r="E1758" s="8">
        <v>13552</v>
      </c>
      <c r="F1758" s="8">
        <v>18000</v>
      </c>
      <c r="G1758" s="8">
        <f t="shared" si="108"/>
        <v>4448</v>
      </c>
      <c r="H1758" s="6">
        <v>60000</v>
      </c>
      <c r="I1758" t="s">
        <v>34</v>
      </c>
      <c r="J1758" t="s">
        <v>35</v>
      </c>
      <c r="K1758" t="s">
        <v>36</v>
      </c>
      <c r="L1758" t="s">
        <v>1647</v>
      </c>
      <c r="M1758" t="s">
        <v>98</v>
      </c>
      <c r="N1758" s="6">
        <v>1</v>
      </c>
      <c r="O1758" t="str">
        <f t="shared" si="109"/>
        <v>Normal</v>
      </c>
      <c r="P1758" t="str">
        <f t="shared" si="110"/>
        <v>Duplicate ID</v>
      </c>
      <c r="Q1758" t="str">
        <f t="shared" si="111"/>
        <v>10,000-14,999</v>
      </c>
      <c r="R1758" s="6">
        <f>IF(COUNTIF($A$2:A1758,A1758)=1,1,0)</f>
        <v>0</v>
      </c>
    </row>
    <row r="1759" spans="1:18" x14ac:dyDescent="0.25">
      <c r="A1759" s="6">
        <v>1257</v>
      </c>
      <c r="B1759" s="7">
        <v>45333</v>
      </c>
      <c r="C1759" t="s">
        <v>119</v>
      </c>
      <c r="D1759" s="6">
        <v>2019</v>
      </c>
      <c r="E1759" s="8">
        <v>15297</v>
      </c>
      <c r="F1759" s="8">
        <v>18000</v>
      </c>
      <c r="G1759" s="8">
        <f t="shared" si="108"/>
        <v>2703</v>
      </c>
      <c r="H1759" s="6">
        <v>15000</v>
      </c>
      <c r="I1759" t="s">
        <v>41</v>
      </c>
      <c r="J1759" t="s">
        <v>1647</v>
      </c>
      <c r="K1759" t="s">
        <v>36</v>
      </c>
      <c r="L1759" t="s">
        <v>73</v>
      </c>
      <c r="M1759" t="s">
        <v>98</v>
      </c>
      <c r="N1759" s="6" t="s">
        <v>1647</v>
      </c>
      <c r="O1759" t="str">
        <f t="shared" si="109"/>
        <v>Normal</v>
      </c>
      <c r="P1759" t="str">
        <f t="shared" si="110"/>
        <v>Duplicate ID</v>
      </c>
      <c r="Q1759" t="str">
        <f t="shared" si="111"/>
        <v>15,000-19,999</v>
      </c>
      <c r="R1759" s="6">
        <f>IF(COUNTIF($A$2:A1759,A1759)=1,1,0)</f>
        <v>0</v>
      </c>
    </row>
    <row r="1760" spans="1:18" x14ac:dyDescent="0.25">
      <c r="A1760" s="6">
        <v>1313</v>
      </c>
      <c r="B1760" s="7">
        <v>45074</v>
      </c>
      <c r="C1760" t="s">
        <v>79</v>
      </c>
      <c r="D1760" s="6">
        <v>2022</v>
      </c>
      <c r="E1760" s="8">
        <v>20623</v>
      </c>
      <c r="F1760" s="8">
        <v>22000</v>
      </c>
      <c r="G1760" s="8">
        <f t="shared" si="108"/>
        <v>1377</v>
      </c>
      <c r="H1760" s="6">
        <v>80000</v>
      </c>
      <c r="I1760" t="s">
        <v>58</v>
      </c>
      <c r="J1760" t="s">
        <v>72</v>
      </c>
      <c r="K1760" t="s">
        <v>36</v>
      </c>
      <c r="L1760" t="s">
        <v>1647</v>
      </c>
      <c r="M1760" t="s">
        <v>90</v>
      </c>
      <c r="N1760" s="6">
        <v>0</v>
      </c>
      <c r="O1760" t="str">
        <f t="shared" si="109"/>
        <v>Normal</v>
      </c>
      <c r="P1760" t="str">
        <f t="shared" si="110"/>
        <v>Duplicate ID</v>
      </c>
      <c r="Q1760" t="str">
        <f t="shared" si="111"/>
        <v>20,000-24,999</v>
      </c>
      <c r="R1760" s="6">
        <f>IF(COUNTIF($A$2:A1760,A1760)=1,1,0)</f>
        <v>0</v>
      </c>
    </row>
    <row r="1761" spans="1:18" x14ac:dyDescent="0.25">
      <c r="A1761" s="6">
        <v>1428</v>
      </c>
      <c r="B1761" s="7">
        <v>44387</v>
      </c>
      <c r="C1761" t="s">
        <v>1648</v>
      </c>
      <c r="D1761" s="6">
        <v>2021</v>
      </c>
      <c r="E1761" s="8">
        <v>8669</v>
      </c>
      <c r="F1761" s="8">
        <v>15000</v>
      </c>
      <c r="G1761" s="8">
        <f t="shared" si="108"/>
        <v>6331</v>
      </c>
      <c r="H1761" s="6">
        <v>40000</v>
      </c>
      <c r="I1761" t="s">
        <v>58</v>
      </c>
      <c r="J1761" t="s">
        <v>1647</v>
      </c>
      <c r="K1761" t="s">
        <v>96</v>
      </c>
      <c r="L1761" t="s">
        <v>100</v>
      </c>
      <c r="M1761" t="s">
        <v>98</v>
      </c>
      <c r="N1761" s="6">
        <v>3</v>
      </c>
      <c r="O1761" t="str">
        <f t="shared" si="109"/>
        <v>Normal</v>
      </c>
      <c r="P1761" t="str">
        <f t="shared" si="110"/>
        <v>Duplicate ID</v>
      </c>
      <c r="Q1761" t="str">
        <f t="shared" si="111"/>
        <v>5,000-9,999</v>
      </c>
      <c r="R1761" s="6">
        <f>IF(COUNTIF($A$2:A1761,A1761)=1,1,0)</f>
        <v>0</v>
      </c>
    </row>
    <row r="1762" spans="1:18" x14ac:dyDescent="0.25">
      <c r="A1762" s="6">
        <v>1300</v>
      </c>
      <c r="B1762" s="7">
        <v>44660</v>
      </c>
      <c r="C1762" t="s">
        <v>40</v>
      </c>
      <c r="D1762" s="6">
        <v>2021</v>
      </c>
      <c r="E1762" s="8">
        <v>7078</v>
      </c>
      <c r="F1762" s="8">
        <v>12000</v>
      </c>
      <c r="G1762" s="8">
        <f t="shared" si="108"/>
        <v>4922</v>
      </c>
      <c r="H1762" s="6">
        <v>15000</v>
      </c>
      <c r="I1762" t="s">
        <v>58</v>
      </c>
      <c r="J1762" t="s">
        <v>35</v>
      </c>
      <c r="K1762" t="s">
        <v>36</v>
      </c>
      <c r="L1762" t="s">
        <v>54</v>
      </c>
      <c r="M1762" t="s">
        <v>126</v>
      </c>
      <c r="N1762" s="6" t="s">
        <v>1647</v>
      </c>
      <c r="O1762" t="str">
        <f t="shared" si="109"/>
        <v>Normal</v>
      </c>
      <c r="P1762" t="str">
        <f t="shared" si="110"/>
        <v>Duplicate ID</v>
      </c>
      <c r="Q1762" t="str">
        <f t="shared" si="111"/>
        <v>5,000-9,999</v>
      </c>
      <c r="R1762" s="6">
        <f>IF(COUNTIF($A$2:A1762,A1762)=1,1,0)</f>
        <v>1</v>
      </c>
    </row>
    <row r="1763" spans="1:18" x14ac:dyDescent="0.25">
      <c r="A1763" s="6">
        <v>1240</v>
      </c>
      <c r="B1763" s="7">
        <v>44575</v>
      </c>
      <c r="C1763" t="s">
        <v>119</v>
      </c>
      <c r="D1763" s="6">
        <v>2014</v>
      </c>
      <c r="E1763" s="8">
        <v>22988</v>
      </c>
      <c r="F1763" s="8">
        <v>26000</v>
      </c>
      <c r="G1763" s="8">
        <f t="shared" si="108"/>
        <v>3012</v>
      </c>
      <c r="H1763" s="6">
        <v>120000</v>
      </c>
      <c r="I1763" t="s">
        <v>41</v>
      </c>
      <c r="J1763" t="s">
        <v>72</v>
      </c>
      <c r="K1763" t="s">
        <v>96</v>
      </c>
      <c r="L1763" t="s">
        <v>54</v>
      </c>
      <c r="M1763" t="s">
        <v>90</v>
      </c>
      <c r="N1763" s="6">
        <v>2</v>
      </c>
      <c r="O1763" t="str">
        <f t="shared" si="109"/>
        <v>Normal</v>
      </c>
      <c r="P1763" t="str">
        <f t="shared" si="110"/>
        <v>Duplicate ID</v>
      </c>
      <c r="Q1763" t="str">
        <f t="shared" si="111"/>
        <v>20,000-24,999</v>
      </c>
      <c r="R1763" s="6">
        <f>IF(COUNTIF($A$2:A1763,A1763)=1,1,0)</f>
        <v>0</v>
      </c>
    </row>
    <row r="1764" spans="1:18" x14ac:dyDescent="0.25">
      <c r="A1764" s="6">
        <v>1250</v>
      </c>
      <c r="B1764" s="7">
        <v>44769</v>
      </c>
      <c r="C1764" t="s">
        <v>119</v>
      </c>
      <c r="D1764" s="6">
        <v>2016</v>
      </c>
      <c r="E1764" s="8">
        <v>322</v>
      </c>
      <c r="F1764" s="8">
        <v>7000</v>
      </c>
      <c r="G1764" s="8">
        <f t="shared" si="108"/>
        <v>6678</v>
      </c>
      <c r="H1764" s="6">
        <v>25000</v>
      </c>
      <c r="I1764" t="s">
        <v>69</v>
      </c>
      <c r="J1764" t="s">
        <v>72</v>
      </c>
      <c r="K1764" t="s">
        <v>96</v>
      </c>
      <c r="L1764" t="s">
        <v>54</v>
      </c>
      <c r="M1764" t="s">
        <v>126</v>
      </c>
      <c r="N1764" s="6">
        <v>0</v>
      </c>
      <c r="O1764" t="str">
        <f t="shared" si="109"/>
        <v>Outlier</v>
      </c>
      <c r="P1764" t="str">
        <f t="shared" si="110"/>
        <v>Duplicate ID</v>
      </c>
      <c r="Q1764" t="str">
        <f t="shared" si="111"/>
        <v>0-4,999</v>
      </c>
      <c r="R1764" s="6">
        <f>IF(COUNTIF($A$2:A1764,A1764)=1,1,0)</f>
        <v>0</v>
      </c>
    </row>
    <row r="1765" spans="1:18" x14ac:dyDescent="0.25">
      <c r="A1765" s="6">
        <v>1008</v>
      </c>
      <c r="B1765" s="7">
        <v>44758</v>
      </c>
      <c r="C1765" t="s">
        <v>1648</v>
      </c>
      <c r="D1765" s="6">
        <v>2018</v>
      </c>
      <c r="E1765" s="8">
        <v>4588</v>
      </c>
      <c r="F1765" s="8">
        <v>9000</v>
      </c>
      <c r="G1765" s="8">
        <f t="shared" si="108"/>
        <v>4412</v>
      </c>
      <c r="H1765" s="6">
        <v>40000</v>
      </c>
      <c r="I1765" t="s">
        <v>1647</v>
      </c>
      <c r="J1765" t="s">
        <v>72</v>
      </c>
      <c r="K1765" t="s">
        <v>36</v>
      </c>
      <c r="L1765" t="s">
        <v>1647</v>
      </c>
      <c r="M1765" t="s">
        <v>126</v>
      </c>
      <c r="N1765" s="6">
        <v>1</v>
      </c>
      <c r="O1765" t="str">
        <f t="shared" si="109"/>
        <v>Normal</v>
      </c>
      <c r="P1765" t="str">
        <f t="shared" si="110"/>
        <v>Duplicate ID</v>
      </c>
      <c r="Q1765" t="str">
        <f t="shared" si="111"/>
        <v>0-4,999</v>
      </c>
      <c r="R1765" s="6">
        <f>IF(COUNTIF($A$2:A1765,A1765)=1,1,0)</f>
        <v>0</v>
      </c>
    </row>
    <row r="1766" spans="1:18" x14ac:dyDescent="0.25">
      <c r="A1766" s="6">
        <v>1307</v>
      </c>
      <c r="B1766" s="7">
        <v>44471</v>
      </c>
      <c r="C1766" t="s">
        <v>1648</v>
      </c>
      <c r="D1766" s="6">
        <v>2014</v>
      </c>
      <c r="E1766" s="8">
        <v>15788</v>
      </c>
      <c r="F1766" s="8">
        <v>22000</v>
      </c>
      <c r="G1766" s="8">
        <f t="shared" si="108"/>
        <v>6212</v>
      </c>
      <c r="H1766" s="6">
        <v>40000</v>
      </c>
      <c r="I1766" t="s">
        <v>41</v>
      </c>
      <c r="J1766" t="s">
        <v>1647</v>
      </c>
      <c r="K1766" t="s">
        <v>36</v>
      </c>
      <c r="L1766" t="s">
        <v>48</v>
      </c>
      <c r="M1766" t="s">
        <v>126</v>
      </c>
      <c r="N1766" s="6">
        <v>0</v>
      </c>
      <c r="O1766" t="str">
        <f t="shared" si="109"/>
        <v>Normal</v>
      </c>
      <c r="P1766" t="str">
        <f t="shared" si="110"/>
        <v>Duplicate ID</v>
      </c>
      <c r="Q1766" t="str">
        <f t="shared" si="111"/>
        <v>15,000-19,999</v>
      </c>
      <c r="R1766" s="6">
        <f>IF(COUNTIF($A$2:A1766,A1766)=1,1,0)</f>
        <v>0</v>
      </c>
    </row>
    <row r="1767" spans="1:18" x14ac:dyDescent="0.25">
      <c r="A1767" s="6">
        <v>1273</v>
      </c>
      <c r="B1767" s="7">
        <v>44851</v>
      </c>
      <c r="C1767" t="s">
        <v>40</v>
      </c>
      <c r="D1767" s="6">
        <v>2018</v>
      </c>
      <c r="E1767" s="8">
        <v>10860</v>
      </c>
      <c r="F1767" s="8">
        <v>15000</v>
      </c>
      <c r="G1767" s="8">
        <f t="shared" si="108"/>
        <v>4140</v>
      </c>
      <c r="H1767" s="6">
        <v>40000</v>
      </c>
      <c r="I1767" t="s">
        <v>41</v>
      </c>
      <c r="J1767" t="s">
        <v>35</v>
      </c>
      <c r="K1767" t="s">
        <v>36</v>
      </c>
      <c r="L1767" t="s">
        <v>48</v>
      </c>
      <c r="M1767" t="s">
        <v>98</v>
      </c>
      <c r="N1767" s="6">
        <v>3</v>
      </c>
      <c r="O1767" t="str">
        <f t="shared" si="109"/>
        <v>Normal</v>
      </c>
      <c r="P1767" t="str">
        <f t="shared" si="110"/>
        <v>Duplicate ID</v>
      </c>
      <c r="Q1767" t="str">
        <f t="shared" si="111"/>
        <v>10,000-14,999</v>
      </c>
      <c r="R1767" s="6">
        <f>IF(COUNTIF($A$2:A1767,A1767)=1,1,0)</f>
        <v>0</v>
      </c>
    </row>
    <row r="1768" spans="1:18" x14ac:dyDescent="0.25">
      <c r="A1768" s="6">
        <v>1583</v>
      </c>
      <c r="B1768" s="7">
        <v>44540</v>
      </c>
      <c r="C1768" t="s">
        <v>1648</v>
      </c>
      <c r="D1768" s="6"/>
      <c r="E1768" s="8">
        <v>23581</v>
      </c>
      <c r="F1768" s="8">
        <v>26000</v>
      </c>
      <c r="G1768" s="8">
        <f t="shared" si="108"/>
        <v>2419</v>
      </c>
      <c r="H1768" s="6">
        <v>80000</v>
      </c>
      <c r="I1768" t="s">
        <v>69</v>
      </c>
      <c r="J1768" t="s">
        <v>35</v>
      </c>
      <c r="K1768" t="s">
        <v>36</v>
      </c>
      <c r="L1768" t="s">
        <v>1647</v>
      </c>
      <c r="M1768" t="s">
        <v>90</v>
      </c>
      <c r="N1768" s="6" t="s">
        <v>1647</v>
      </c>
      <c r="O1768" t="str">
        <f t="shared" si="109"/>
        <v>Normal</v>
      </c>
      <c r="P1768" t="str">
        <f t="shared" si="110"/>
        <v>Duplicate ID</v>
      </c>
      <c r="Q1768" t="str">
        <f t="shared" si="111"/>
        <v>20,000-24,999</v>
      </c>
      <c r="R1768" s="6">
        <f>IF(COUNTIF($A$2:A1768,A1768)=1,1,0)</f>
        <v>0</v>
      </c>
    </row>
    <row r="1769" spans="1:18" x14ac:dyDescent="0.25">
      <c r="A1769" s="6">
        <v>1152</v>
      </c>
      <c r="B1769" s="7">
        <v>44771</v>
      </c>
      <c r="C1769" t="s">
        <v>40</v>
      </c>
      <c r="D1769" s="6"/>
      <c r="E1769" s="8">
        <v>12962</v>
      </c>
      <c r="F1769" s="8">
        <v>15000</v>
      </c>
      <c r="G1769" s="8">
        <f t="shared" si="108"/>
        <v>2038</v>
      </c>
      <c r="H1769" s="6">
        <v>40000</v>
      </c>
      <c r="I1769" t="s">
        <v>58</v>
      </c>
      <c r="J1769" t="s">
        <v>72</v>
      </c>
      <c r="K1769" t="s">
        <v>96</v>
      </c>
      <c r="L1769" t="s">
        <v>100</v>
      </c>
      <c r="M1769" t="s">
        <v>90</v>
      </c>
      <c r="N1769" s="6">
        <v>2</v>
      </c>
      <c r="O1769" t="str">
        <f t="shared" si="109"/>
        <v>Normal</v>
      </c>
      <c r="P1769" t="str">
        <f t="shared" si="110"/>
        <v>Duplicate ID</v>
      </c>
      <c r="Q1769" t="str">
        <f t="shared" si="111"/>
        <v>10,000-14,999</v>
      </c>
      <c r="R1769" s="6">
        <f>IF(COUNTIF($A$2:A1769,A1769)=1,1,0)</f>
        <v>0</v>
      </c>
    </row>
    <row r="1770" spans="1:18" x14ac:dyDescent="0.25">
      <c r="A1770" s="6">
        <v>1104</v>
      </c>
      <c r="B1770" s="7">
        <v>44956</v>
      </c>
      <c r="C1770" t="s">
        <v>119</v>
      </c>
      <c r="D1770" s="6">
        <v>2017</v>
      </c>
      <c r="E1770" s="8">
        <v>13129</v>
      </c>
      <c r="F1770" s="8">
        <v>18000</v>
      </c>
      <c r="G1770" s="8">
        <f t="shared" si="108"/>
        <v>4871</v>
      </c>
      <c r="H1770" s="6">
        <v>25000</v>
      </c>
      <c r="I1770" t="s">
        <v>69</v>
      </c>
      <c r="J1770" t="s">
        <v>35</v>
      </c>
      <c r="K1770" t="s">
        <v>1647</v>
      </c>
      <c r="L1770" t="s">
        <v>48</v>
      </c>
      <c r="M1770" t="s">
        <v>45</v>
      </c>
      <c r="N1770" s="6">
        <v>2</v>
      </c>
      <c r="O1770" t="str">
        <f t="shared" si="109"/>
        <v>Normal</v>
      </c>
      <c r="P1770" t="str">
        <f t="shared" si="110"/>
        <v>Duplicate ID</v>
      </c>
      <c r="Q1770" t="str">
        <f t="shared" si="111"/>
        <v>10,000-14,999</v>
      </c>
      <c r="R1770" s="6">
        <f>IF(COUNTIF($A$2:A1770,A1770)=1,1,0)</f>
        <v>0</v>
      </c>
    </row>
    <row r="1771" spans="1:18" x14ac:dyDescent="0.25">
      <c r="A1771" s="6">
        <v>1392</v>
      </c>
      <c r="B1771" s="7">
        <v>44558</v>
      </c>
      <c r="C1771" t="s">
        <v>57</v>
      </c>
      <c r="D1771" s="6">
        <v>2018</v>
      </c>
      <c r="E1771" s="8">
        <v>9396</v>
      </c>
      <c r="F1771" s="8">
        <v>15000</v>
      </c>
      <c r="G1771" s="8">
        <f t="shared" si="108"/>
        <v>5604</v>
      </c>
      <c r="H1771" s="6">
        <v>120000</v>
      </c>
      <c r="I1771" t="s">
        <v>69</v>
      </c>
      <c r="J1771" t="s">
        <v>35</v>
      </c>
      <c r="K1771" t="s">
        <v>96</v>
      </c>
      <c r="L1771" t="s">
        <v>54</v>
      </c>
      <c r="M1771" t="s">
        <v>90</v>
      </c>
      <c r="N1771" s="6">
        <v>2</v>
      </c>
      <c r="O1771" t="str">
        <f t="shared" si="109"/>
        <v>Normal</v>
      </c>
      <c r="P1771" t="str">
        <f t="shared" si="110"/>
        <v>Duplicate ID</v>
      </c>
      <c r="Q1771" t="str">
        <f t="shared" si="111"/>
        <v>5,000-9,999</v>
      </c>
      <c r="R1771" s="6">
        <f>IF(COUNTIF($A$2:A1771,A1771)=1,1,0)</f>
        <v>0</v>
      </c>
    </row>
    <row r="1772" spans="1:18" x14ac:dyDescent="0.25">
      <c r="A1772" s="6">
        <v>1382</v>
      </c>
      <c r="B1772" s="7">
        <v>45268</v>
      </c>
      <c r="C1772" t="s">
        <v>40</v>
      </c>
      <c r="D1772" s="6"/>
      <c r="E1772" s="8">
        <v>16418</v>
      </c>
      <c r="F1772" s="8">
        <v>22000</v>
      </c>
      <c r="G1772" s="8">
        <f t="shared" si="108"/>
        <v>5582</v>
      </c>
      <c r="H1772" s="6">
        <v>25000</v>
      </c>
      <c r="I1772" t="s">
        <v>41</v>
      </c>
      <c r="J1772" t="s">
        <v>35</v>
      </c>
      <c r="K1772" t="s">
        <v>1647</v>
      </c>
      <c r="L1772" t="s">
        <v>48</v>
      </c>
      <c r="M1772" t="s">
        <v>98</v>
      </c>
      <c r="N1772" s="6">
        <v>2</v>
      </c>
      <c r="O1772" t="str">
        <f t="shared" si="109"/>
        <v>Normal</v>
      </c>
      <c r="P1772" t="str">
        <f t="shared" si="110"/>
        <v>Duplicate ID</v>
      </c>
      <c r="Q1772" t="str">
        <f t="shared" si="111"/>
        <v>15,000-19,999</v>
      </c>
      <c r="R1772" s="6">
        <f>IF(COUNTIF($A$2:A1772,A1772)=1,1,0)</f>
        <v>0</v>
      </c>
    </row>
    <row r="1773" spans="1:18" x14ac:dyDescent="0.25">
      <c r="A1773" s="6">
        <v>1414</v>
      </c>
      <c r="B1773" s="7">
        <v>45160</v>
      </c>
      <c r="C1773" t="s">
        <v>51</v>
      </c>
      <c r="D1773" s="6">
        <v>2017</v>
      </c>
      <c r="E1773" s="8">
        <v>20213</v>
      </c>
      <c r="F1773" s="8">
        <v>22000</v>
      </c>
      <c r="G1773" s="8">
        <f t="shared" si="108"/>
        <v>1787</v>
      </c>
      <c r="H1773" s="6">
        <v>80000</v>
      </c>
      <c r="I1773" t="s">
        <v>58</v>
      </c>
      <c r="J1773" t="s">
        <v>35</v>
      </c>
      <c r="K1773" t="s">
        <v>36</v>
      </c>
      <c r="L1773" t="s">
        <v>54</v>
      </c>
      <c r="M1773" t="s">
        <v>45</v>
      </c>
      <c r="N1773" s="6">
        <v>1</v>
      </c>
      <c r="O1773" t="str">
        <f t="shared" si="109"/>
        <v>Normal</v>
      </c>
      <c r="P1773" t="str">
        <f t="shared" si="110"/>
        <v>Duplicate ID</v>
      </c>
      <c r="Q1773" t="str">
        <f t="shared" si="111"/>
        <v>20,000-24,999</v>
      </c>
      <c r="R1773" s="6">
        <f>IF(COUNTIF($A$2:A1773,A1773)=1,1,0)</f>
        <v>0</v>
      </c>
    </row>
    <row r="1774" spans="1:18" x14ac:dyDescent="0.25">
      <c r="A1774" s="6">
        <v>1386</v>
      </c>
      <c r="B1774" s="7">
        <v>45020</v>
      </c>
      <c r="C1774" t="s">
        <v>1648</v>
      </c>
      <c r="D1774" s="6">
        <v>2017</v>
      </c>
      <c r="E1774" s="8">
        <v>11023</v>
      </c>
      <c r="F1774" s="8">
        <v>18000</v>
      </c>
      <c r="G1774" s="8">
        <f t="shared" si="108"/>
        <v>6977</v>
      </c>
      <c r="H1774" s="6">
        <v>40000</v>
      </c>
      <c r="I1774" t="s">
        <v>69</v>
      </c>
      <c r="J1774" t="s">
        <v>72</v>
      </c>
      <c r="K1774" t="s">
        <v>36</v>
      </c>
      <c r="L1774" t="s">
        <v>48</v>
      </c>
      <c r="M1774" t="s">
        <v>126</v>
      </c>
      <c r="N1774" s="6">
        <v>3</v>
      </c>
      <c r="O1774" t="str">
        <f t="shared" si="109"/>
        <v>Normal</v>
      </c>
      <c r="P1774" t="str">
        <f t="shared" si="110"/>
        <v>Duplicate ID</v>
      </c>
      <c r="Q1774" t="str">
        <f t="shared" si="111"/>
        <v>10,000-14,999</v>
      </c>
      <c r="R1774" s="6">
        <f>IF(COUNTIF($A$2:A1774,A1774)=1,1,0)</f>
        <v>0</v>
      </c>
    </row>
    <row r="1775" spans="1:18" x14ac:dyDescent="0.25">
      <c r="A1775" s="6">
        <v>1084</v>
      </c>
      <c r="B1775" s="7">
        <v>45098</v>
      </c>
      <c r="C1775" t="s">
        <v>40</v>
      </c>
      <c r="D1775" s="6">
        <v>2020</v>
      </c>
      <c r="E1775" s="8">
        <v>3864</v>
      </c>
      <c r="F1775" s="8">
        <v>7000</v>
      </c>
      <c r="G1775" s="8">
        <f t="shared" si="108"/>
        <v>3136</v>
      </c>
      <c r="H1775" s="6">
        <v>15000</v>
      </c>
      <c r="I1775" t="s">
        <v>69</v>
      </c>
      <c r="J1775" t="s">
        <v>72</v>
      </c>
      <c r="K1775" t="s">
        <v>36</v>
      </c>
      <c r="L1775" t="s">
        <v>54</v>
      </c>
      <c r="M1775" t="s">
        <v>98</v>
      </c>
      <c r="N1775" s="6">
        <v>3</v>
      </c>
      <c r="O1775" t="str">
        <f t="shared" si="109"/>
        <v>Normal</v>
      </c>
      <c r="P1775" t="str">
        <f t="shared" si="110"/>
        <v>Duplicate ID</v>
      </c>
      <c r="Q1775" t="str">
        <f t="shared" si="111"/>
        <v>0-4,999</v>
      </c>
      <c r="R1775" s="6">
        <f>IF(COUNTIF($A$2:A1775,A1775)=1,1,0)</f>
        <v>0</v>
      </c>
    </row>
    <row r="1776" spans="1:18" x14ac:dyDescent="0.25">
      <c r="A1776" s="6">
        <v>1346</v>
      </c>
      <c r="B1776" s="7">
        <v>44197</v>
      </c>
      <c r="C1776" t="s">
        <v>79</v>
      </c>
      <c r="D1776" s="6">
        <v>2020</v>
      </c>
      <c r="E1776" s="8">
        <v>22332</v>
      </c>
      <c r="F1776" s="8">
        <v>26000</v>
      </c>
      <c r="G1776" s="8">
        <f t="shared" si="108"/>
        <v>3668</v>
      </c>
      <c r="H1776" s="6">
        <v>120000</v>
      </c>
      <c r="I1776" t="s">
        <v>41</v>
      </c>
      <c r="J1776" t="s">
        <v>35</v>
      </c>
      <c r="K1776" t="s">
        <v>96</v>
      </c>
      <c r="L1776" t="s">
        <v>48</v>
      </c>
      <c r="M1776" t="s">
        <v>45</v>
      </c>
      <c r="N1776" s="6">
        <v>2</v>
      </c>
      <c r="O1776" t="str">
        <f t="shared" si="109"/>
        <v>Normal</v>
      </c>
      <c r="P1776" t="str">
        <f t="shared" si="110"/>
        <v>Duplicate ID</v>
      </c>
      <c r="Q1776" t="str">
        <f t="shared" si="111"/>
        <v>20,000-24,999</v>
      </c>
      <c r="R1776" s="6">
        <f>IF(COUNTIF($A$2:A1776,A1776)=1,1,0)</f>
        <v>0</v>
      </c>
    </row>
    <row r="1777" spans="1:18" x14ac:dyDescent="0.25">
      <c r="A1777" s="6">
        <v>1445</v>
      </c>
      <c r="B1777" s="7">
        <v>44950</v>
      </c>
      <c r="C1777" t="s">
        <v>57</v>
      </c>
      <c r="D1777" s="6">
        <v>2017</v>
      </c>
      <c r="E1777" s="8">
        <v>15301</v>
      </c>
      <c r="F1777" s="8">
        <v>18000</v>
      </c>
      <c r="G1777" s="8">
        <f t="shared" si="108"/>
        <v>2699</v>
      </c>
      <c r="H1777" s="6">
        <v>120000</v>
      </c>
      <c r="I1777" t="s">
        <v>69</v>
      </c>
      <c r="J1777" t="s">
        <v>72</v>
      </c>
      <c r="K1777" t="s">
        <v>36</v>
      </c>
      <c r="L1777" t="s">
        <v>54</v>
      </c>
      <c r="M1777" t="s">
        <v>98</v>
      </c>
      <c r="N1777" s="6">
        <v>3</v>
      </c>
      <c r="O1777" t="str">
        <f t="shared" si="109"/>
        <v>Normal</v>
      </c>
      <c r="P1777" t="str">
        <f t="shared" si="110"/>
        <v>Duplicate ID</v>
      </c>
      <c r="Q1777" t="str">
        <f t="shared" si="111"/>
        <v>15,000-19,999</v>
      </c>
      <c r="R1777" s="6">
        <f>IF(COUNTIF($A$2:A1777,A1777)=1,1,0)</f>
        <v>0</v>
      </c>
    </row>
    <row r="1778" spans="1:18" x14ac:dyDescent="0.25">
      <c r="A1778" s="6">
        <v>1270</v>
      </c>
      <c r="B1778" s="7">
        <v>44474</v>
      </c>
      <c r="C1778" t="s">
        <v>119</v>
      </c>
      <c r="D1778" s="6">
        <v>2021</v>
      </c>
      <c r="E1778" s="8">
        <v>20627</v>
      </c>
      <c r="F1778" s="8">
        <v>22000</v>
      </c>
      <c r="G1778" s="8">
        <f t="shared" si="108"/>
        <v>1373</v>
      </c>
      <c r="H1778" s="6">
        <v>40000</v>
      </c>
      <c r="I1778" t="s">
        <v>1647</v>
      </c>
      <c r="J1778" t="s">
        <v>1647</v>
      </c>
      <c r="K1778" t="s">
        <v>1647</v>
      </c>
      <c r="L1778" t="s">
        <v>100</v>
      </c>
      <c r="M1778" t="s">
        <v>45</v>
      </c>
      <c r="N1778" s="6">
        <v>3</v>
      </c>
      <c r="O1778" t="str">
        <f t="shared" si="109"/>
        <v>Normal</v>
      </c>
      <c r="P1778" t="str">
        <f t="shared" si="110"/>
        <v>Duplicate ID</v>
      </c>
      <c r="Q1778" t="str">
        <f t="shared" si="111"/>
        <v>20,000-24,999</v>
      </c>
      <c r="R1778" s="6">
        <f>IF(COUNTIF($A$2:A1778,A1778)=1,1,0)</f>
        <v>0</v>
      </c>
    </row>
    <row r="1779" spans="1:18" x14ac:dyDescent="0.25">
      <c r="A1779" s="6">
        <v>1246</v>
      </c>
      <c r="B1779" s="7">
        <v>44311</v>
      </c>
      <c r="C1779" t="s">
        <v>32</v>
      </c>
      <c r="D1779" s="6">
        <v>2018</v>
      </c>
      <c r="E1779" s="8">
        <v>3294</v>
      </c>
      <c r="F1779" s="8">
        <v>7000</v>
      </c>
      <c r="G1779" s="8">
        <f t="shared" si="108"/>
        <v>3706</v>
      </c>
      <c r="H1779" s="6">
        <v>25000</v>
      </c>
      <c r="I1779" t="s">
        <v>34</v>
      </c>
      <c r="J1779" t="s">
        <v>35</v>
      </c>
      <c r="K1779" t="s">
        <v>96</v>
      </c>
      <c r="L1779" t="s">
        <v>54</v>
      </c>
      <c r="M1779" t="s">
        <v>1647</v>
      </c>
      <c r="N1779" s="6">
        <v>0</v>
      </c>
      <c r="O1779" t="str">
        <f t="shared" si="109"/>
        <v>Normal</v>
      </c>
      <c r="P1779" t="str">
        <f t="shared" si="110"/>
        <v>Duplicate ID</v>
      </c>
      <c r="Q1779" t="str">
        <f t="shared" si="111"/>
        <v>0-4,999</v>
      </c>
      <c r="R1779" s="6">
        <f>IF(COUNTIF($A$2:A1779,A1779)=1,1,0)</f>
        <v>0</v>
      </c>
    </row>
    <row r="1780" spans="1:18" x14ac:dyDescent="0.25">
      <c r="A1780" s="6">
        <v>1572</v>
      </c>
      <c r="B1780" s="7">
        <v>45030</v>
      </c>
      <c r="C1780" t="s">
        <v>1648</v>
      </c>
      <c r="D1780" s="6">
        <v>2017</v>
      </c>
      <c r="E1780" s="8">
        <v>14998</v>
      </c>
      <c r="F1780" s="8">
        <v>18000</v>
      </c>
      <c r="G1780" s="8">
        <f t="shared" si="108"/>
        <v>3002</v>
      </c>
      <c r="H1780" s="6">
        <v>80000</v>
      </c>
      <c r="I1780" t="s">
        <v>69</v>
      </c>
      <c r="J1780" t="s">
        <v>35</v>
      </c>
      <c r="K1780" t="s">
        <v>36</v>
      </c>
      <c r="L1780" t="s">
        <v>73</v>
      </c>
      <c r="M1780" t="s">
        <v>126</v>
      </c>
      <c r="N1780" s="6">
        <v>0</v>
      </c>
      <c r="O1780" t="str">
        <f t="shared" si="109"/>
        <v>Normal</v>
      </c>
      <c r="P1780" t="str">
        <f t="shared" si="110"/>
        <v>Duplicate ID</v>
      </c>
      <c r="Q1780" t="str">
        <f t="shared" si="111"/>
        <v>10,000-14,999</v>
      </c>
      <c r="R1780" s="6">
        <f>IF(COUNTIF($A$2:A1780,A1780)=1,1,0)</f>
        <v>0</v>
      </c>
    </row>
    <row r="1781" spans="1:18" x14ac:dyDescent="0.25">
      <c r="A1781" s="6">
        <v>1213</v>
      </c>
      <c r="B1781" s="7">
        <v>44369</v>
      </c>
      <c r="C1781" t="s">
        <v>32</v>
      </c>
      <c r="D1781" s="6">
        <v>2021</v>
      </c>
      <c r="E1781" s="8">
        <v>22269</v>
      </c>
      <c r="F1781" s="8">
        <v>26000</v>
      </c>
      <c r="G1781" s="8">
        <f t="shared" si="108"/>
        <v>3731</v>
      </c>
      <c r="H1781" s="6">
        <v>80000</v>
      </c>
      <c r="I1781" t="s">
        <v>69</v>
      </c>
      <c r="J1781" t="s">
        <v>35</v>
      </c>
      <c r="K1781" t="s">
        <v>96</v>
      </c>
      <c r="L1781" t="s">
        <v>48</v>
      </c>
      <c r="M1781" t="s">
        <v>45</v>
      </c>
      <c r="N1781" s="6" t="s">
        <v>1647</v>
      </c>
      <c r="O1781" t="str">
        <f t="shared" si="109"/>
        <v>Normal</v>
      </c>
      <c r="P1781" t="str">
        <f t="shared" si="110"/>
        <v>Duplicate ID</v>
      </c>
      <c r="Q1781" t="str">
        <f t="shared" si="111"/>
        <v>20,000-24,999</v>
      </c>
      <c r="R1781" s="6">
        <f>IF(COUNTIF($A$2:A1781,A1781)=1,1,0)</f>
        <v>0</v>
      </c>
    </row>
    <row r="1782" spans="1:18" x14ac:dyDescent="0.25">
      <c r="A1782" s="6">
        <v>1424</v>
      </c>
      <c r="B1782" s="7">
        <v>44867</v>
      </c>
      <c r="C1782" t="s">
        <v>79</v>
      </c>
      <c r="D1782" s="6">
        <v>2021</v>
      </c>
      <c r="E1782" s="8">
        <v>2828</v>
      </c>
      <c r="F1782" s="8">
        <v>7000</v>
      </c>
      <c r="G1782" s="8">
        <f t="shared" si="108"/>
        <v>4172</v>
      </c>
      <c r="H1782" s="6">
        <v>25000</v>
      </c>
      <c r="I1782" t="s">
        <v>58</v>
      </c>
      <c r="J1782" t="s">
        <v>72</v>
      </c>
      <c r="K1782" t="s">
        <v>96</v>
      </c>
      <c r="L1782" t="s">
        <v>54</v>
      </c>
      <c r="M1782" t="s">
        <v>90</v>
      </c>
      <c r="N1782" s="6" t="s">
        <v>1647</v>
      </c>
      <c r="O1782" t="str">
        <f t="shared" si="109"/>
        <v>Normal</v>
      </c>
      <c r="P1782" t="str">
        <f t="shared" si="110"/>
        <v>Duplicate ID</v>
      </c>
      <c r="Q1782" t="str">
        <f t="shared" si="111"/>
        <v>0-4,999</v>
      </c>
      <c r="R1782" s="6">
        <f>IF(COUNTIF($A$2:A1782,A1782)=1,1,0)</f>
        <v>0</v>
      </c>
    </row>
    <row r="1783" spans="1:18" x14ac:dyDescent="0.25">
      <c r="A1783" s="6">
        <v>1238</v>
      </c>
      <c r="B1783" s="7">
        <v>44697</v>
      </c>
      <c r="C1783" t="s">
        <v>119</v>
      </c>
      <c r="D1783" s="6">
        <v>2020</v>
      </c>
      <c r="E1783" s="8">
        <v>19113</v>
      </c>
      <c r="F1783" s="8">
        <v>26000</v>
      </c>
      <c r="G1783" s="8">
        <f t="shared" si="108"/>
        <v>6887</v>
      </c>
      <c r="H1783" s="6">
        <v>120000</v>
      </c>
      <c r="I1783" t="s">
        <v>58</v>
      </c>
      <c r="J1783" t="s">
        <v>35</v>
      </c>
      <c r="K1783" t="s">
        <v>96</v>
      </c>
      <c r="L1783" t="s">
        <v>48</v>
      </c>
      <c r="M1783" t="s">
        <v>98</v>
      </c>
      <c r="N1783" s="6">
        <v>0</v>
      </c>
      <c r="O1783" t="str">
        <f t="shared" si="109"/>
        <v>Normal</v>
      </c>
      <c r="P1783" t="str">
        <f t="shared" si="110"/>
        <v>Duplicate ID</v>
      </c>
      <c r="Q1783" t="str">
        <f t="shared" si="111"/>
        <v>15,000-19,999</v>
      </c>
      <c r="R1783" s="6">
        <f>IF(COUNTIF($A$2:A1783,A1783)=1,1,0)</f>
        <v>0</v>
      </c>
    </row>
    <row r="1784" spans="1:18" x14ac:dyDescent="0.25">
      <c r="A1784" s="6">
        <v>1308</v>
      </c>
      <c r="B1784" s="7">
        <v>45111</v>
      </c>
      <c r="C1784" t="s">
        <v>1648</v>
      </c>
      <c r="D1784" s="6">
        <v>2014</v>
      </c>
      <c r="E1784" s="8">
        <v>28984</v>
      </c>
      <c r="F1784" s="8">
        <v>31000</v>
      </c>
      <c r="G1784" s="8">
        <f t="shared" si="108"/>
        <v>2016</v>
      </c>
      <c r="H1784" s="6">
        <v>25000</v>
      </c>
      <c r="I1784" t="s">
        <v>34</v>
      </c>
      <c r="J1784" t="s">
        <v>35</v>
      </c>
      <c r="K1784" t="s">
        <v>96</v>
      </c>
      <c r="L1784" t="s">
        <v>100</v>
      </c>
      <c r="M1784" t="s">
        <v>98</v>
      </c>
      <c r="N1784" s="6">
        <v>1</v>
      </c>
      <c r="O1784" t="str">
        <f t="shared" si="109"/>
        <v>Normal</v>
      </c>
      <c r="P1784" t="str">
        <f t="shared" si="110"/>
        <v>Duplicate ID</v>
      </c>
      <c r="Q1784" t="str">
        <f t="shared" si="111"/>
        <v>25,000-30,000</v>
      </c>
      <c r="R1784" s="6">
        <f>IF(COUNTIF($A$2:A1784,A1784)=1,1,0)</f>
        <v>0</v>
      </c>
    </row>
    <row r="1785" spans="1:18" x14ac:dyDescent="0.25">
      <c r="A1785" s="6">
        <v>1567</v>
      </c>
      <c r="B1785" s="7">
        <v>45240</v>
      </c>
      <c r="C1785" t="s">
        <v>79</v>
      </c>
      <c r="D1785" s="6">
        <v>2021</v>
      </c>
      <c r="E1785" s="8">
        <v>20663</v>
      </c>
      <c r="F1785" s="8">
        <v>22000</v>
      </c>
      <c r="G1785" s="8">
        <f t="shared" si="108"/>
        <v>1337</v>
      </c>
      <c r="H1785" s="6">
        <v>120000</v>
      </c>
      <c r="I1785" t="s">
        <v>69</v>
      </c>
      <c r="J1785" t="s">
        <v>72</v>
      </c>
      <c r="K1785" t="s">
        <v>96</v>
      </c>
      <c r="L1785" t="s">
        <v>54</v>
      </c>
      <c r="M1785" t="s">
        <v>45</v>
      </c>
      <c r="N1785" s="6">
        <v>1</v>
      </c>
      <c r="O1785" t="str">
        <f t="shared" si="109"/>
        <v>Normal</v>
      </c>
      <c r="P1785" t="str">
        <f t="shared" si="110"/>
        <v>Duplicate ID</v>
      </c>
      <c r="Q1785" t="str">
        <f t="shared" si="111"/>
        <v>20,000-24,999</v>
      </c>
      <c r="R1785" s="6">
        <f>IF(COUNTIF($A$2:A1785,A1785)=1,1,0)</f>
        <v>0</v>
      </c>
    </row>
    <row r="1786" spans="1:18" x14ac:dyDescent="0.25">
      <c r="A1786" s="6">
        <v>1194</v>
      </c>
      <c r="B1786" s="7">
        <v>44922</v>
      </c>
      <c r="C1786" t="s">
        <v>51</v>
      </c>
      <c r="D1786" s="6">
        <v>2022</v>
      </c>
      <c r="E1786" s="8">
        <v>16188</v>
      </c>
      <c r="F1786" s="8">
        <v>22000</v>
      </c>
      <c r="G1786" s="8">
        <f t="shared" si="108"/>
        <v>5812</v>
      </c>
      <c r="H1786" s="6">
        <v>25000</v>
      </c>
      <c r="I1786" t="s">
        <v>41</v>
      </c>
      <c r="J1786" t="s">
        <v>35</v>
      </c>
      <c r="K1786" t="s">
        <v>96</v>
      </c>
      <c r="L1786" t="s">
        <v>48</v>
      </c>
      <c r="M1786" t="s">
        <v>98</v>
      </c>
      <c r="N1786" s="6">
        <v>3</v>
      </c>
      <c r="O1786" t="str">
        <f t="shared" si="109"/>
        <v>Normal</v>
      </c>
      <c r="P1786" t="str">
        <f t="shared" si="110"/>
        <v>Duplicate ID</v>
      </c>
      <c r="Q1786" t="str">
        <f t="shared" si="111"/>
        <v>15,000-19,999</v>
      </c>
      <c r="R1786" s="6">
        <f>IF(COUNTIF($A$2:A1786,A1786)=1,1,0)</f>
        <v>0</v>
      </c>
    </row>
    <row r="1787" spans="1:18" x14ac:dyDescent="0.25">
      <c r="A1787" s="6">
        <v>1491</v>
      </c>
      <c r="B1787" s="7">
        <v>44243</v>
      </c>
      <c r="C1787" t="s">
        <v>1648</v>
      </c>
      <c r="D1787" s="6">
        <v>2018</v>
      </c>
      <c r="E1787" s="8">
        <v>4769</v>
      </c>
      <c r="F1787" s="8">
        <v>7000</v>
      </c>
      <c r="G1787" s="8">
        <f t="shared" si="108"/>
        <v>2231</v>
      </c>
      <c r="H1787" s="6">
        <v>40000</v>
      </c>
      <c r="I1787" t="s">
        <v>1647</v>
      </c>
      <c r="J1787" t="s">
        <v>72</v>
      </c>
      <c r="K1787" t="s">
        <v>36</v>
      </c>
      <c r="L1787" t="s">
        <v>54</v>
      </c>
      <c r="M1787" t="s">
        <v>126</v>
      </c>
      <c r="N1787" s="6">
        <v>0</v>
      </c>
      <c r="O1787" t="str">
        <f t="shared" si="109"/>
        <v>Normal</v>
      </c>
      <c r="P1787" t="str">
        <f t="shared" si="110"/>
        <v>Duplicate ID</v>
      </c>
      <c r="Q1787" t="str">
        <f t="shared" si="111"/>
        <v>0-4,999</v>
      </c>
      <c r="R1787" s="6">
        <f>IF(COUNTIF($A$2:A1787,A1787)=1,1,0)</f>
        <v>0</v>
      </c>
    </row>
    <row r="1788" spans="1:18" x14ac:dyDescent="0.25">
      <c r="A1788" s="6">
        <v>1059</v>
      </c>
      <c r="B1788" s="7">
        <v>44318</v>
      </c>
      <c r="C1788" t="s">
        <v>51</v>
      </c>
      <c r="D1788" s="6">
        <v>2021</v>
      </c>
      <c r="E1788" s="8">
        <v>12297</v>
      </c>
      <c r="F1788" s="8">
        <v>15000</v>
      </c>
      <c r="G1788" s="8">
        <f t="shared" si="108"/>
        <v>2703</v>
      </c>
      <c r="H1788" s="6">
        <v>120000</v>
      </c>
      <c r="I1788" t="s">
        <v>69</v>
      </c>
      <c r="J1788" t="s">
        <v>35</v>
      </c>
      <c r="K1788" t="s">
        <v>96</v>
      </c>
      <c r="L1788" t="s">
        <v>54</v>
      </c>
      <c r="M1788" t="s">
        <v>98</v>
      </c>
      <c r="N1788" s="6">
        <v>2</v>
      </c>
      <c r="O1788" t="str">
        <f t="shared" si="109"/>
        <v>Normal</v>
      </c>
      <c r="P1788" t="str">
        <f t="shared" si="110"/>
        <v>Duplicate ID</v>
      </c>
      <c r="Q1788" t="str">
        <f t="shared" si="111"/>
        <v>10,000-14,999</v>
      </c>
      <c r="R1788" s="6">
        <f>IF(COUNTIF($A$2:A1788,A1788)=1,1,0)</f>
        <v>0</v>
      </c>
    </row>
    <row r="1789" spans="1:18" x14ac:dyDescent="0.25">
      <c r="A1789" s="6">
        <v>1250</v>
      </c>
      <c r="B1789" s="7">
        <v>44900</v>
      </c>
      <c r="C1789" t="s">
        <v>32</v>
      </c>
      <c r="D1789" s="6">
        <v>2017</v>
      </c>
      <c r="E1789" s="8">
        <v>14843</v>
      </c>
      <c r="F1789" s="8">
        <v>18000</v>
      </c>
      <c r="G1789" s="8">
        <f t="shared" si="108"/>
        <v>3157</v>
      </c>
      <c r="H1789" s="6">
        <v>120000</v>
      </c>
      <c r="I1789" t="s">
        <v>34</v>
      </c>
      <c r="J1789" t="s">
        <v>72</v>
      </c>
      <c r="K1789" t="s">
        <v>36</v>
      </c>
      <c r="L1789" t="s">
        <v>54</v>
      </c>
      <c r="M1789" t="s">
        <v>90</v>
      </c>
      <c r="N1789" s="6">
        <v>1</v>
      </c>
      <c r="O1789" t="str">
        <f t="shared" si="109"/>
        <v>Normal</v>
      </c>
      <c r="P1789" t="str">
        <f t="shared" si="110"/>
        <v>Duplicate ID</v>
      </c>
      <c r="Q1789" t="str">
        <f t="shared" si="111"/>
        <v>10,000-14,999</v>
      </c>
      <c r="R1789" s="6">
        <f>IF(COUNTIF($A$2:A1789,A1789)=1,1,0)</f>
        <v>0</v>
      </c>
    </row>
    <row r="1790" spans="1:18" x14ac:dyDescent="0.25">
      <c r="A1790" s="6">
        <v>1037</v>
      </c>
      <c r="B1790" s="7">
        <v>44224</v>
      </c>
      <c r="C1790" t="s">
        <v>32</v>
      </c>
      <c r="D1790" s="6">
        <v>2020</v>
      </c>
      <c r="E1790" s="8">
        <v>19829</v>
      </c>
      <c r="F1790" s="8">
        <v>26000</v>
      </c>
      <c r="G1790" s="8">
        <f t="shared" si="108"/>
        <v>6171</v>
      </c>
      <c r="H1790" s="6">
        <v>15000</v>
      </c>
      <c r="I1790" t="s">
        <v>41</v>
      </c>
      <c r="J1790" t="s">
        <v>35</v>
      </c>
      <c r="K1790" t="s">
        <v>36</v>
      </c>
      <c r="L1790" t="s">
        <v>100</v>
      </c>
      <c r="M1790" t="s">
        <v>45</v>
      </c>
      <c r="N1790" s="6" t="s">
        <v>1647</v>
      </c>
      <c r="O1790" t="str">
        <f t="shared" si="109"/>
        <v>Normal</v>
      </c>
      <c r="P1790" t="str">
        <f t="shared" si="110"/>
        <v>Duplicate ID</v>
      </c>
      <c r="Q1790" t="str">
        <f t="shared" si="111"/>
        <v>15,000-19,999</v>
      </c>
      <c r="R1790" s="6">
        <f>IF(COUNTIF($A$2:A1790,A1790)=1,1,0)</f>
        <v>0</v>
      </c>
    </row>
    <row r="1791" spans="1:18" x14ac:dyDescent="0.25">
      <c r="A1791" s="6">
        <v>1581</v>
      </c>
      <c r="B1791" s="7">
        <v>45224</v>
      </c>
      <c r="C1791" t="s">
        <v>79</v>
      </c>
      <c r="D1791" s="6">
        <v>2020</v>
      </c>
      <c r="E1791" s="8">
        <v>3085</v>
      </c>
      <c r="F1791" s="8">
        <v>9000</v>
      </c>
      <c r="G1791" s="8">
        <f t="shared" si="108"/>
        <v>5915</v>
      </c>
      <c r="H1791" s="6">
        <v>15000</v>
      </c>
      <c r="I1791" t="s">
        <v>41</v>
      </c>
      <c r="J1791" t="s">
        <v>35</v>
      </c>
      <c r="K1791" t="s">
        <v>1647</v>
      </c>
      <c r="L1791" t="s">
        <v>73</v>
      </c>
      <c r="M1791" t="s">
        <v>45</v>
      </c>
      <c r="N1791" s="6" t="s">
        <v>1647</v>
      </c>
      <c r="O1791" t="str">
        <f t="shared" si="109"/>
        <v>Normal</v>
      </c>
      <c r="P1791" t="str">
        <f t="shared" si="110"/>
        <v>Duplicate ID</v>
      </c>
      <c r="Q1791" t="str">
        <f t="shared" si="111"/>
        <v>0-4,999</v>
      </c>
      <c r="R1791" s="6">
        <f>IF(COUNTIF($A$2:A1791,A1791)=1,1,0)</f>
        <v>0</v>
      </c>
    </row>
    <row r="1792" spans="1:18" x14ac:dyDescent="0.25">
      <c r="A1792" s="6">
        <v>1319</v>
      </c>
      <c r="B1792" s="7">
        <v>44353</v>
      </c>
      <c r="C1792" t="s">
        <v>57</v>
      </c>
      <c r="D1792" s="6">
        <v>2021</v>
      </c>
      <c r="E1792" s="8">
        <v>13508</v>
      </c>
      <c r="F1792" s="8">
        <v>18000</v>
      </c>
      <c r="G1792" s="8">
        <f t="shared" si="108"/>
        <v>4492</v>
      </c>
      <c r="H1792" s="6">
        <v>60000</v>
      </c>
      <c r="I1792" t="s">
        <v>41</v>
      </c>
      <c r="J1792" t="s">
        <v>1647</v>
      </c>
      <c r="K1792" t="s">
        <v>96</v>
      </c>
      <c r="L1792" t="s">
        <v>1647</v>
      </c>
      <c r="M1792" t="s">
        <v>98</v>
      </c>
      <c r="N1792" s="6">
        <v>0</v>
      </c>
      <c r="O1792" t="str">
        <f t="shared" si="109"/>
        <v>Normal</v>
      </c>
      <c r="P1792" t="str">
        <f t="shared" si="110"/>
        <v>Duplicate ID</v>
      </c>
      <c r="Q1792" t="str">
        <f t="shared" si="111"/>
        <v>10,000-14,999</v>
      </c>
      <c r="R1792" s="6">
        <f>IF(COUNTIF($A$2:A1792,A1792)=1,1,0)</f>
        <v>0</v>
      </c>
    </row>
    <row r="1793" spans="1:18" x14ac:dyDescent="0.25">
      <c r="A1793" s="6">
        <v>1560</v>
      </c>
      <c r="B1793" s="7">
        <v>44982</v>
      </c>
      <c r="C1793" t="s">
        <v>119</v>
      </c>
      <c r="D1793" s="6">
        <v>2021</v>
      </c>
      <c r="E1793" s="8">
        <v>19502</v>
      </c>
      <c r="F1793" s="8">
        <v>26000</v>
      </c>
      <c r="G1793" s="8">
        <f t="shared" si="108"/>
        <v>6498</v>
      </c>
      <c r="H1793" s="6">
        <v>60000</v>
      </c>
      <c r="I1793" t="s">
        <v>69</v>
      </c>
      <c r="J1793" t="s">
        <v>35</v>
      </c>
      <c r="K1793" t="s">
        <v>96</v>
      </c>
      <c r="L1793" t="s">
        <v>48</v>
      </c>
      <c r="M1793" t="s">
        <v>45</v>
      </c>
      <c r="N1793" s="6" t="s">
        <v>1647</v>
      </c>
      <c r="O1793" t="str">
        <f t="shared" si="109"/>
        <v>Normal</v>
      </c>
      <c r="P1793" t="str">
        <f t="shared" si="110"/>
        <v>Duplicate ID</v>
      </c>
      <c r="Q1793" t="str">
        <f t="shared" si="111"/>
        <v>15,000-19,999</v>
      </c>
      <c r="R1793" s="6">
        <f>IF(COUNTIF($A$2:A1793,A1793)=1,1,0)</f>
        <v>0</v>
      </c>
    </row>
    <row r="1794" spans="1:18" x14ac:dyDescent="0.25">
      <c r="A1794" s="6">
        <v>1238</v>
      </c>
      <c r="B1794" s="7">
        <v>44533</v>
      </c>
      <c r="C1794" t="s">
        <v>79</v>
      </c>
      <c r="D1794" s="6">
        <v>2014</v>
      </c>
      <c r="E1794" s="8">
        <v>2116</v>
      </c>
      <c r="F1794" s="8">
        <v>9000</v>
      </c>
      <c r="G1794" s="8">
        <f t="shared" ref="G1794:G1857" si="112">IF(OR(F1794="",E1794=""),"",F1794-E1794)</f>
        <v>6884</v>
      </c>
      <c r="H1794" s="6">
        <v>40000</v>
      </c>
      <c r="I1794" t="s">
        <v>58</v>
      </c>
      <c r="J1794" t="s">
        <v>72</v>
      </c>
      <c r="K1794" t="s">
        <v>96</v>
      </c>
      <c r="L1794" t="s">
        <v>54</v>
      </c>
      <c r="M1794" t="s">
        <v>126</v>
      </c>
      <c r="N1794" s="6">
        <v>2</v>
      </c>
      <c r="O1794" t="str">
        <f t="shared" ref="O1794:O1857" si="113">IF(E1794&lt;1000,"Outlier","Normal")</f>
        <v>Normal</v>
      </c>
      <c r="P1794" t="str">
        <f t="shared" ref="P1794:P1857" si="114">IF(COUNTIF($A$2:$A$2501,A1794)&gt;1,"Duplicate ID","Unique ID")</f>
        <v>Duplicate ID</v>
      </c>
      <c r="Q1794" t="str">
        <f t="shared" ref="Q1794:Q1857" si="115">IF(E1794&lt;5000,"0-4,999",IF(E1794&lt;10000,"5,000-9,999",IF(E1794&lt;15000,"10,000-14,999",IF(E1794&lt;20000,"15,000-19,999",IF(E1794&lt;25000,"20,000-24,999","25,000-30,000")))))</f>
        <v>0-4,999</v>
      </c>
      <c r="R1794" s="6">
        <f>IF(COUNTIF($A$2:A1794,A1794)=1,1,0)</f>
        <v>0</v>
      </c>
    </row>
    <row r="1795" spans="1:18" x14ac:dyDescent="0.25">
      <c r="A1795" s="6">
        <v>1178</v>
      </c>
      <c r="B1795" s="7">
        <v>45061</v>
      </c>
      <c r="C1795" t="s">
        <v>119</v>
      </c>
      <c r="D1795" s="6">
        <v>2021</v>
      </c>
      <c r="E1795" s="8">
        <v>9618</v>
      </c>
      <c r="F1795" s="8">
        <v>15000</v>
      </c>
      <c r="G1795" s="8">
        <f t="shared" si="112"/>
        <v>5382</v>
      </c>
      <c r="H1795" s="6">
        <v>80000</v>
      </c>
      <c r="I1795" t="s">
        <v>41</v>
      </c>
      <c r="J1795" t="s">
        <v>35</v>
      </c>
      <c r="K1795" t="s">
        <v>36</v>
      </c>
      <c r="L1795" t="s">
        <v>1647</v>
      </c>
      <c r="M1795" t="s">
        <v>98</v>
      </c>
      <c r="N1795" s="6">
        <v>3</v>
      </c>
      <c r="O1795" t="str">
        <f t="shared" si="113"/>
        <v>Normal</v>
      </c>
      <c r="P1795" t="str">
        <f t="shared" si="114"/>
        <v>Duplicate ID</v>
      </c>
      <c r="Q1795" t="str">
        <f t="shared" si="115"/>
        <v>5,000-9,999</v>
      </c>
      <c r="R1795" s="6">
        <f>IF(COUNTIF($A$2:A1795,A1795)=1,1,0)</f>
        <v>0</v>
      </c>
    </row>
    <row r="1796" spans="1:18" x14ac:dyDescent="0.25">
      <c r="A1796" s="6">
        <v>1218</v>
      </c>
      <c r="B1796" s="7">
        <v>44695</v>
      </c>
      <c r="C1796" t="s">
        <v>40</v>
      </c>
      <c r="D1796" s="6">
        <v>2018</v>
      </c>
      <c r="E1796" s="8">
        <v>26305</v>
      </c>
      <c r="F1796" s="8">
        <v>31000</v>
      </c>
      <c r="G1796" s="8">
        <f t="shared" si="112"/>
        <v>4695</v>
      </c>
      <c r="H1796" s="6">
        <v>40000</v>
      </c>
      <c r="I1796" t="s">
        <v>69</v>
      </c>
      <c r="J1796" t="s">
        <v>35</v>
      </c>
      <c r="K1796" t="s">
        <v>96</v>
      </c>
      <c r="L1796" t="s">
        <v>48</v>
      </c>
      <c r="M1796" t="s">
        <v>45</v>
      </c>
      <c r="N1796" s="6">
        <v>2</v>
      </c>
      <c r="O1796" t="str">
        <f t="shared" si="113"/>
        <v>Normal</v>
      </c>
      <c r="P1796" t="str">
        <f t="shared" si="114"/>
        <v>Duplicate ID</v>
      </c>
      <c r="Q1796" t="str">
        <f t="shared" si="115"/>
        <v>25,000-30,000</v>
      </c>
      <c r="R1796" s="6">
        <f>IF(COUNTIF($A$2:A1796,A1796)=1,1,0)</f>
        <v>0</v>
      </c>
    </row>
    <row r="1797" spans="1:18" x14ac:dyDescent="0.25">
      <c r="A1797" s="6">
        <v>1288</v>
      </c>
      <c r="B1797" s="7">
        <v>44734</v>
      </c>
      <c r="C1797" t="s">
        <v>32</v>
      </c>
      <c r="D1797" s="6">
        <v>2014</v>
      </c>
      <c r="E1797" s="8">
        <v>9039</v>
      </c>
      <c r="F1797" s="8">
        <v>15000</v>
      </c>
      <c r="G1797" s="8">
        <f t="shared" si="112"/>
        <v>5961</v>
      </c>
      <c r="H1797" s="6">
        <v>40000</v>
      </c>
      <c r="I1797" t="s">
        <v>58</v>
      </c>
      <c r="J1797" t="s">
        <v>35</v>
      </c>
      <c r="K1797" t="s">
        <v>1647</v>
      </c>
      <c r="L1797" t="s">
        <v>48</v>
      </c>
      <c r="M1797" t="s">
        <v>90</v>
      </c>
      <c r="N1797" s="6">
        <v>2</v>
      </c>
      <c r="O1797" t="str">
        <f t="shared" si="113"/>
        <v>Normal</v>
      </c>
      <c r="P1797" t="str">
        <f t="shared" si="114"/>
        <v>Duplicate ID</v>
      </c>
      <c r="Q1797" t="str">
        <f t="shared" si="115"/>
        <v>5,000-9,999</v>
      </c>
      <c r="R1797" s="6">
        <f>IF(COUNTIF($A$2:A1797,A1797)=1,1,0)</f>
        <v>0</v>
      </c>
    </row>
    <row r="1798" spans="1:18" x14ac:dyDescent="0.25">
      <c r="A1798" s="6">
        <v>1490</v>
      </c>
      <c r="B1798" s="7">
        <v>45214</v>
      </c>
      <c r="C1798" t="s">
        <v>40</v>
      </c>
      <c r="D1798" s="6">
        <v>2022</v>
      </c>
      <c r="E1798" s="8">
        <v>22460</v>
      </c>
      <c r="F1798" s="8">
        <v>26000</v>
      </c>
      <c r="G1798" s="8">
        <f t="shared" si="112"/>
        <v>3540</v>
      </c>
      <c r="H1798" s="6">
        <v>60000</v>
      </c>
      <c r="I1798" t="s">
        <v>69</v>
      </c>
      <c r="J1798" t="s">
        <v>35</v>
      </c>
      <c r="K1798" t="s">
        <v>1647</v>
      </c>
      <c r="L1798" t="s">
        <v>100</v>
      </c>
      <c r="M1798" t="s">
        <v>126</v>
      </c>
      <c r="N1798" s="6">
        <v>1</v>
      </c>
      <c r="O1798" t="str">
        <f t="shared" si="113"/>
        <v>Normal</v>
      </c>
      <c r="P1798" t="str">
        <f t="shared" si="114"/>
        <v>Duplicate ID</v>
      </c>
      <c r="Q1798" t="str">
        <f t="shared" si="115"/>
        <v>20,000-24,999</v>
      </c>
      <c r="R1798" s="6">
        <f>IF(COUNTIF($A$2:A1798,A1798)=1,1,0)</f>
        <v>0</v>
      </c>
    </row>
    <row r="1799" spans="1:18" x14ac:dyDescent="0.25">
      <c r="A1799" s="6">
        <v>1325</v>
      </c>
      <c r="B1799" s="7">
        <v>45053</v>
      </c>
      <c r="C1799" t="s">
        <v>79</v>
      </c>
      <c r="D1799" s="6">
        <v>2022</v>
      </c>
      <c r="E1799" s="8">
        <v>18809</v>
      </c>
      <c r="F1799" s="8">
        <v>22000</v>
      </c>
      <c r="G1799" s="8">
        <f t="shared" si="112"/>
        <v>3191</v>
      </c>
      <c r="H1799" s="6">
        <v>25000</v>
      </c>
      <c r="I1799" t="s">
        <v>69</v>
      </c>
      <c r="J1799" t="s">
        <v>35</v>
      </c>
      <c r="K1799" t="s">
        <v>36</v>
      </c>
      <c r="L1799" t="s">
        <v>48</v>
      </c>
      <c r="M1799" t="s">
        <v>1647</v>
      </c>
      <c r="N1799" s="6" t="s">
        <v>1647</v>
      </c>
      <c r="O1799" t="str">
        <f t="shared" si="113"/>
        <v>Normal</v>
      </c>
      <c r="P1799" t="str">
        <f t="shared" si="114"/>
        <v>Duplicate ID</v>
      </c>
      <c r="Q1799" t="str">
        <f t="shared" si="115"/>
        <v>15,000-19,999</v>
      </c>
      <c r="R1799" s="6">
        <f>IF(COUNTIF($A$2:A1799,A1799)=1,1,0)</f>
        <v>0</v>
      </c>
    </row>
    <row r="1800" spans="1:18" x14ac:dyDescent="0.25">
      <c r="A1800" s="6">
        <v>1077</v>
      </c>
      <c r="B1800" s="7">
        <v>44818</v>
      </c>
      <c r="C1800" t="s">
        <v>51</v>
      </c>
      <c r="D1800" s="6">
        <v>2019</v>
      </c>
      <c r="E1800" s="8">
        <v>1720</v>
      </c>
      <c r="F1800" s="8">
        <v>7000</v>
      </c>
      <c r="G1800" s="8">
        <f t="shared" si="112"/>
        <v>5280</v>
      </c>
      <c r="H1800" s="6">
        <v>80000</v>
      </c>
      <c r="I1800" t="s">
        <v>34</v>
      </c>
      <c r="J1800" t="s">
        <v>72</v>
      </c>
      <c r="K1800" t="s">
        <v>96</v>
      </c>
      <c r="L1800" t="s">
        <v>1647</v>
      </c>
      <c r="M1800" t="s">
        <v>126</v>
      </c>
      <c r="N1800" s="6">
        <v>3</v>
      </c>
      <c r="O1800" t="str">
        <f t="shared" si="113"/>
        <v>Normal</v>
      </c>
      <c r="P1800" t="str">
        <f t="shared" si="114"/>
        <v>Duplicate ID</v>
      </c>
      <c r="Q1800" t="str">
        <f t="shared" si="115"/>
        <v>0-4,999</v>
      </c>
      <c r="R1800" s="6">
        <f>IF(COUNTIF($A$2:A1800,A1800)=1,1,0)</f>
        <v>0</v>
      </c>
    </row>
    <row r="1801" spans="1:18" x14ac:dyDescent="0.25">
      <c r="A1801" s="6">
        <v>1099</v>
      </c>
      <c r="B1801" s="7">
        <v>44617</v>
      </c>
      <c r="C1801" t="s">
        <v>1648</v>
      </c>
      <c r="D1801" s="6">
        <v>2019</v>
      </c>
      <c r="E1801" s="8">
        <v>6593</v>
      </c>
      <c r="F1801" s="8">
        <v>12000</v>
      </c>
      <c r="G1801" s="8">
        <f t="shared" si="112"/>
        <v>5407</v>
      </c>
      <c r="H1801" s="6">
        <v>25000</v>
      </c>
      <c r="I1801" t="s">
        <v>41</v>
      </c>
      <c r="J1801" t="s">
        <v>1647</v>
      </c>
      <c r="K1801" t="s">
        <v>36</v>
      </c>
      <c r="L1801" t="s">
        <v>73</v>
      </c>
      <c r="M1801" t="s">
        <v>90</v>
      </c>
      <c r="N1801" s="6" t="s">
        <v>1647</v>
      </c>
      <c r="O1801" t="str">
        <f t="shared" si="113"/>
        <v>Normal</v>
      </c>
      <c r="P1801" t="str">
        <f t="shared" si="114"/>
        <v>Duplicate ID</v>
      </c>
      <c r="Q1801" t="str">
        <f t="shared" si="115"/>
        <v>5,000-9,999</v>
      </c>
      <c r="R1801" s="6">
        <f>IF(COUNTIF($A$2:A1801,A1801)=1,1,0)</f>
        <v>0</v>
      </c>
    </row>
    <row r="1802" spans="1:18" x14ac:dyDescent="0.25">
      <c r="A1802" s="6">
        <v>1177</v>
      </c>
      <c r="B1802" s="7">
        <v>44457</v>
      </c>
      <c r="C1802" t="s">
        <v>40</v>
      </c>
      <c r="D1802" s="6">
        <v>2018</v>
      </c>
      <c r="E1802" s="8">
        <v>22878</v>
      </c>
      <c r="F1802" s="8">
        <v>26000</v>
      </c>
      <c r="G1802" s="8">
        <f t="shared" si="112"/>
        <v>3122</v>
      </c>
      <c r="H1802" s="6">
        <v>25000</v>
      </c>
      <c r="I1802" t="s">
        <v>69</v>
      </c>
      <c r="J1802" t="s">
        <v>1647</v>
      </c>
      <c r="K1802" t="s">
        <v>96</v>
      </c>
      <c r="L1802" t="s">
        <v>100</v>
      </c>
      <c r="M1802" t="s">
        <v>126</v>
      </c>
      <c r="N1802" s="6" t="s">
        <v>1647</v>
      </c>
      <c r="O1802" t="str">
        <f t="shared" si="113"/>
        <v>Normal</v>
      </c>
      <c r="P1802" t="str">
        <f t="shared" si="114"/>
        <v>Duplicate ID</v>
      </c>
      <c r="Q1802" t="str">
        <f t="shared" si="115"/>
        <v>20,000-24,999</v>
      </c>
      <c r="R1802" s="6">
        <f>IF(COUNTIF($A$2:A1802,A1802)=1,1,0)</f>
        <v>0</v>
      </c>
    </row>
    <row r="1803" spans="1:18" x14ac:dyDescent="0.25">
      <c r="A1803" s="6">
        <v>1483</v>
      </c>
      <c r="B1803" s="7">
        <v>44513</v>
      </c>
      <c r="C1803" t="s">
        <v>32</v>
      </c>
      <c r="D1803" s="6">
        <v>2016</v>
      </c>
      <c r="E1803" s="8">
        <v>5425</v>
      </c>
      <c r="F1803" s="8">
        <v>9000</v>
      </c>
      <c r="G1803" s="8">
        <f t="shared" si="112"/>
        <v>3575</v>
      </c>
      <c r="H1803" s="6">
        <v>80000</v>
      </c>
      <c r="I1803" t="s">
        <v>69</v>
      </c>
      <c r="J1803" t="s">
        <v>72</v>
      </c>
      <c r="K1803" t="s">
        <v>36</v>
      </c>
      <c r="L1803" t="s">
        <v>100</v>
      </c>
      <c r="M1803" t="s">
        <v>90</v>
      </c>
      <c r="N1803" s="6">
        <v>0</v>
      </c>
      <c r="O1803" t="str">
        <f t="shared" si="113"/>
        <v>Normal</v>
      </c>
      <c r="P1803" t="str">
        <f t="shared" si="114"/>
        <v>Duplicate ID</v>
      </c>
      <c r="Q1803" t="str">
        <f t="shared" si="115"/>
        <v>5,000-9,999</v>
      </c>
      <c r="R1803" s="6">
        <f>IF(COUNTIF($A$2:A1803,A1803)=1,1,0)</f>
        <v>1</v>
      </c>
    </row>
    <row r="1804" spans="1:18" x14ac:dyDescent="0.25">
      <c r="A1804" s="6">
        <v>1064</v>
      </c>
      <c r="B1804" s="7">
        <v>44307</v>
      </c>
      <c r="C1804" t="s">
        <v>51</v>
      </c>
      <c r="D1804" s="6">
        <v>2018</v>
      </c>
      <c r="E1804" s="8">
        <v>19397</v>
      </c>
      <c r="F1804" s="8">
        <v>22000</v>
      </c>
      <c r="G1804" s="8">
        <f t="shared" si="112"/>
        <v>2603</v>
      </c>
      <c r="H1804" s="6">
        <v>40000</v>
      </c>
      <c r="I1804" t="s">
        <v>69</v>
      </c>
      <c r="J1804" t="s">
        <v>72</v>
      </c>
      <c r="K1804" t="s">
        <v>36</v>
      </c>
      <c r="L1804" t="s">
        <v>48</v>
      </c>
      <c r="M1804" t="s">
        <v>98</v>
      </c>
      <c r="N1804" s="6" t="s">
        <v>1647</v>
      </c>
      <c r="O1804" t="str">
        <f t="shared" si="113"/>
        <v>Normal</v>
      </c>
      <c r="P1804" t="str">
        <f t="shared" si="114"/>
        <v>Duplicate ID</v>
      </c>
      <c r="Q1804" t="str">
        <f t="shared" si="115"/>
        <v>15,000-19,999</v>
      </c>
      <c r="R1804" s="6">
        <f>IF(COUNTIF($A$2:A1804,A1804)=1,1,0)</f>
        <v>0</v>
      </c>
    </row>
    <row r="1805" spans="1:18" x14ac:dyDescent="0.25">
      <c r="A1805" s="6">
        <v>1369</v>
      </c>
      <c r="B1805" s="7">
        <v>45031</v>
      </c>
      <c r="C1805" t="s">
        <v>40</v>
      </c>
      <c r="D1805" s="6">
        <v>2018</v>
      </c>
      <c r="E1805" s="8">
        <v>2949</v>
      </c>
      <c r="F1805" s="8">
        <v>9000</v>
      </c>
      <c r="G1805" s="8">
        <f t="shared" si="112"/>
        <v>6051</v>
      </c>
      <c r="H1805" s="6">
        <v>15000</v>
      </c>
      <c r="I1805" t="s">
        <v>69</v>
      </c>
      <c r="J1805" t="s">
        <v>72</v>
      </c>
      <c r="K1805" t="s">
        <v>96</v>
      </c>
      <c r="L1805" t="s">
        <v>48</v>
      </c>
      <c r="M1805" t="s">
        <v>90</v>
      </c>
      <c r="N1805" s="6">
        <v>2</v>
      </c>
      <c r="O1805" t="str">
        <f t="shared" si="113"/>
        <v>Normal</v>
      </c>
      <c r="P1805" t="str">
        <f t="shared" si="114"/>
        <v>Duplicate ID</v>
      </c>
      <c r="Q1805" t="str">
        <f t="shared" si="115"/>
        <v>0-4,999</v>
      </c>
      <c r="R1805" s="6">
        <f>IF(COUNTIF($A$2:A1805,A1805)=1,1,0)</f>
        <v>0</v>
      </c>
    </row>
    <row r="1806" spans="1:18" x14ac:dyDescent="0.25">
      <c r="A1806" s="6">
        <v>1144</v>
      </c>
      <c r="B1806" s="7">
        <v>44398</v>
      </c>
      <c r="C1806" t="s">
        <v>51</v>
      </c>
      <c r="D1806" s="6">
        <v>2018</v>
      </c>
      <c r="E1806" s="8">
        <v>6495</v>
      </c>
      <c r="F1806" s="8">
        <v>9000</v>
      </c>
      <c r="G1806" s="8">
        <f t="shared" si="112"/>
        <v>2505</v>
      </c>
      <c r="H1806" s="6">
        <v>80000</v>
      </c>
      <c r="I1806" t="s">
        <v>69</v>
      </c>
      <c r="J1806" t="s">
        <v>72</v>
      </c>
      <c r="K1806" t="s">
        <v>36</v>
      </c>
      <c r="L1806" t="s">
        <v>73</v>
      </c>
      <c r="M1806" t="s">
        <v>98</v>
      </c>
      <c r="N1806" s="6">
        <v>2</v>
      </c>
      <c r="O1806" t="str">
        <f t="shared" si="113"/>
        <v>Normal</v>
      </c>
      <c r="P1806" t="str">
        <f t="shared" si="114"/>
        <v>Duplicate ID</v>
      </c>
      <c r="Q1806" t="str">
        <f t="shared" si="115"/>
        <v>5,000-9,999</v>
      </c>
      <c r="R1806" s="6">
        <f>IF(COUNTIF($A$2:A1806,A1806)=1,1,0)</f>
        <v>0</v>
      </c>
    </row>
    <row r="1807" spans="1:18" x14ac:dyDescent="0.25">
      <c r="A1807" s="6">
        <v>1391</v>
      </c>
      <c r="B1807" s="7">
        <v>44411</v>
      </c>
      <c r="C1807" t="s">
        <v>40</v>
      </c>
      <c r="D1807" s="6"/>
      <c r="E1807" s="8">
        <v>4565</v>
      </c>
      <c r="F1807" s="8">
        <v>9000</v>
      </c>
      <c r="G1807" s="8">
        <f t="shared" si="112"/>
        <v>4435</v>
      </c>
      <c r="H1807" s="6">
        <v>15000</v>
      </c>
      <c r="I1807" t="s">
        <v>41</v>
      </c>
      <c r="J1807" t="s">
        <v>35</v>
      </c>
      <c r="K1807" t="s">
        <v>1647</v>
      </c>
      <c r="L1807" t="s">
        <v>100</v>
      </c>
      <c r="M1807" t="s">
        <v>90</v>
      </c>
      <c r="N1807" s="6">
        <v>2</v>
      </c>
      <c r="O1807" t="str">
        <f t="shared" si="113"/>
        <v>Normal</v>
      </c>
      <c r="P1807" t="str">
        <f t="shared" si="114"/>
        <v>Duplicate ID</v>
      </c>
      <c r="Q1807" t="str">
        <f t="shared" si="115"/>
        <v>0-4,999</v>
      </c>
      <c r="R1807" s="6">
        <f>IF(COUNTIF($A$2:A1807,A1807)=1,1,0)</f>
        <v>0</v>
      </c>
    </row>
    <row r="1808" spans="1:18" x14ac:dyDescent="0.25">
      <c r="A1808" s="6">
        <v>1515</v>
      </c>
      <c r="B1808" s="7">
        <v>45051</v>
      </c>
      <c r="C1808" t="s">
        <v>32</v>
      </c>
      <c r="D1808" s="6">
        <v>2015</v>
      </c>
      <c r="E1808" s="8">
        <v>23842</v>
      </c>
      <c r="F1808" s="8">
        <v>26000</v>
      </c>
      <c r="G1808" s="8">
        <f t="shared" si="112"/>
        <v>2158</v>
      </c>
      <c r="H1808" s="6">
        <v>80000</v>
      </c>
      <c r="I1808" t="s">
        <v>1647</v>
      </c>
      <c r="J1808" t="s">
        <v>72</v>
      </c>
      <c r="K1808" t="s">
        <v>96</v>
      </c>
      <c r="L1808" t="s">
        <v>100</v>
      </c>
      <c r="M1808" t="s">
        <v>98</v>
      </c>
      <c r="N1808" s="6" t="s">
        <v>1647</v>
      </c>
      <c r="O1808" t="str">
        <f t="shared" si="113"/>
        <v>Normal</v>
      </c>
      <c r="P1808" t="str">
        <f t="shared" si="114"/>
        <v>Duplicate ID</v>
      </c>
      <c r="Q1808" t="str">
        <f t="shared" si="115"/>
        <v>20,000-24,999</v>
      </c>
      <c r="R1808" s="6">
        <f>IF(COUNTIF($A$2:A1808,A1808)=1,1,0)</f>
        <v>0</v>
      </c>
    </row>
    <row r="1809" spans="1:18" x14ac:dyDescent="0.25">
      <c r="A1809" s="6">
        <v>1508</v>
      </c>
      <c r="B1809" s="7">
        <v>44751</v>
      </c>
      <c r="C1809" t="s">
        <v>79</v>
      </c>
      <c r="D1809" s="6">
        <v>2016</v>
      </c>
      <c r="E1809" s="8">
        <v>4415</v>
      </c>
      <c r="F1809" s="8">
        <v>7000</v>
      </c>
      <c r="G1809" s="8">
        <f t="shared" si="112"/>
        <v>2585</v>
      </c>
      <c r="H1809" s="6">
        <v>80000</v>
      </c>
      <c r="I1809" t="s">
        <v>41</v>
      </c>
      <c r="J1809" t="s">
        <v>35</v>
      </c>
      <c r="K1809" t="s">
        <v>96</v>
      </c>
      <c r="L1809" t="s">
        <v>100</v>
      </c>
      <c r="M1809" t="s">
        <v>90</v>
      </c>
      <c r="N1809" s="6">
        <v>2</v>
      </c>
      <c r="O1809" t="str">
        <f t="shared" si="113"/>
        <v>Normal</v>
      </c>
      <c r="P1809" t="str">
        <f t="shared" si="114"/>
        <v>Duplicate ID</v>
      </c>
      <c r="Q1809" t="str">
        <f t="shared" si="115"/>
        <v>0-4,999</v>
      </c>
      <c r="R1809" s="6">
        <f>IF(COUNTIF($A$2:A1809,A1809)=1,1,0)</f>
        <v>0</v>
      </c>
    </row>
    <row r="1810" spans="1:18" x14ac:dyDescent="0.25">
      <c r="A1810" s="6">
        <v>1050</v>
      </c>
      <c r="B1810" s="7">
        <v>45130</v>
      </c>
      <c r="C1810" t="s">
        <v>1648</v>
      </c>
      <c r="D1810" s="6">
        <v>2016</v>
      </c>
      <c r="E1810" s="8">
        <v>5862</v>
      </c>
      <c r="F1810" s="8">
        <v>12000</v>
      </c>
      <c r="G1810" s="8">
        <f t="shared" si="112"/>
        <v>6138</v>
      </c>
      <c r="H1810" s="6">
        <v>80000</v>
      </c>
      <c r="I1810" t="s">
        <v>1647</v>
      </c>
      <c r="J1810" t="s">
        <v>72</v>
      </c>
      <c r="K1810" t="s">
        <v>1647</v>
      </c>
      <c r="L1810" t="s">
        <v>54</v>
      </c>
      <c r="M1810" t="s">
        <v>98</v>
      </c>
      <c r="N1810" s="6">
        <v>1</v>
      </c>
      <c r="O1810" t="str">
        <f t="shared" si="113"/>
        <v>Normal</v>
      </c>
      <c r="P1810" t="str">
        <f t="shared" si="114"/>
        <v>Duplicate ID</v>
      </c>
      <c r="Q1810" t="str">
        <f t="shared" si="115"/>
        <v>5,000-9,999</v>
      </c>
      <c r="R1810" s="6">
        <f>IF(COUNTIF($A$2:A1810,A1810)=1,1,0)</f>
        <v>0</v>
      </c>
    </row>
    <row r="1811" spans="1:18" x14ac:dyDescent="0.25">
      <c r="A1811" s="6">
        <v>1090</v>
      </c>
      <c r="B1811" s="7">
        <v>44913</v>
      </c>
      <c r="C1811" t="s">
        <v>119</v>
      </c>
      <c r="D1811" s="6">
        <v>2017</v>
      </c>
      <c r="E1811" s="8">
        <v>28815</v>
      </c>
      <c r="F1811" s="8">
        <v>31000</v>
      </c>
      <c r="G1811" s="8">
        <f t="shared" si="112"/>
        <v>2185</v>
      </c>
      <c r="H1811" s="6">
        <v>15000</v>
      </c>
      <c r="I1811" t="s">
        <v>41</v>
      </c>
      <c r="J1811" t="s">
        <v>72</v>
      </c>
      <c r="K1811" t="s">
        <v>1647</v>
      </c>
      <c r="L1811" t="s">
        <v>73</v>
      </c>
      <c r="M1811" t="s">
        <v>90</v>
      </c>
      <c r="N1811" s="6" t="s">
        <v>1647</v>
      </c>
      <c r="O1811" t="str">
        <f t="shared" si="113"/>
        <v>Normal</v>
      </c>
      <c r="P1811" t="str">
        <f t="shared" si="114"/>
        <v>Duplicate ID</v>
      </c>
      <c r="Q1811" t="str">
        <f t="shared" si="115"/>
        <v>25,000-30,000</v>
      </c>
      <c r="R1811" s="6">
        <f>IF(COUNTIF($A$2:A1811,A1811)=1,1,0)</f>
        <v>0</v>
      </c>
    </row>
    <row r="1812" spans="1:18" x14ac:dyDescent="0.25">
      <c r="A1812" s="6">
        <v>1029</v>
      </c>
      <c r="B1812" s="7">
        <v>45328</v>
      </c>
      <c r="C1812" t="s">
        <v>79</v>
      </c>
      <c r="D1812" s="6">
        <v>2014</v>
      </c>
      <c r="E1812" s="8">
        <v>22641</v>
      </c>
      <c r="F1812" s="8">
        <v>26000</v>
      </c>
      <c r="G1812" s="8">
        <f t="shared" si="112"/>
        <v>3359</v>
      </c>
      <c r="H1812" s="6">
        <v>15000</v>
      </c>
      <c r="I1812" t="s">
        <v>41</v>
      </c>
      <c r="J1812" t="s">
        <v>72</v>
      </c>
      <c r="K1812" t="s">
        <v>96</v>
      </c>
      <c r="L1812" t="s">
        <v>54</v>
      </c>
      <c r="M1812" t="s">
        <v>98</v>
      </c>
      <c r="N1812" s="6">
        <v>2</v>
      </c>
      <c r="O1812" t="str">
        <f t="shared" si="113"/>
        <v>Normal</v>
      </c>
      <c r="P1812" t="str">
        <f t="shared" si="114"/>
        <v>Duplicate ID</v>
      </c>
      <c r="Q1812" t="str">
        <f t="shared" si="115"/>
        <v>20,000-24,999</v>
      </c>
      <c r="R1812" s="6">
        <f>IF(COUNTIF($A$2:A1812,A1812)=1,1,0)</f>
        <v>0</v>
      </c>
    </row>
    <row r="1813" spans="1:18" x14ac:dyDescent="0.25">
      <c r="A1813" s="6">
        <v>1023</v>
      </c>
      <c r="B1813" s="7">
        <v>45383</v>
      </c>
      <c r="C1813" t="s">
        <v>1648</v>
      </c>
      <c r="D1813" s="6">
        <v>2020</v>
      </c>
      <c r="E1813" s="8">
        <v>15119</v>
      </c>
      <c r="F1813" s="8">
        <v>22000</v>
      </c>
      <c r="G1813" s="8">
        <f t="shared" si="112"/>
        <v>6881</v>
      </c>
      <c r="H1813" s="6">
        <v>15000</v>
      </c>
      <c r="I1813" t="s">
        <v>69</v>
      </c>
      <c r="J1813" t="s">
        <v>72</v>
      </c>
      <c r="K1813" t="s">
        <v>96</v>
      </c>
      <c r="L1813" t="s">
        <v>54</v>
      </c>
      <c r="M1813" t="s">
        <v>90</v>
      </c>
      <c r="N1813" s="6">
        <v>0</v>
      </c>
      <c r="O1813" t="str">
        <f t="shared" si="113"/>
        <v>Normal</v>
      </c>
      <c r="P1813" t="str">
        <f t="shared" si="114"/>
        <v>Duplicate ID</v>
      </c>
      <c r="Q1813" t="str">
        <f t="shared" si="115"/>
        <v>15,000-19,999</v>
      </c>
      <c r="R1813" s="6">
        <f>IF(COUNTIF($A$2:A1813,A1813)=1,1,0)</f>
        <v>0</v>
      </c>
    </row>
    <row r="1814" spans="1:18" x14ac:dyDescent="0.25">
      <c r="A1814" s="6">
        <v>1137</v>
      </c>
      <c r="B1814" s="7">
        <v>45080</v>
      </c>
      <c r="C1814" t="s">
        <v>32</v>
      </c>
      <c r="D1814" s="6">
        <v>2020</v>
      </c>
      <c r="E1814" s="8">
        <v>18097</v>
      </c>
      <c r="F1814" s="8">
        <v>22000</v>
      </c>
      <c r="G1814" s="8">
        <f t="shared" si="112"/>
        <v>3903</v>
      </c>
      <c r="H1814" s="6">
        <v>120000</v>
      </c>
      <c r="I1814" t="s">
        <v>1647</v>
      </c>
      <c r="J1814" t="s">
        <v>72</v>
      </c>
      <c r="K1814" t="s">
        <v>96</v>
      </c>
      <c r="L1814" t="s">
        <v>48</v>
      </c>
      <c r="M1814" t="s">
        <v>90</v>
      </c>
      <c r="N1814" s="6">
        <v>0</v>
      </c>
      <c r="O1814" t="str">
        <f t="shared" si="113"/>
        <v>Normal</v>
      </c>
      <c r="P1814" t="str">
        <f t="shared" si="114"/>
        <v>Duplicate ID</v>
      </c>
      <c r="Q1814" t="str">
        <f t="shared" si="115"/>
        <v>15,000-19,999</v>
      </c>
      <c r="R1814" s="6">
        <f>IF(COUNTIF($A$2:A1814,A1814)=1,1,0)</f>
        <v>0</v>
      </c>
    </row>
    <row r="1815" spans="1:18" x14ac:dyDescent="0.25">
      <c r="A1815" s="6">
        <v>1141</v>
      </c>
      <c r="B1815" s="7">
        <v>44459</v>
      </c>
      <c r="C1815" t="s">
        <v>57</v>
      </c>
      <c r="D1815" s="6">
        <v>2020</v>
      </c>
      <c r="E1815" s="8">
        <v>699</v>
      </c>
      <c r="F1815" s="8">
        <v>7000</v>
      </c>
      <c r="G1815" s="8">
        <f t="shared" si="112"/>
        <v>6301</v>
      </c>
      <c r="H1815" s="6">
        <v>60000</v>
      </c>
      <c r="I1815" t="s">
        <v>41</v>
      </c>
      <c r="J1815" t="s">
        <v>35</v>
      </c>
      <c r="K1815" t="s">
        <v>1647</v>
      </c>
      <c r="L1815" t="s">
        <v>48</v>
      </c>
      <c r="M1815" t="s">
        <v>126</v>
      </c>
      <c r="N1815" s="6">
        <v>2</v>
      </c>
      <c r="O1815" t="str">
        <f t="shared" si="113"/>
        <v>Outlier</v>
      </c>
      <c r="P1815" t="str">
        <f t="shared" si="114"/>
        <v>Duplicate ID</v>
      </c>
      <c r="Q1815" t="str">
        <f t="shared" si="115"/>
        <v>0-4,999</v>
      </c>
      <c r="R1815" s="6">
        <f>IF(COUNTIF($A$2:A1815,A1815)=1,1,0)</f>
        <v>0</v>
      </c>
    </row>
    <row r="1816" spans="1:18" x14ac:dyDescent="0.25">
      <c r="A1816" s="6">
        <v>1591</v>
      </c>
      <c r="B1816" s="7">
        <v>44360</v>
      </c>
      <c r="C1816" t="s">
        <v>1648</v>
      </c>
      <c r="D1816" s="6"/>
      <c r="E1816" s="8">
        <v>13337</v>
      </c>
      <c r="F1816" s="8">
        <v>18000</v>
      </c>
      <c r="G1816" s="8">
        <f t="shared" si="112"/>
        <v>4663</v>
      </c>
      <c r="H1816" s="6">
        <v>120000</v>
      </c>
      <c r="I1816" t="s">
        <v>69</v>
      </c>
      <c r="J1816" t="s">
        <v>35</v>
      </c>
      <c r="K1816" t="s">
        <v>96</v>
      </c>
      <c r="L1816" t="s">
        <v>1647</v>
      </c>
      <c r="M1816" t="s">
        <v>45</v>
      </c>
      <c r="N1816" s="6">
        <v>1</v>
      </c>
      <c r="O1816" t="str">
        <f t="shared" si="113"/>
        <v>Normal</v>
      </c>
      <c r="P1816" t="str">
        <f t="shared" si="114"/>
        <v>Duplicate ID</v>
      </c>
      <c r="Q1816" t="str">
        <f t="shared" si="115"/>
        <v>10,000-14,999</v>
      </c>
      <c r="R1816" s="6">
        <f>IF(COUNTIF($A$2:A1816,A1816)=1,1,0)</f>
        <v>0</v>
      </c>
    </row>
    <row r="1817" spans="1:18" x14ac:dyDescent="0.25">
      <c r="A1817" s="6">
        <v>1265</v>
      </c>
      <c r="B1817" s="7">
        <v>44446</v>
      </c>
      <c r="C1817" t="s">
        <v>57</v>
      </c>
      <c r="D1817" s="6"/>
      <c r="E1817" s="8">
        <v>16399</v>
      </c>
      <c r="F1817" s="8">
        <v>18000</v>
      </c>
      <c r="G1817" s="8">
        <f t="shared" si="112"/>
        <v>1601</v>
      </c>
      <c r="H1817" s="6">
        <v>40000</v>
      </c>
      <c r="I1817" t="s">
        <v>69</v>
      </c>
      <c r="J1817" t="s">
        <v>35</v>
      </c>
      <c r="K1817" t="s">
        <v>96</v>
      </c>
      <c r="L1817" t="s">
        <v>48</v>
      </c>
      <c r="M1817" t="s">
        <v>90</v>
      </c>
      <c r="N1817" s="6" t="s">
        <v>1647</v>
      </c>
      <c r="O1817" t="str">
        <f t="shared" si="113"/>
        <v>Normal</v>
      </c>
      <c r="P1817" t="str">
        <f t="shared" si="114"/>
        <v>Duplicate ID</v>
      </c>
      <c r="Q1817" t="str">
        <f t="shared" si="115"/>
        <v>15,000-19,999</v>
      </c>
      <c r="R1817" s="6">
        <f>IF(COUNTIF($A$2:A1817,A1817)=1,1,0)</f>
        <v>0</v>
      </c>
    </row>
    <row r="1818" spans="1:18" x14ac:dyDescent="0.25">
      <c r="A1818" s="6">
        <v>1220</v>
      </c>
      <c r="B1818" s="7">
        <v>45168</v>
      </c>
      <c r="C1818" t="s">
        <v>119</v>
      </c>
      <c r="D1818" s="6"/>
      <c r="E1818" s="8">
        <v>17651</v>
      </c>
      <c r="F1818" s="8">
        <v>22000</v>
      </c>
      <c r="G1818" s="8">
        <f t="shared" si="112"/>
        <v>4349</v>
      </c>
      <c r="H1818" s="6">
        <v>15000</v>
      </c>
      <c r="I1818" t="s">
        <v>58</v>
      </c>
      <c r="J1818" t="s">
        <v>35</v>
      </c>
      <c r="K1818" t="s">
        <v>96</v>
      </c>
      <c r="L1818" t="s">
        <v>48</v>
      </c>
      <c r="M1818" t="s">
        <v>126</v>
      </c>
      <c r="N1818" s="6" t="s">
        <v>1647</v>
      </c>
      <c r="O1818" t="str">
        <f t="shared" si="113"/>
        <v>Normal</v>
      </c>
      <c r="P1818" t="str">
        <f t="shared" si="114"/>
        <v>Duplicate ID</v>
      </c>
      <c r="Q1818" t="str">
        <f t="shared" si="115"/>
        <v>15,000-19,999</v>
      </c>
      <c r="R1818" s="6">
        <f>IF(COUNTIF($A$2:A1818,A1818)=1,1,0)</f>
        <v>0</v>
      </c>
    </row>
    <row r="1819" spans="1:18" x14ac:dyDescent="0.25">
      <c r="A1819" s="6">
        <v>1339</v>
      </c>
      <c r="B1819" s="7">
        <v>45044</v>
      </c>
      <c r="C1819" t="s">
        <v>119</v>
      </c>
      <c r="D1819" s="6">
        <v>2022</v>
      </c>
      <c r="E1819" s="8">
        <v>20669</v>
      </c>
      <c r="F1819" s="8">
        <v>26000</v>
      </c>
      <c r="G1819" s="8">
        <f t="shared" si="112"/>
        <v>5331</v>
      </c>
      <c r="H1819" s="6">
        <v>120000</v>
      </c>
      <c r="I1819" t="s">
        <v>58</v>
      </c>
      <c r="J1819" t="s">
        <v>72</v>
      </c>
      <c r="K1819" t="s">
        <v>1647</v>
      </c>
      <c r="L1819" t="s">
        <v>100</v>
      </c>
      <c r="M1819" t="s">
        <v>90</v>
      </c>
      <c r="N1819" s="6" t="s">
        <v>1647</v>
      </c>
      <c r="O1819" t="str">
        <f t="shared" si="113"/>
        <v>Normal</v>
      </c>
      <c r="P1819" t="str">
        <f t="shared" si="114"/>
        <v>Duplicate ID</v>
      </c>
      <c r="Q1819" t="str">
        <f t="shared" si="115"/>
        <v>20,000-24,999</v>
      </c>
      <c r="R1819" s="6">
        <f>IF(COUNTIF($A$2:A1819,A1819)=1,1,0)</f>
        <v>0</v>
      </c>
    </row>
    <row r="1820" spans="1:18" x14ac:dyDescent="0.25">
      <c r="A1820" s="6">
        <v>1157</v>
      </c>
      <c r="B1820" s="7">
        <v>44644</v>
      </c>
      <c r="C1820" t="s">
        <v>57</v>
      </c>
      <c r="D1820" s="6">
        <v>2022</v>
      </c>
      <c r="E1820" s="8">
        <v>1684</v>
      </c>
      <c r="F1820" s="8">
        <v>7000</v>
      </c>
      <c r="G1820" s="8">
        <f t="shared" si="112"/>
        <v>5316</v>
      </c>
      <c r="H1820" s="6">
        <v>15000</v>
      </c>
      <c r="I1820" t="s">
        <v>69</v>
      </c>
      <c r="J1820" t="s">
        <v>72</v>
      </c>
      <c r="K1820" t="s">
        <v>1647</v>
      </c>
      <c r="L1820" t="s">
        <v>54</v>
      </c>
      <c r="M1820" t="s">
        <v>98</v>
      </c>
      <c r="N1820" s="6">
        <v>3</v>
      </c>
      <c r="O1820" t="str">
        <f t="shared" si="113"/>
        <v>Normal</v>
      </c>
      <c r="P1820" t="str">
        <f t="shared" si="114"/>
        <v>Duplicate ID</v>
      </c>
      <c r="Q1820" t="str">
        <f t="shared" si="115"/>
        <v>0-4,999</v>
      </c>
      <c r="R1820" s="6">
        <f>IF(COUNTIF($A$2:A1820,A1820)=1,1,0)</f>
        <v>0</v>
      </c>
    </row>
    <row r="1821" spans="1:18" x14ac:dyDescent="0.25">
      <c r="A1821" s="6">
        <v>1285</v>
      </c>
      <c r="B1821" s="7">
        <v>45014</v>
      </c>
      <c r="C1821" t="s">
        <v>1648</v>
      </c>
      <c r="D1821" s="6">
        <v>2018</v>
      </c>
      <c r="E1821" s="8">
        <v>29849</v>
      </c>
      <c r="F1821" s="8">
        <v>31000</v>
      </c>
      <c r="G1821" s="8">
        <f t="shared" si="112"/>
        <v>1151</v>
      </c>
      <c r="H1821" s="6">
        <v>80000</v>
      </c>
      <c r="I1821" t="s">
        <v>69</v>
      </c>
      <c r="J1821" t="s">
        <v>72</v>
      </c>
      <c r="K1821" t="s">
        <v>1647</v>
      </c>
      <c r="L1821" t="s">
        <v>54</v>
      </c>
      <c r="M1821" t="s">
        <v>98</v>
      </c>
      <c r="N1821" s="6">
        <v>2</v>
      </c>
      <c r="O1821" t="str">
        <f t="shared" si="113"/>
        <v>Normal</v>
      </c>
      <c r="P1821" t="str">
        <f t="shared" si="114"/>
        <v>Duplicate ID</v>
      </c>
      <c r="Q1821" t="str">
        <f t="shared" si="115"/>
        <v>25,000-30,000</v>
      </c>
      <c r="R1821" s="6">
        <f>IF(COUNTIF($A$2:A1821,A1821)=1,1,0)</f>
        <v>0</v>
      </c>
    </row>
    <row r="1822" spans="1:18" x14ac:dyDescent="0.25">
      <c r="A1822" s="6">
        <v>1083</v>
      </c>
      <c r="B1822" s="7">
        <v>44607</v>
      </c>
      <c r="C1822" t="s">
        <v>32</v>
      </c>
      <c r="D1822" s="6">
        <v>2015</v>
      </c>
      <c r="E1822" s="8">
        <v>8789</v>
      </c>
      <c r="F1822" s="8">
        <v>15000</v>
      </c>
      <c r="G1822" s="8">
        <f t="shared" si="112"/>
        <v>6211</v>
      </c>
      <c r="H1822" s="6">
        <v>40000</v>
      </c>
      <c r="I1822" t="s">
        <v>69</v>
      </c>
      <c r="J1822" t="s">
        <v>1647</v>
      </c>
      <c r="K1822" t="s">
        <v>36</v>
      </c>
      <c r="L1822" t="s">
        <v>1647</v>
      </c>
      <c r="M1822" t="s">
        <v>98</v>
      </c>
      <c r="N1822" s="6">
        <v>2</v>
      </c>
      <c r="O1822" t="str">
        <f t="shared" si="113"/>
        <v>Normal</v>
      </c>
      <c r="P1822" t="str">
        <f t="shared" si="114"/>
        <v>Duplicate ID</v>
      </c>
      <c r="Q1822" t="str">
        <f t="shared" si="115"/>
        <v>5,000-9,999</v>
      </c>
      <c r="R1822" s="6">
        <f>IF(COUNTIF($A$2:A1822,A1822)=1,1,0)</f>
        <v>0</v>
      </c>
    </row>
    <row r="1823" spans="1:18" x14ac:dyDescent="0.25">
      <c r="A1823" s="6">
        <v>1539</v>
      </c>
      <c r="B1823" s="7">
        <v>44793</v>
      </c>
      <c r="C1823" t="s">
        <v>1648</v>
      </c>
      <c r="D1823" s="6">
        <v>2018</v>
      </c>
      <c r="E1823" s="8">
        <v>7473</v>
      </c>
      <c r="F1823" s="8">
        <v>9000</v>
      </c>
      <c r="G1823" s="8">
        <f t="shared" si="112"/>
        <v>1527</v>
      </c>
      <c r="H1823" s="6">
        <v>120000</v>
      </c>
      <c r="I1823" t="s">
        <v>34</v>
      </c>
      <c r="J1823" t="s">
        <v>72</v>
      </c>
      <c r="K1823" t="s">
        <v>96</v>
      </c>
      <c r="L1823" t="s">
        <v>73</v>
      </c>
      <c r="M1823" t="s">
        <v>126</v>
      </c>
      <c r="N1823" s="6" t="s">
        <v>1647</v>
      </c>
      <c r="O1823" t="str">
        <f t="shared" si="113"/>
        <v>Normal</v>
      </c>
      <c r="P1823" t="str">
        <f t="shared" si="114"/>
        <v>Duplicate ID</v>
      </c>
      <c r="Q1823" t="str">
        <f t="shared" si="115"/>
        <v>5,000-9,999</v>
      </c>
      <c r="R1823" s="6">
        <f>IF(COUNTIF($A$2:A1823,A1823)=1,1,0)</f>
        <v>0</v>
      </c>
    </row>
    <row r="1824" spans="1:18" x14ac:dyDescent="0.25">
      <c r="A1824" s="6">
        <v>1416</v>
      </c>
      <c r="B1824" s="7">
        <v>44746</v>
      </c>
      <c r="C1824" t="s">
        <v>1648</v>
      </c>
      <c r="D1824" s="6">
        <v>2020</v>
      </c>
      <c r="E1824" s="8">
        <v>15165</v>
      </c>
      <c r="F1824" s="8">
        <v>18000</v>
      </c>
      <c r="G1824" s="8">
        <f t="shared" si="112"/>
        <v>2835</v>
      </c>
      <c r="H1824" s="6">
        <v>40000</v>
      </c>
      <c r="I1824" t="s">
        <v>34</v>
      </c>
      <c r="J1824" t="s">
        <v>72</v>
      </c>
      <c r="K1824" t="s">
        <v>36</v>
      </c>
      <c r="L1824" t="s">
        <v>48</v>
      </c>
      <c r="M1824" t="s">
        <v>98</v>
      </c>
      <c r="N1824" s="6" t="s">
        <v>1647</v>
      </c>
      <c r="O1824" t="str">
        <f t="shared" si="113"/>
        <v>Normal</v>
      </c>
      <c r="P1824" t="str">
        <f t="shared" si="114"/>
        <v>Duplicate ID</v>
      </c>
      <c r="Q1824" t="str">
        <f t="shared" si="115"/>
        <v>15,000-19,999</v>
      </c>
      <c r="R1824" s="6">
        <f>IF(COUNTIF($A$2:A1824,A1824)=1,1,0)</f>
        <v>0</v>
      </c>
    </row>
    <row r="1825" spans="1:18" x14ac:dyDescent="0.25">
      <c r="A1825" s="6">
        <v>1359</v>
      </c>
      <c r="B1825" s="7">
        <v>44620</v>
      </c>
      <c r="C1825" t="s">
        <v>1648</v>
      </c>
      <c r="D1825" s="6">
        <v>2017</v>
      </c>
      <c r="E1825" s="8">
        <v>1366</v>
      </c>
      <c r="F1825" s="8">
        <v>7000</v>
      </c>
      <c r="G1825" s="8">
        <f t="shared" si="112"/>
        <v>5634</v>
      </c>
      <c r="H1825" s="6">
        <v>15000</v>
      </c>
      <c r="I1825" t="s">
        <v>41</v>
      </c>
      <c r="J1825" t="s">
        <v>72</v>
      </c>
      <c r="K1825" t="s">
        <v>36</v>
      </c>
      <c r="L1825" t="s">
        <v>73</v>
      </c>
      <c r="M1825" t="s">
        <v>126</v>
      </c>
      <c r="N1825" s="6">
        <v>2</v>
      </c>
      <c r="O1825" t="str">
        <f t="shared" si="113"/>
        <v>Normal</v>
      </c>
      <c r="P1825" t="str">
        <f t="shared" si="114"/>
        <v>Unique ID</v>
      </c>
      <c r="Q1825" t="str">
        <f t="shared" si="115"/>
        <v>0-4,999</v>
      </c>
      <c r="R1825" s="6">
        <f>IF(COUNTIF($A$2:A1825,A1825)=1,1,0)</f>
        <v>1</v>
      </c>
    </row>
    <row r="1826" spans="1:18" x14ac:dyDescent="0.25">
      <c r="A1826" s="6">
        <v>1129</v>
      </c>
      <c r="B1826" s="7">
        <v>44493</v>
      </c>
      <c r="C1826" t="s">
        <v>1648</v>
      </c>
      <c r="D1826" s="6">
        <v>2018</v>
      </c>
      <c r="E1826" s="8">
        <v>8700</v>
      </c>
      <c r="F1826" s="8">
        <v>12000</v>
      </c>
      <c r="G1826" s="8">
        <f t="shared" si="112"/>
        <v>3300</v>
      </c>
      <c r="H1826" s="6">
        <v>25000</v>
      </c>
      <c r="I1826" t="s">
        <v>58</v>
      </c>
      <c r="J1826" t="s">
        <v>72</v>
      </c>
      <c r="K1826" t="s">
        <v>1647</v>
      </c>
      <c r="L1826" t="s">
        <v>100</v>
      </c>
      <c r="M1826" t="s">
        <v>98</v>
      </c>
      <c r="N1826" s="6">
        <v>3</v>
      </c>
      <c r="O1826" t="str">
        <f t="shared" si="113"/>
        <v>Normal</v>
      </c>
      <c r="P1826" t="str">
        <f t="shared" si="114"/>
        <v>Duplicate ID</v>
      </c>
      <c r="Q1826" t="str">
        <f t="shared" si="115"/>
        <v>5,000-9,999</v>
      </c>
      <c r="R1826" s="6">
        <f>IF(COUNTIF($A$2:A1826,A1826)=1,1,0)</f>
        <v>0</v>
      </c>
    </row>
    <row r="1827" spans="1:18" x14ac:dyDescent="0.25">
      <c r="A1827" s="6">
        <v>1260</v>
      </c>
      <c r="B1827" s="7">
        <v>45261</v>
      </c>
      <c r="C1827" t="s">
        <v>1648</v>
      </c>
      <c r="D1827" s="6">
        <v>2022</v>
      </c>
      <c r="E1827" s="8">
        <v>852</v>
      </c>
      <c r="F1827" s="8">
        <v>7000</v>
      </c>
      <c r="G1827" s="8">
        <f t="shared" si="112"/>
        <v>6148</v>
      </c>
      <c r="H1827" s="6">
        <v>80000</v>
      </c>
      <c r="I1827" t="s">
        <v>41</v>
      </c>
      <c r="J1827" t="s">
        <v>72</v>
      </c>
      <c r="K1827" t="s">
        <v>36</v>
      </c>
      <c r="L1827" t="s">
        <v>100</v>
      </c>
      <c r="M1827" t="s">
        <v>90</v>
      </c>
      <c r="N1827" s="6">
        <v>2</v>
      </c>
      <c r="O1827" t="str">
        <f t="shared" si="113"/>
        <v>Outlier</v>
      </c>
      <c r="P1827" t="str">
        <f t="shared" si="114"/>
        <v>Duplicate ID</v>
      </c>
      <c r="Q1827" t="str">
        <f t="shared" si="115"/>
        <v>0-4,999</v>
      </c>
      <c r="R1827" s="6">
        <f>IF(COUNTIF($A$2:A1827,A1827)=1,1,0)</f>
        <v>0</v>
      </c>
    </row>
    <row r="1828" spans="1:18" x14ac:dyDescent="0.25">
      <c r="A1828" s="6">
        <v>1383</v>
      </c>
      <c r="B1828" s="7">
        <v>44692</v>
      </c>
      <c r="C1828" t="s">
        <v>40</v>
      </c>
      <c r="D1828" s="6">
        <v>2015</v>
      </c>
      <c r="E1828" s="8">
        <v>17407</v>
      </c>
      <c r="F1828" s="8">
        <v>22000</v>
      </c>
      <c r="G1828" s="8">
        <f t="shared" si="112"/>
        <v>4593</v>
      </c>
      <c r="H1828" s="6">
        <v>25000</v>
      </c>
      <c r="I1828" t="s">
        <v>1647</v>
      </c>
      <c r="J1828" t="s">
        <v>35</v>
      </c>
      <c r="K1828" t="s">
        <v>96</v>
      </c>
      <c r="L1828" t="s">
        <v>54</v>
      </c>
      <c r="M1828" t="s">
        <v>45</v>
      </c>
      <c r="N1828" s="6">
        <v>2</v>
      </c>
      <c r="O1828" t="str">
        <f t="shared" si="113"/>
        <v>Normal</v>
      </c>
      <c r="P1828" t="str">
        <f t="shared" si="114"/>
        <v>Duplicate ID</v>
      </c>
      <c r="Q1828" t="str">
        <f t="shared" si="115"/>
        <v>15,000-19,999</v>
      </c>
      <c r="R1828" s="6">
        <f>IF(COUNTIF($A$2:A1828,A1828)=1,1,0)</f>
        <v>0</v>
      </c>
    </row>
    <row r="1829" spans="1:18" x14ac:dyDescent="0.25">
      <c r="A1829" s="6">
        <v>1402</v>
      </c>
      <c r="B1829" s="7">
        <v>44512</v>
      </c>
      <c r="C1829" t="s">
        <v>1648</v>
      </c>
      <c r="D1829" s="6">
        <v>2014</v>
      </c>
      <c r="E1829" s="8">
        <v>16202</v>
      </c>
      <c r="F1829" s="8">
        <v>22000</v>
      </c>
      <c r="G1829" s="8">
        <f t="shared" si="112"/>
        <v>5798</v>
      </c>
      <c r="H1829" s="6">
        <v>25000</v>
      </c>
      <c r="I1829" t="s">
        <v>69</v>
      </c>
      <c r="J1829" t="s">
        <v>72</v>
      </c>
      <c r="K1829" t="s">
        <v>36</v>
      </c>
      <c r="L1829" t="s">
        <v>48</v>
      </c>
      <c r="M1829" t="s">
        <v>90</v>
      </c>
      <c r="N1829" s="6">
        <v>0</v>
      </c>
      <c r="O1829" t="str">
        <f t="shared" si="113"/>
        <v>Normal</v>
      </c>
      <c r="P1829" t="str">
        <f t="shared" si="114"/>
        <v>Duplicate ID</v>
      </c>
      <c r="Q1829" t="str">
        <f t="shared" si="115"/>
        <v>15,000-19,999</v>
      </c>
      <c r="R1829" s="6">
        <f>IF(COUNTIF($A$2:A1829,A1829)=1,1,0)</f>
        <v>0</v>
      </c>
    </row>
    <row r="1830" spans="1:18" x14ac:dyDescent="0.25">
      <c r="A1830" s="6">
        <v>1064</v>
      </c>
      <c r="B1830" s="7">
        <v>45371</v>
      </c>
      <c r="C1830" t="s">
        <v>51</v>
      </c>
      <c r="D1830" s="6">
        <v>2017</v>
      </c>
      <c r="E1830" s="8">
        <v>22552</v>
      </c>
      <c r="F1830" s="8">
        <v>26000</v>
      </c>
      <c r="G1830" s="8">
        <f t="shared" si="112"/>
        <v>3448</v>
      </c>
      <c r="H1830" s="6">
        <v>120000</v>
      </c>
      <c r="I1830" t="s">
        <v>69</v>
      </c>
      <c r="J1830" t="s">
        <v>72</v>
      </c>
      <c r="K1830" t="s">
        <v>96</v>
      </c>
      <c r="L1830" t="s">
        <v>100</v>
      </c>
      <c r="M1830" t="s">
        <v>1647</v>
      </c>
      <c r="N1830" s="6">
        <v>2</v>
      </c>
      <c r="O1830" t="str">
        <f t="shared" si="113"/>
        <v>Normal</v>
      </c>
      <c r="P1830" t="str">
        <f t="shared" si="114"/>
        <v>Duplicate ID</v>
      </c>
      <c r="Q1830" t="str">
        <f t="shared" si="115"/>
        <v>20,000-24,999</v>
      </c>
      <c r="R1830" s="6">
        <f>IF(COUNTIF($A$2:A1830,A1830)=1,1,0)</f>
        <v>0</v>
      </c>
    </row>
    <row r="1831" spans="1:18" x14ac:dyDescent="0.25">
      <c r="A1831" s="6">
        <v>1570</v>
      </c>
      <c r="B1831" s="7">
        <v>44642</v>
      </c>
      <c r="C1831" t="s">
        <v>40</v>
      </c>
      <c r="D1831" s="6">
        <v>2016</v>
      </c>
      <c r="E1831" s="8">
        <v>5371</v>
      </c>
      <c r="F1831" s="8">
        <v>9000</v>
      </c>
      <c r="G1831" s="8">
        <f t="shared" si="112"/>
        <v>3629</v>
      </c>
      <c r="H1831" s="6">
        <v>40000</v>
      </c>
      <c r="I1831" t="s">
        <v>69</v>
      </c>
      <c r="J1831" t="s">
        <v>72</v>
      </c>
      <c r="K1831" t="s">
        <v>1647</v>
      </c>
      <c r="L1831" t="s">
        <v>100</v>
      </c>
      <c r="M1831" t="s">
        <v>126</v>
      </c>
      <c r="N1831" s="6">
        <v>1</v>
      </c>
      <c r="O1831" t="str">
        <f t="shared" si="113"/>
        <v>Normal</v>
      </c>
      <c r="P1831" t="str">
        <f t="shared" si="114"/>
        <v>Duplicate ID</v>
      </c>
      <c r="Q1831" t="str">
        <f t="shared" si="115"/>
        <v>5,000-9,999</v>
      </c>
      <c r="R1831" s="6">
        <f>IF(COUNTIF($A$2:A1831,A1831)=1,1,0)</f>
        <v>0</v>
      </c>
    </row>
    <row r="1832" spans="1:18" x14ac:dyDescent="0.25">
      <c r="A1832" s="6">
        <v>1407</v>
      </c>
      <c r="B1832" s="7">
        <v>44956</v>
      </c>
      <c r="C1832" t="s">
        <v>79</v>
      </c>
      <c r="D1832" s="6">
        <v>2016</v>
      </c>
      <c r="E1832" s="8">
        <v>23218</v>
      </c>
      <c r="F1832" s="8">
        <v>26000</v>
      </c>
      <c r="G1832" s="8">
        <f t="shared" si="112"/>
        <v>2782</v>
      </c>
      <c r="H1832" s="6">
        <v>40000</v>
      </c>
      <c r="I1832" t="s">
        <v>34</v>
      </c>
      <c r="J1832" t="s">
        <v>35</v>
      </c>
      <c r="K1832" t="s">
        <v>96</v>
      </c>
      <c r="L1832" t="s">
        <v>1647</v>
      </c>
      <c r="M1832" t="s">
        <v>126</v>
      </c>
      <c r="N1832" s="6">
        <v>3</v>
      </c>
      <c r="O1832" t="str">
        <f t="shared" si="113"/>
        <v>Normal</v>
      </c>
      <c r="P1832" t="str">
        <f t="shared" si="114"/>
        <v>Duplicate ID</v>
      </c>
      <c r="Q1832" t="str">
        <f t="shared" si="115"/>
        <v>20,000-24,999</v>
      </c>
      <c r="R1832" s="6">
        <f>IF(COUNTIF($A$2:A1832,A1832)=1,1,0)</f>
        <v>0</v>
      </c>
    </row>
    <row r="1833" spans="1:18" x14ac:dyDescent="0.25">
      <c r="A1833" s="6">
        <v>1467</v>
      </c>
      <c r="B1833" s="7">
        <v>44329</v>
      </c>
      <c r="C1833" t="s">
        <v>51</v>
      </c>
      <c r="D1833" s="6">
        <v>2015</v>
      </c>
      <c r="E1833" s="8">
        <v>3865</v>
      </c>
      <c r="F1833" s="8">
        <v>9000</v>
      </c>
      <c r="G1833" s="8">
        <f t="shared" si="112"/>
        <v>5135</v>
      </c>
      <c r="H1833" s="6">
        <v>80000</v>
      </c>
      <c r="I1833" t="s">
        <v>69</v>
      </c>
      <c r="J1833" t="s">
        <v>72</v>
      </c>
      <c r="K1833" t="s">
        <v>36</v>
      </c>
      <c r="L1833" t="s">
        <v>54</v>
      </c>
      <c r="M1833" t="s">
        <v>90</v>
      </c>
      <c r="N1833" s="6">
        <v>2</v>
      </c>
      <c r="O1833" t="str">
        <f t="shared" si="113"/>
        <v>Normal</v>
      </c>
      <c r="P1833" t="str">
        <f t="shared" si="114"/>
        <v>Duplicate ID</v>
      </c>
      <c r="Q1833" t="str">
        <f t="shared" si="115"/>
        <v>0-4,999</v>
      </c>
      <c r="R1833" s="6">
        <f>IF(COUNTIF($A$2:A1833,A1833)=1,1,0)</f>
        <v>0</v>
      </c>
    </row>
    <row r="1834" spans="1:18" x14ac:dyDescent="0.25">
      <c r="A1834" s="6">
        <v>1182</v>
      </c>
      <c r="B1834" s="7">
        <v>45305</v>
      </c>
      <c r="C1834" t="s">
        <v>57</v>
      </c>
      <c r="D1834" s="6">
        <v>2018</v>
      </c>
      <c r="E1834" s="8">
        <v>5743</v>
      </c>
      <c r="F1834" s="8">
        <v>9000</v>
      </c>
      <c r="G1834" s="8">
        <f t="shared" si="112"/>
        <v>3257</v>
      </c>
      <c r="H1834" s="6">
        <v>60000</v>
      </c>
      <c r="I1834" t="s">
        <v>69</v>
      </c>
      <c r="J1834" t="s">
        <v>1647</v>
      </c>
      <c r="K1834" t="s">
        <v>96</v>
      </c>
      <c r="L1834" t="s">
        <v>54</v>
      </c>
      <c r="M1834" t="s">
        <v>98</v>
      </c>
      <c r="N1834" s="6">
        <v>3</v>
      </c>
      <c r="O1834" t="str">
        <f t="shared" si="113"/>
        <v>Normal</v>
      </c>
      <c r="P1834" t="str">
        <f t="shared" si="114"/>
        <v>Duplicate ID</v>
      </c>
      <c r="Q1834" t="str">
        <f t="shared" si="115"/>
        <v>5,000-9,999</v>
      </c>
      <c r="R1834" s="6">
        <f>IF(COUNTIF($A$2:A1834,A1834)=1,1,0)</f>
        <v>0</v>
      </c>
    </row>
    <row r="1835" spans="1:18" x14ac:dyDescent="0.25">
      <c r="A1835" s="6">
        <v>1492</v>
      </c>
      <c r="B1835" s="7">
        <v>44272</v>
      </c>
      <c r="C1835" t="s">
        <v>1648</v>
      </c>
      <c r="D1835" s="6">
        <v>2019</v>
      </c>
      <c r="E1835" s="8">
        <v>20230</v>
      </c>
      <c r="F1835" s="8">
        <v>26000</v>
      </c>
      <c r="G1835" s="8">
        <f t="shared" si="112"/>
        <v>5770</v>
      </c>
      <c r="H1835" s="6">
        <v>40000</v>
      </c>
      <c r="I1835" t="s">
        <v>69</v>
      </c>
      <c r="J1835" t="s">
        <v>35</v>
      </c>
      <c r="K1835" t="s">
        <v>96</v>
      </c>
      <c r="L1835" t="s">
        <v>100</v>
      </c>
      <c r="M1835" t="s">
        <v>98</v>
      </c>
      <c r="N1835" s="6" t="s">
        <v>1647</v>
      </c>
      <c r="O1835" t="str">
        <f t="shared" si="113"/>
        <v>Normal</v>
      </c>
      <c r="P1835" t="str">
        <f t="shared" si="114"/>
        <v>Duplicate ID</v>
      </c>
      <c r="Q1835" t="str">
        <f t="shared" si="115"/>
        <v>20,000-24,999</v>
      </c>
      <c r="R1835" s="6">
        <f>IF(COUNTIF($A$2:A1835,A1835)=1,1,0)</f>
        <v>0</v>
      </c>
    </row>
    <row r="1836" spans="1:18" x14ac:dyDescent="0.25">
      <c r="A1836" s="6">
        <v>1577</v>
      </c>
      <c r="B1836" s="7">
        <v>45037</v>
      </c>
      <c r="C1836" t="s">
        <v>1648</v>
      </c>
      <c r="D1836" s="6">
        <v>2018</v>
      </c>
      <c r="E1836" s="8">
        <v>27246</v>
      </c>
      <c r="F1836" s="8">
        <v>31000</v>
      </c>
      <c r="G1836" s="8">
        <f t="shared" si="112"/>
        <v>3754</v>
      </c>
      <c r="H1836" s="6">
        <v>15000</v>
      </c>
      <c r="I1836" t="s">
        <v>69</v>
      </c>
      <c r="J1836" t="s">
        <v>1647</v>
      </c>
      <c r="K1836" t="s">
        <v>36</v>
      </c>
      <c r="L1836" t="s">
        <v>48</v>
      </c>
      <c r="M1836" t="s">
        <v>98</v>
      </c>
      <c r="N1836" s="6">
        <v>1</v>
      </c>
      <c r="O1836" t="str">
        <f t="shared" si="113"/>
        <v>Normal</v>
      </c>
      <c r="P1836" t="str">
        <f t="shared" si="114"/>
        <v>Duplicate ID</v>
      </c>
      <c r="Q1836" t="str">
        <f t="shared" si="115"/>
        <v>25,000-30,000</v>
      </c>
      <c r="R1836" s="6">
        <f>IF(COUNTIF($A$2:A1836,A1836)=1,1,0)</f>
        <v>0</v>
      </c>
    </row>
    <row r="1837" spans="1:18" x14ac:dyDescent="0.25">
      <c r="A1837" s="6">
        <v>1477</v>
      </c>
      <c r="B1837" s="7">
        <v>45146</v>
      </c>
      <c r="C1837" t="s">
        <v>51</v>
      </c>
      <c r="D1837" s="6">
        <v>2015</v>
      </c>
      <c r="E1837" s="8">
        <v>18052</v>
      </c>
      <c r="F1837" s="8">
        <v>22000</v>
      </c>
      <c r="G1837" s="8">
        <f t="shared" si="112"/>
        <v>3948</v>
      </c>
      <c r="H1837" s="6">
        <v>25000</v>
      </c>
      <c r="I1837" t="s">
        <v>41</v>
      </c>
      <c r="J1837" t="s">
        <v>72</v>
      </c>
      <c r="K1837" t="s">
        <v>96</v>
      </c>
      <c r="L1837" t="s">
        <v>48</v>
      </c>
      <c r="M1837" t="s">
        <v>98</v>
      </c>
      <c r="N1837" s="6">
        <v>1</v>
      </c>
      <c r="O1837" t="str">
        <f t="shared" si="113"/>
        <v>Normal</v>
      </c>
      <c r="P1837" t="str">
        <f t="shared" si="114"/>
        <v>Duplicate ID</v>
      </c>
      <c r="Q1837" t="str">
        <f t="shared" si="115"/>
        <v>15,000-19,999</v>
      </c>
      <c r="R1837" s="6">
        <f>IF(COUNTIF($A$2:A1837,A1837)=1,1,0)</f>
        <v>0</v>
      </c>
    </row>
    <row r="1838" spans="1:18" x14ac:dyDescent="0.25">
      <c r="A1838" s="6">
        <v>1268</v>
      </c>
      <c r="B1838" s="7">
        <v>44343</v>
      </c>
      <c r="C1838" t="s">
        <v>51</v>
      </c>
      <c r="D1838" s="6"/>
      <c r="E1838" s="8">
        <v>11567</v>
      </c>
      <c r="F1838" s="8">
        <v>18000</v>
      </c>
      <c r="G1838" s="8">
        <f t="shared" si="112"/>
        <v>6433</v>
      </c>
      <c r="H1838" s="6">
        <v>25000</v>
      </c>
      <c r="I1838" t="s">
        <v>69</v>
      </c>
      <c r="J1838" t="s">
        <v>72</v>
      </c>
      <c r="K1838" t="s">
        <v>1647</v>
      </c>
      <c r="L1838" t="s">
        <v>54</v>
      </c>
      <c r="M1838" t="s">
        <v>98</v>
      </c>
      <c r="N1838" s="6">
        <v>2</v>
      </c>
      <c r="O1838" t="str">
        <f t="shared" si="113"/>
        <v>Normal</v>
      </c>
      <c r="P1838" t="str">
        <f t="shared" si="114"/>
        <v>Duplicate ID</v>
      </c>
      <c r="Q1838" t="str">
        <f t="shared" si="115"/>
        <v>10,000-14,999</v>
      </c>
      <c r="R1838" s="6">
        <f>IF(COUNTIF($A$2:A1838,A1838)=1,1,0)</f>
        <v>0</v>
      </c>
    </row>
    <row r="1839" spans="1:18" x14ac:dyDescent="0.25">
      <c r="A1839" s="6">
        <v>1316</v>
      </c>
      <c r="B1839" s="7">
        <v>45196</v>
      </c>
      <c r="C1839" t="s">
        <v>32</v>
      </c>
      <c r="D1839" s="6">
        <v>2017</v>
      </c>
      <c r="E1839" s="8">
        <v>15691</v>
      </c>
      <c r="F1839" s="8">
        <v>22000</v>
      </c>
      <c r="G1839" s="8">
        <f t="shared" si="112"/>
        <v>6309</v>
      </c>
      <c r="H1839" s="6">
        <v>40000</v>
      </c>
      <c r="I1839" t="s">
        <v>69</v>
      </c>
      <c r="J1839" t="s">
        <v>72</v>
      </c>
      <c r="K1839" t="s">
        <v>36</v>
      </c>
      <c r="L1839" t="s">
        <v>54</v>
      </c>
      <c r="M1839" t="s">
        <v>90</v>
      </c>
      <c r="N1839" s="6">
        <v>1</v>
      </c>
      <c r="O1839" t="str">
        <f t="shared" si="113"/>
        <v>Normal</v>
      </c>
      <c r="P1839" t="str">
        <f t="shared" si="114"/>
        <v>Duplicate ID</v>
      </c>
      <c r="Q1839" t="str">
        <f t="shared" si="115"/>
        <v>15,000-19,999</v>
      </c>
      <c r="R1839" s="6">
        <f>IF(COUNTIF($A$2:A1839,A1839)=1,1,0)</f>
        <v>0</v>
      </c>
    </row>
    <row r="1840" spans="1:18" x14ac:dyDescent="0.25">
      <c r="A1840" s="6">
        <v>1018</v>
      </c>
      <c r="B1840" s="7">
        <v>45328</v>
      </c>
      <c r="C1840" t="s">
        <v>32</v>
      </c>
      <c r="D1840" s="6">
        <v>2022</v>
      </c>
      <c r="E1840" s="8">
        <v>18137</v>
      </c>
      <c r="F1840" s="8">
        <v>22000</v>
      </c>
      <c r="G1840" s="8">
        <f t="shared" si="112"/>
        <v>3863</v>
      </c>
      <c r="H1840" s="6">
        <v>40000</v>
      </c>
      <c r="I1840" t="s">
        <v>69</v>
      </c>
      <c r="J1840" t="s">
        <v>72</v>
      </c>
      <c r="K1840" t="s">
        <v>1647</v>
      </c>
      <c r="L1840" t="s">
        <v>54</v>
      </c>
      <c r="M1840" t="s">
        <v>98</v>
      </c>
      <c r="N1840" s="6">
        <v>2</v>
      </c>
      <c r="O1840" t="str">
        <f t="shared" si="113"/>
        <v>Normal</v>
      </c>
      <c r="P1840" t="str">
        <f t="shared" si="114"/>
        <v>Duplicate ID</v>
      </c>
      <c r="Q1840" t="str">
        <f t="shared" si="115"/>
        <v>15,000-19,999</v>
      </c>
      <c r="R1840" s="6">
        <f>IF(COUNTIF($A$2:A1840,A1840)=1,1,0)</f>
        <v>0</v>
      </c>
    </row>
    <row r="1841" spans="1:18" x14ac:dyDescent="0.25">
      <c r="A1841" s="6">
        <v>1543</v>
      </c>
      <c r="B1841" s="7">
        <v>44515</v>
      </c>
      <c r="C1841" t="s">
        <v>32</v>
      </c>
      <c r="D1841" s="6">
        <v>2018</v>
      </c>
      <c r="E1841" s="8">
        <v>24638</v>
      </c>
      <c r="F1841" s="8">
        <v>26000</v>
      </c>
      <c r="G1841" s="8">
        <f t="shared" si="112"/>
        <v>1362</v>
      </c>
      <c r="H1841" s="6">
        <v>60000</v>
      </c>
      <c r="I1841" t="s">
        <v>58</v>
      </c>
      <c r="J1841" t="s">
        <v>72</v>
      </c>
      <c r="K1841" t="s">
        <v>36</v>
      </c>
      <c r="L1841" t="s">
        <v>100</v>
      </c>
      <c r="M1841" t="s">
        <v>90</v>
      </c>
      <c r="N1841" s="6">
        <v>2</v>
      </c>
      <c r="O1841" t="str">
        <f t="shared" si="113"/>
        <v>Normal</v>
      </c>
      <c r="P1841" t="str">
        <f t="shared" si="114"/>
        <v>Duplicate ID</v>
      </c>
      <c r="Q1841" t="str">
        <f t="shared" si="115"/>
        <v>20,000-24,999</v>
      </c>
      <c r="R1841" s="6">
        <f>IF(COUNTIF($A$2:A1841,A1841)=1,1,0)</f>
        <v>0</v>
      </c>
    </row>
    <row r="1842" spans="1:18" x14ac:dyDescent="0.25">
      <c r="A1842" s="6">
        <v>1257</v>
      </c>
      <c r="B1842" s="7">
        <v>44405</v>
      </c>
      <c r="C1842" t="s">
        <v>1648</v>
      </c>
      <c r="D1842" s="6">
        <v>2014</v>
      </c>
      <c r="E1842" s="8">
        <v>13191</v>
      </c>
      <c r="F1842" s="8">
        <v>18000</v>
      </c>
      <c r="G1842" s="8">
        <f t="shared" si="112"/>
        <v>4809</v>
      </c>
      <c r="H1842" s="6">
        <v>15000</v>
      </c>
      <c r="I1842" t="s">
        <v>41</v>
      </c>
      <c r="J1842" t="s">
        <v>72</v>
      </c>
      <c r="K1842" t="s">
        <v>96</v>
      </c>
      <c r="L1842" t="s">
        <v>48</v>
      </c>
      <c r="M1842" t="s">
        <v>90</v>
      </c>
      <c r="N1842" s="6">
        <v>2</v>
      </c>
      <c r="O1842" t="str">
        <f t="shared" si="113"/>
        <v>Normal</v>
      </c>
      <c r="P1842" t="str">
        <f t="shared" si="114"/>
        <v>Duplicate ID</v>
      </c>
      <c r="Q1842" t="str">
        <f t="shared" si="115"/>
        <v>10,000-14,999</v>
      </c>
      <c r="R1842" s="6">
        <f>IF(COUNTIF($A$2:A1842,A1842)=1,1,0)</f>
        <v>0</v>
      </c>
    </row>
    <row r="1843" spans="1:18" x14ac:dyDescent="0.25">
      <c r="A1843" s="6">
        <v>1348</v>
      </c>
      <c r="B1843" s="7">
        <v>45368</v>
      </c>
      <c r="C1843" t="s">
        <v>32</v>
      </c>
      <c r="D1843" s="6">
        <v>2022</v>
      </c>
      <c r="E1843" s="8">
        <v>18384</v>
      </c>
      <c r="F1843" s="8">
        <v>22000</v>
      </c>
      <c r="G1843" s="8">
        <f t="shared" si="112"/>
        <v>3616</v>
      </c>
      <c r="H1843" s="6">
        <v>120000</v>
      </c>
      <c r="I1843" t="s">
        <v>69</v>
      </c>
      <c r="J1843" t="s">
        <v>72</v>
      </c>
      <c r="K1843" t="s">
        <v>96</v>
      </c>
      <c r="L1843" t="s">
        <v>73</v>
      </c>
      <c r="M1843" t="s">
        <v>126</v>
      </c>
      <c r="N1843" s="6">
        <v>3</v>
      </c>
      <c r="O1843" t="str">
        <f t="shared" si="113"/>
        <v>Normal</v>
      </c>
      <c r="P1843" t="str">
        <f t="shared" si="114"/>
        <v>Duplicate ID</v>
      </c>
      <c r="Q1843" t="str">
        <f t="shared" si="115"/>
        <v>15,000-19,999</v>
      </c>
      <c r="R1843" s="6">
        <f>IF(COUNTIF($A$2:A1843,A1843)=1,1,0)</f>
        <v>0</v>
      </c>
    </row>
    <row r="1844" spans="1:18" x14ac:dyDescent="0.25">
      <c r="A1844" s="6">
        <v>1471</v>
      </c>
      <c r="B1844" s="7">
        <v>44356</v>
      </c>
      <c r="C1844" t="s">
        <v>40</v>
      </c>
      <c r="D1844" s="6">
        <v>2017</v>
      </c>
      <c r="E1844" s="8">
        <v>24842</v>
      </c>
      <c r="F1844" s="8">
        <v>26000</v>
      </c>
      <c r="G1844" s="8">
        <f t="shared" si="112"/>
        <v>1158</v>
      </c>
      <c r="H1844" s="6">
        <v>15000</v>
      </c>
      <c r="I1844" t="s">
        <v>41</v>
      </c>
      <c r="J1844" t="s">
        <v>35</v>
      </c>
      <c r="K1844" t="s">
        <v>96</v>
      </c>
      <c r="L1844" t="s">
        <v>73</v>
      </c>
      <c r="M1844" t="s">
        <v>98</v>
      </c>
      <c r="N1844" s="6">
        <v>3</v>
      </c>
      <c r="O1844" t="str">
        <f t="shared" si="113"/>
        <v>Normal</v>
      </c>
      <c r="P1844" t="str">
        <f t="shared" si="114"/>
        <v>Duplicate ID</v>
      </c>
      <c r="Q1844" t="str">
        <f t="shared" si="115"/>
        <v>20,000-24,999</v>
      </c>
      <c r="R1844" s="6">
        <f>IF(COUNTIF($A$2:A1844,A1844)=1,1,0)</f>
        <v>0</v>
      </c>
    </row>
    <row r="1845" spans="1:18" x14ac:dyDescent="0.25">
      <c r="A1845" s="6">
        <v>1182</v>
      </c>
      <c r="B1845" s="7">
        <v>45082</v>
      </c>
      <c r="C1845" t="s">
        <v>119</v>
      </c>
      <c r="D1845" s="6"/>
      <c r="E1845" s="8">
        <v>1552</v>
      </c>
      <c r="F1845" s="8">
        <v>7000</v>
      </c>
      <c r="G1845" s="8">
        <f t="shared" si="112"/>
        <v>5448</v>
      </c>
      <c r="H1845" s="6">
        <v>60000</v>
      </c>
      <c r="I1845" t="s">
        <v>34</v>
      </c>
      <c r="J1845" t="s">
        <v>35</v>
      </c>
      <c r="K1845" t="s">
        <v>36</v>
      </c>
      <c r="L1845" t="s">
        <v>54</v>
      </c>
      <c r="M1845" t="s">
        <v>90</v>
      </c>
      <c r="N1845" s="6" t="s">
        <v>1647</v>
      </c>
      <c r="O1845" t="str">
        <f t="shared" si="113"/>
        <v>Normal</v>
      </c>
      <c r="P1845" t="str">
        <f t="shared" si="114"/>
        <v>Duplicate ID</v>
      </c>
      <c r="Q1845" t="str">
        <f t="shared" si="115"/>
        <v>0-4,999</v>
      </c>
      <c r="R1845" s="6">
        <f>IF(COUNTIF($A$2:A1845,A1845)=1,1,0)</f>
        <v>0</v>
      </c>
    </row>
    <row r="1846" spans="1:18" x14ac:dyDescent="0.25">
      <c r="A1846" s="6">
        <v>1202</v>
      </c>
      <c r="B1846" s="7">
        <v>44919</v>
      </c>
      <c r="C1846" t="s">
        <v>1648</v>
      </c>
      <c r="D1846" s="6">
        <v>2021</v>
      </c>
      <c r="E1846" s="8">
        <v>22953</v>
      </c>
      <c r="F1846" s="8">
        <v>26000</v>
      </c>
      <c r="G1846" s="8">
        <f t="shared" si="112"/>
        <v>3047</v>
      </c>
      <c r="H1846" s="6">
        <v>120000</v>
      </c>
      <c r="I1846" t="s">
        <v>69</v>
      </c>
      <c r="J1846" t="s">
        <v>1647</v>
      </c>
      <c r="K1846" t="s">
        <v>1647</v>
      </c>
      <c r="L1846" t="s">
        <v>48</v>
      </c>
      <c r="M1846" t="s">
        <v>126</v>
      </c>
      <c r="N1846" s="6">
        <v>3</v>
      </c>
      <c r="O1846" t="str">
        <f t="shared" si="113"/>
        <v>Normal</v>
      </c>
      <c r="P1846" t="str">
        <f t="shared" si="114"/>
        <v>Duplicate ID</v>
      </c>
      <c r="Q1846" t="str">
        <f t="shared" si="115"/>
        <v>20,000-24,999</v>
      </c>
      <c r="R1846" s="6">
        <f>IF(COUNTIF($A$2:A1846,A1846)=1,1,0)</f>
        <v>0</v>
      </c>
    </row>
    <row r="1847" spans="1:18" x14ac:dyDescent="0.25">
      <c r="A1847" s="6">
        <v>1219</v>
      </c>
      <c r="B1847" s="7">
        <v>45299</v>
      </c>
      <c r="C1847" t="s">
        <v>40</v>
      </c>
      <c r="D1847" s="6">
        <v>2021</v>
      </c>
      <c r="E1847" s="8">
        <v>6626</v>
      </c>
      <c r="F1847" s="8">
        <v>12000</v>
      </c>
      <c r="G1847" s="8">
        <f t="shared" si="112"/>
        <v>5374</v>
      </c>
      <c r="H1847" s="6">
        <v>25000</v>
      </c>
      <c r="I1847" t="s">
        <v>69</v>
      </c>
      <c r="J1847" t="s">
        <v>35</v>
      </c>
      <c r="K1847" t="s">
        <v>36</v>
      </c>
      <c r="L1847" t="s">
        <v>73</v>
      </c>
      <c r="M1847" t="s">
        <v>126</v>
      </c>
      <c r="N1847" s="6">
        <v>2</v>
      </c>
      <c r="O1847" t="str">
        <f t="shared" si="113"/>
        <v>Normal</v>
      </c>
      <c r="P1847" t="str">
        <f t="shared" si="114"/>
        <v>Duplicate ID</v>
      </c>
      <c r="Q1847" t="str">
        <f t="shared" si="115"/>
        <v>5,000-9,999</v>
      </c>
      <c r="R1847" s="6">
        <f>IF(COUNTIF($A$2:A1847,A1847)=1,1,0)</f>
        <v>0</v>
      </c>
    </row>
    <row r="1848" spans="1:18" x14ac:dyDescent="0.25">
      <c r="A1848" s="6">
        <v>1317</v>
      </c>
      <c r="B1848" s="7">
        <v>45205</v>
      </c>
      <c r="C1848" t="s">
        <v>57</v>
      </c>
      <c r="D1848" s="6">
        <v>2014</v>
      </c>
      <c r="E1848" s="8">
        <v>28649</v>
      </c>
      <c r="F1848" s="8">
        <v>31000</v>
      </c>
      <c r="G1848" s="8">
        <f t="shared" si="112"/>
        <v>2351</v>
      </c>
      <c r="H1848" s="6">
        <v>40000</v>
      </c>
      <c r="I1848" t="s">
        <v>58</v>
      </c>
      <c r="J1848" t="s">
        <v>72</v>
      </c>
      <c r="K1848" t="s">
        <v>96</v>
      </c>
      <c r="L1848" t="s">
        <v>48</v>
      </c>
      <c r="M1848" t="s">
        <v>98</v>
      </c>
      <c r="N1848" s="6">
        <v>0</v>
      </c>
      <c r="O1848" t="str">
        <f t="shared" si="113"/>
        <v>Normal</v>
      </c>
      <c r="P1848" t="str">
        <f t="shared" si="114"/>
        <v>Duplicate ID</v>
      </c>
      <c r="Q1848" t="str">
        <f t="shared" si="115"/>
        <v>25,000-30,000</v>
      </c>
      <c r="R1848" s="6">
        <f>IF(COUNTIF($A$2:A1848,A1848)=1,1,0)</f>
        <v>0</v>
      </c>
    </row>
    <row r="1849" spans="1:18" x14ac:dyDescent="0.25">
      <c r="A1849" s="6">
        <v>1052</v>
      </c>
      <c r="B1849" s="7">
        <v>44219</v>
      </c>
      <c r="C1849" t="s">
        <v>119</v>
      </c>
      <c r="D1849" s="6">
        <v>2022</v>
      </c>
      <c r="E1849" s="8">
        <v>237</v>
      </c>
      <c r="F1849" s="8">
        <v>7000</v>
      </c>
      <c r="G1849" s="8">
        <f t="shared" si="112"/>
        <v>6763</v>
      </c>
      <c r="H1849" s="6">
        <v>25000</v>
      </c>
      <c r="I1849" t="s">
        <v>69</v>
      </c>
      <c r="J1849" t="s">
        <v>72</v>
      </c>
      <c r="K1849" t="s">
        <v>96</v>
      </c>
      <c r="L1849" t="s">
        <v>1647</v>
      </c>
      <c r="M1849" t="s">
        <v>90</v>
      </c>
      <c r="N1849" s="6">
        <v>3</v>
      </c>
      <c r="O1849" t="str">
        <f t="shared" si="113"/>
        <v>Outlier</v>
      </c>
      <c r="P1849" t="str">
        <f t="shared" si="114"/>
        <v>Duplicate ID</v>
      </c>
      <c r="Q1849" t="str">
        <f t="shared" si="115"/>
        <v>0-4,999</v>
      </c>
      <c r="R1849" s="6">
        <f>IF(COUNTIF($A$2:A1849,A1849)=1,1,0)</f>
        <v>0</v>
      </c>
    </row>
    <row r="1850" spans="1:18" x14ac:dyDescent="0.25">
      <c r="A1850" s="6">
        <v>1242</v>
      </c>
      <c r="B1850" s="7">
        <v>45047</v>
      </c>
      <c r="C1850" t="s">
        <v>40</v>
      </c>
      <c r="D1850" s="6">
        <v>2022</v>
      </c>
      <c r="E1850" s="8">
        <v>9514</v>
      </c>
      <c r="F1850" s="8">
        <v>12000</v>
      </c>
      <c r="G1850" s="8">
        <f t="shared" si="112"/>
        <v>2486</v>
      </c>
      <c r="H1850" s="6">
        <v>40000</v>
      </c>
      <c r="I1850" t="s">
        <v>69</v>
      </c>
      <c r="J1850" t="s">
        <v>35</v>
      </c>
      <c r="K1850" t="s">
        <v>36</v>
      </c>
      <c r="L1850" t="s">
        <v>1647</v>
      </c>
      <c r="M1850" t="s">
        <v>1647</v>
      </c>
      <c r="N1850" s="6">
        <v>3</v>
      </c>
      <c r="O1850" t="str">
        <f t="shared" si="113"/>
        <v>Normal</v>
      </c>
      <c r="P1850" t="str">
        <f t="shared" si="114"/>
        <v>Duplicate ID</v>
      </c>
      <c r="Q1850" t="str">
        <f t="shared" si="115"/>
        <v>5,000-9,999</v>
      </c>
      <c r="R1850" s="6">
        <f>IF(COUNTIF($A$2:A1850,A1850)=1,1,0)</f>
        <v>0</v>
      </c>
    </row>
    <row r="1851" spans="1:18" x14ac:dyDescent="0.25">
      <c r="A1851" s="6">
        <v>1200</v>
      </c>
      <c r="B1851" s="7">
        <v>44460</v>
      </c>
      <c r="C1851" t="s">
        <v>1648</v>
      </c>
      <c r="D1851" s="6"/>
      <c r="E1851" s="8">
        <v>6966</v>
      </c>
      <c r="F1851" s="8">
        <v>9000</v>
      </c>
      <c r="G1851" s="8">
        <f t="shared" si="112"/>
        <v>2034</v>
      </c>
      <c r="H1851" s="6">
        <v>15000</v>
      </c>
      <c r="I1851" t="s">
        <v>58</v>
      </c>
      <c r="J1851" t="s">
        <v>72</v>
      </c>
      <c r="K1851" t="s">
        <v>36</v>
      </c>
      <c r="L1851" t="s">
        <v>48</v>
      </c>
      <c r="M1851" t="s">
        <v>126</v>
      </c>
      <c r="N1851" s="6">
        <v>0</v>
      </c>
      <c r="O1851" t="str">
        <f t="shared" si="113"/>
        <v>Normal</v>
      </c>
      <c r="P1851" t="str">
        <f t="shared" si="114"/>
        <v>Duplicate ID</v>
      </c>
      <c r="Q1851" t="str">
        <f t="shared" si="115"/>
        <v>5,000-9,999</v>
      </c>
      <c r="R1851" s="6">
        <f>IF(COUNTIF($A$2:A1851,A1851)=1,1,0)</f>
        <v>0</v>
      </c>
    </row>
    <row r="1852" spans="1:18" x14ac:dyDescent="0.25">
      <c r="A1852" s="6">
        <v>1403</v>
      </c>
      <c r="B1852" s="7">
        <v>44823</v>
      </c>
      <c r="C1852" t="s">
        <v>1648</v>
      </c>
      <c r="D1852" s="6">
        <v>2018</v>
      </c>
      <c r="E1852" s="8">
        <v>5932</v>
      </c>
      <c r="F1852" s="8">
        <v>12000</v>
      </c>
      <c r="G1852" s="8">
        <f t="shared" si="112"/>
        <v>6068</v>
      </c>
      <c r="H1852" s="6">
        <v>40000</v>
      </c>
      <c r="I1852" t="s">
        <v>69</v>
      </c>
      <c r="J1852" t="s">
        <v>72</v>
      </c>
      <c r="K1852" t="s">
        <v>96</v>
      </c>
      <c r="L1852" t="s">
        <v>54</v>
      </c>
      <c r="M1852" t="s">
        <v>90</v>
      </c>
      <c r="N1852" s="6">
        <v>1</v>
      </c>
      <c r="O1852" t="str">
        <f t="shared" si="113"/>
        <v>Normal</v>
      </c>
      <c r="P1852" t="str">
        <f t="shared" si="114"/>
        <v>Duplicate ID</v>
      </c>
      <c r="Q1852" t="str">
        <f t="shared" si="115"/>
        <v>5,000-9,999</v>
      </c>
      <c r="R1852" s="6">
        <f>IF(COUNTIF($A$2:A1852,A1852)=1,1,0)</f>
        <v>0</v>
      </c>
    </row>
    <row r="1853" spans="1:18" x14ac:dyDescent="0.25">
      <c r="A1853" s="6">
        <v>1112</v>
      </c>
      <c r="B1853" s="7">
        <v>44353</v>
      </c>
      <c r="C1853" t="s">
        <v>79</v>
      </c>
      <c r="D1853" s="6">
        <v>2018</v>
      </c>
      <c r="E1853" s="8">
        <v>18654</v>
      </c>
      <c r="F1853" s="8">
        <v>22000</v>
      </c>
      <c r="G1853" s="8">
        <f t="shared" si="112"/>
        <v>3346</v>
      </c>
      <c r="H1853" s="6">
        <v>40000</v>
      </c>
      <c r="I1853" t="s">
        <v>69</v>
      </c>
      <c r="J1853" t="s">
        <v>35</v>
      </c>
      <c r="K1853" t="s">
        <v>36</v>
      </c>
      <c r="L1853" t="s">
        <v>48</v>
      </c>
      <c r="M1853" t="s">
        <v>98</v>
      </c>
      <c r="N1853" s="6">
        <v>1</v>
      </c>
      <c r="O1853" t="str">
        <f t="shared" si="113"/>
        <v>Normal</v>
      </c>
      <c r="P1853" t="str">
        <f t="shared" si="114"/>
        <v>Duplicate ID</v>
      </c>
      <c r="Q1853" t="str">
        <f t="shared" si="115"/>
        <v>15,000-19,999</v>
      </c>
      <c r="R1853" s="6">
        <f>IF(COUNTIF($A$2:A1853,A1853)=1,1,0)</f>
        <v>0</v>
      </c>
    </row>
    <row r="1854" spans="1:18" x14ac:dyDescent="0.25">
      <c r="A1854" s="6">
        <v>1565</v>
      </c>
      <c r="B1854" s="7">
        <v>44619</v>
      </c>
      <c r="C1854" t="s">
        <v>40</v>
      </c>
      <c r="D1854" s="6">
        <v>2018</v>
      </c>
      <c r="E1854" s="8">
        <v>20526</v>
      </c>
      <c r="F1854" s="8">
        <v>22000</v>
      </c>
      <c r="G1854" s="8">
        <f t="shared" si="112"/>
        <v>1474</v>
      </c>
      <c r="H1854" s="6">
        <v>25000</v>
      </c>
      <c r="I1854" t="s">
        <v>58</v>
      </c>
      <c r="J1854" t="s">
        <v>72</v>
      </c>
      <c r="K1854" t="s">
        <v>96</v>
      </c>
      <c r="L1854" t="s">
        <v>1647</v>
      </c>
      <c r="M1854" t="s">
        <v>45</v>
      </c>
      <c r="N1854" s="6">
        <v>0</v>
      </c>
      <c r="O1854" t="str">
        <f t="shared" si="113"/>
        <v>Normal</v>
      </c>
      <c r="P1854" t="str">
        <f t="shared" si="114"/>
        <v>Duplicate ID</v>
      </c>
      <c r="Q1854" t="str">
        <f t="shared" si="115"/>
        <v>20,000-24,999</v>
      </c>
      <c r="R1854" s="6">
        <f>IF(COUNTIF($A$2:A1854,A1854)=1,1,0)</f>
        <v>0</v>
      </c>
    </row>
    <row r="1855" spans="1:18" x14ac:dyDescent="0.25">
      <c r="A1855" s="6">
        <v>1169</v>
      </c>
      <c r="B1855" s="7">
        <v>44472</v>
      </c>
      <c r="C1855" t="s">
        <v>119</v>
      </c>
      <c r="D1855" s="6">
        <v>2021</v>
      </c>
      <c r="E1855" s="8">
        <v>4871</v>
      </c>
      <c r="F1855" s="8">
        <v>9000</v>
      </c>
      <c r="G1855" s="8">
        <f t="shared" si="112"/>
        <v>4129</v>
      </c>
      <c r="H1855" s="6">
        <v>40000</v>
      </c>
      <c r="I1855" t="s">
        <v>58</v>
      </c>
      <c r="J1855" t="s">
        <v>35</v>
      </c>
      <c r="K1855" t="s">
        <v>36</v>
      </c>
      <c r="L1855" t="s">
        <v>54</v>
      </c>
      <c r="M1855" t="s">
        <v>45</v>
      </c>
      <c r="N1855" s="6">
        <v>0</v>
      </c>
      <c r="O1855" t="str">
        <f t="shared" si="113"/>
        <v>Normal</v>
      </c>
      <c r="P1855" t="str">
        <f t="shared" si="114"/>
        <v>Duplicate ID</v>
      </c>
      <c r="Q1855" t="str">
        <f t="shared" si="115"/>
        <v>0-4,999</v>
      </c>
      <c r="R1855" s="6">
        <f>IF(COUNTIF($A$2:A1855,A1855)=1,1,0)</f>
        <v>0</v>
      </c>
    </row>
    <row r="1856" spans="1:18" x14ac:dyDescent="0.25">
      <c r="A1856" s="6">
        <v>1212</v>
      </c>
      <c r="B1856" s="7">
        <v>45306</v>
      </c>
      <c r="C1856" t="s">
        <v>32</v>
      </c>
      <c r="D1856" s="6">
        <v>2015</v>
      </c>
      <c r="E1856" s="8">
        <v>9616</v>
      </c>
      <c r="F1856" s="8">
        <v>12000</v>
      </c>
      <c r="G1856" s="8">
        <f t="shared" si="112"/>
        <v>2384</v>
      </c>
      <c r="H1856" s="6">
        <v>60000</v>
      </c>
      <c r="I1856" t="s">
        <v>1647</v>
      </c>
      <c r="J1856" t="s">
        <v>72</v>
      </c>
      <c r="K1856" t="s">
        <v>96</v>
      </c>
      <c r="L1856" t="s">
        <v>48</v>
      </c>
      <c r="M1856" t="s">
        <v>98</v>
      </c>
      <c r="N1856" s="6">
        <v>0</v>
      </c>
      <c r="O1856" t="str">
        <f t="shared" si="113"/>
        <v>Normal</v>
      </c>
      <c r="P1856" t="str">
        <f t="shared" si="114"/>
        <v>Duplicate ID</v>
      </c>
      <c r="Q1856" t="str">
        <f t="shared" si="115"/>
        <v>5,000-9,999</v>
      </c>
      <c r="R1856" s="6">
        <f>IF(COUNTIF($A$2:A1856,A1856)=1,1,0)</f>
        <v>0</v>
      </c>
    </row>
    <row r="1857" spans="1:18" x14ac:dyDescent="0.25">
      <c r="A1857" s="6">
        <v>1242</v>
      </c>
      <c r="B1857" s="7">
        <v>45310</v>
      </c>
      <c r="C1857" t="s">
        <v>40</v>
      </c>
      <c r="D1857" s="6">
        <v>2020</v>
      </c>
      <c r="E1857" s="8">
        <v>29112</v>
      </c>
      <c r="F1857" s="8">
        <v>31000</v>
      </c>
      <c r="G1857" s="8">
        <f t="shared" si="112"/>
        <v>1888</v>
      </c>
      <c r="H1857" s="6">
        <v>60000</v>
      </c>
      <c r="I1857" t="s">
        <v>69</v>
      </c>
      <c r="J1857" t="s">
        <v>35</v>
      </c>
      <c r="K1857" t="s">
        <v>96</v>
      </c>
      <c r="L1857" t="s">
        <v>48</v>
      </c>
      <c r="M1857" t="s">
        <v>98</v>
      </c>
      <c r="N1857" s="6">
        <v>0</v>
      </c>
      <c r="O1857" t="str">
        <f t="shared" si="113"/>
        <v>Normal</v>
      </c>
      <c r="P1857" t="str">
        <f t="shared" si="114"/>
        <v>Duplicate ID</v>
      </c>
      <c r="Q1857" t="str">
        <f t="shared" si="115"/>
        <v>25,000-30,000</v>
      </c>
      <c r="R1857" s="6">
        <f>IF(COUNTIF($A$2:A1857,A1857)=1,1,0)</f>
        <v>0</v>
      </c>
    </row>
    <row r="1858" spans="1:18" x14ac:dyDescent="0.25">
      <c r="A1858" s="6">
        <v>1288</v>
      </c>
      <c r="B1858" s="7">
        <v>44282</v>
      </c>
      <c r="C1858" t="s">
        <v>1648</v>
      </c>
      <c r="D1858" s="6">
        <v>2016</v>
      </c>
      <c r="E1858" s="8">
        <v>6794</v>
      </c>
      <c r="F1858" s="8">
        <v>9000</v>
      </c>
      <c r="G1858" s="8">
        <f t="shared" ref="G1858:G1921" si="116">IF(OR(F1858="",E1858=""),"",F1858-E1858)</f>
        <v>2206</v>
      </c>
      <c r="H1858" s="6">
        <v>60000</v>
      </c>
      <c r="I1858" t="s">
        <v>41</v>
      </c>
      <c r="J1858" t="s">
        <v>72</v>
      </c>
      <c r="K1858" t="s">
        <v>36</v>
      </c>
      <c r="L1858" t="s">
        <v>1647</v>
      </c>
      <c r="M1858" t="s">
        <v>98</v>
      </c>
      <c r="N1858" s="6" t="s">
        <v>1647</v>
      </c>
      <c r="O1858" t="str">
        <f t="shared" ref="O1858:O1921" si="117">IF(E1858&lt;1000,"Outlier","Normal")</f>
        <v>Normal</v>
      </c>
      <c r="P1858" t="str">
        <f t="shared" ref="P1858:P1921" si="118">IF(COUNTIF($A$2:$A$2501,A1858)&gt;1,"Duplicate ID","Unique ID")</f>
        <v>Duplicate ID</v>
      </c>
      <c r="Q1858" t="str">
        <f t="shared" ref="Q1858:Q1921" si="119">IF(E1858&lt;5000,"0-4,999",IF(E1858&lt;10000,"5,000-9,999",IF(E1858&lt;15000,"10,000-14,999",IF(E1858&lt;20000,"15,000-19,999",IF(E1858&lt;25000,"20,000-24,999","25,000-30,000")))))</f>
        <v>5,000-9,999</v>
      </c>
      <c r="R1858" s="6">
        <f>IF(COUNTIF($A$2:A1858,A1858)=1,1,0)</f>
        <v>0</v>
      </c>
    </row>
    <row r="1859" spans="1:18" x14ac:dyDescent="0.25">
      <c r="A1859" s="6">
        <v>1304</v>
      </c>
      <c r="B1859" s="7">
        <v>44989</v>
      </c>
      <c r="C1859" t="s">
        <v>119</v>
      </c>
      <c r="D1859" s="6">
        <v>2014</v>
      </c>
      <c r="E1859" s="8">
        <v>12675</v>
      </c>
      <c r="F1859" s="8">
        <v>15000</v>
      </c>
      <c r="G1859" s="8">
        <f t="shared" si="116"/>
        <v>2325</v>
      </c>
      <c r="H1859" s="6">
        <v>120000</v>
      </c>
      <c r="I1859" t="s">
        <v>34</v>
      </c>
      <c r="J1859" t="s">
        <v>72</v>
      </c>
      <c r="K1859" t="s">
        <v>96</v>
      </c>
      <c r="L1859" t="s">
        <v>73</v>
      </c>
      <c r="M1859" t="s">
        <v>126</v>
      </c>
      <c r="N1859" s="6">
        <v>3</v>
      </c>
      <c r="O1859" t="str">
        <f t="shared" si="117"/>
        <v>Normal</v>
      </c>
      <c r="P1859" t="str">
        <f t="shared" si="118"/>
        <v>Duplicate ID</v>
      </c>
      <c r="Q1859" t="str">
        <f t="shared" si="119"/>
        <v>10,000-14,999</v>
      </c>
      <c r="R1859" s="6">
        <f>IF(COUNTIF($A$2:A1859,A1859)=1,1,0)</f>
        <v>0</v>
      </c>
    </row>
    <row r="1860" spans="1:18" x14ac:dyDescent="0.25">
      <c r="A1860" s="6">
        <v>1396</v>
      </c>
      <c r="B1860" s="7">
        <v>44238</v>
      </c>
      <c r="C1860" t="s">
        <v>40</v>
      </c>
      <c r="D1860" s="6">
        <v>2019</v>
      </c>
      <c r="E1860" s="8">
        <v>8416</v>
      </c>
      <c r="F1860" s="8">
        <v>15000</v>
      </c>
      <c r="G1860" s="8">
        <f t="shared" si="116"/>
        <v>6584</v>
      </c>
      <c r="H1860" s="6">
        <v>80000</v>
      </c>
      <c r="I1860" t="s">
        <v>41</v>
      </c>
      <c r="J1860" t="s">
        <v>1647</v>
      </c>
      <c r="K1860" t="s">
        <v>96</v>
      </c>
      <c r="L1860" t="s">
        <v>73</v>
      </c>
      <c r="M1860" t="s">
        <v>90</v>
      </c>
      <c r="N1860" s="6">
        <v>2</v>
      </c>
      <c r="O1860" t="str">
        <f t="shared" si="117"/>
        <v>Normal</v>
      </c>
      <c r="P1860" t="str">
        <f t="shared" si="118"/>
        <v>Duplicate ID</v>
      </c>
      <c r="Q1860" t="str">
        <f t="shared" si="119"/>
        <v>5,000-9,999</v>
      </c>
      <c r="R1860" s="6">
        <f>IF(COUNTIF($A$2:A1860,A1860)=1,1,0)</f>
        <v>0</v>
      </c>
    </row>
    <row r="1861" spans="1:18" x14ac:dyDescent="0.25">
      <c r="A1861" s="6">
        <v>1054</v>
      </c>
      <c r="B1861" s="7">
        <v>45119</v>
      </c>
      <c r="C1861" t="s">
        <v>32</v>
      </c>
      <c r="D1861" s="6">
        <v>2019</v>
      </c>
      <c r="E1861" s="8">
        <v>3117</v>
      </c>
      <c r="F1861" s="8">
        <v>9000</v>
      </c>
      <c r="G1861" s="8">
        <f t="shared" si="116"/>
        <v>5883</v>
      </c>
      <c r="H1861" s="6">
        <v>120000</v>
      </c>
      <c r="I1861" t="s">
        <v>41</v>
      </c>
      <c r="J1861" t="s">
        <v>35</v>
      </c>
      <c r="K1861" t="s">
        <v>96</v>
      </c>
      <c r="L1861" t="s">
        <v>1647</v>
      </c>
      <c r="M1861" t="s">
        <v>90</v>
      </c>
      <c r="N1861" s="6" t="s">
        <v>1647</v>
      </c>
      <c r="O1861" t="str">
        <f t="shared" si="117"/>
        <v>Normal</v>
      </c>
      <c r="P1861" t="str">
        <f t="shared" si="118"/>
        <v>Duplicate ID</v>
      </c>
      <c r="Q1861" t="str">
        <f t="shared" si="119"/>
        <v>0-4,999</v>
      </c>
      <c r="R1861" s="6">
        <f>IF(COUNTIF($A$2:A1861,A1861)=1,1,0)</f>
        <v>0</v>
      </c>
    </row>
    <row r="1862" spans="1:18" x14ac:dyDescent="0.25">
      <c r="A1862" s="6">
        <v>1120</v>
      </c>
      <c r="B1862" s="7">
        <v>44555</v>
      </c>
      <c r="C1862" t="s">
        <v>79</v>
      </c>
      <c r="D1862" s="6">
        <v>2021</v>
      </c>
      <c r="E1862" s="8">
        <v>3729</v>
      </c>
      <c r="F1862" s="8">
        <v>7000</v>
      </c>
      <c r="G1862" s="8">
        <f t="shared" si="116"/>
        <v>3271</v>
      </c>
      <c r="H1862" s="6">
        <v>60000</v>
      </c>
      <c r="I1862" t="s">
        <v>58</v>
      </c>
      <c r="J1862" t="s">
        <v>72</v>
      </c>
      <c r="K1862" t="s">
        <v>36</v>
      </c>
      <c r="L1862" t="s">
        <v>54</v>
      </c>
      <c r="M1862" t="s">
        <v>90</v>
      </c>
      <c r="N1862" s="6">
        <v>3</v>
      </c>
      <c r="O1862" t="str">
        <f t="shared" si="117"/>
        <v>Normal</v>
      </c>
      <c r="P1862" t="str">
        <f t="shared" si="118"/>
        <v>Duplicate ID</v>
      </c>
      <c r="Q1862" t="str">
        <f t="shared" si="119"/>
        <v>0-4,999</v>
      </c>
      <c r="R1862" s="6">
        <f>IF(COUNTIF($A$2:A1862,A1862)=1,1,0)</f>
        <v>1</v>
      </c>
    </row>
    <row r="1863" spans="1:18" x14ac:dyDescent="0.25">
      <c r="A1863" s="6">
        <v>1025</v>
      </c>
      <c r="B1863" s="7">
        <v>45367</v>
      </c>
      <c r="C1863" t="s">
        <v>40</v>
      </c>
      <c r="D1863" s="6">
        <v>2016</v>
      </c>
      <c r="E1863" s="8">
        <v>7532</v>
      </c>
      <c r="F1863" s="8">
        <v>12000</v>
      </c>
      <c r="G1863" s="8">
        <f t="shared" si="116"/>
        <v>4468</v>
      </c>
      <c r="H1863" s="6">
        <v>15000</v>
      </c>
      <c r="I1863" t="s">
        <v>69</v>
      </c>
      <c r="J1863" t="s">
        <v>1647</v>
      </c>
      <c r="K1863" t="s">
        <v>36</v>
      </c>
      <c r="L1863" t="s">
        <v>100</v>
      </c>
      <c r="M1863" t="s">
        <v>90</v>
      </c>
      <c r="N1863" s="6">
        <v>1</v>
      </c>
      <c r="O1863" t="str">
        <f t="shared" si="117"/>
        <v>Normal</v>
      </c>
      <c r="P1863" t="str">
        <f t="shared" si="118"/>
        <v>Duplicate ID</v>
      </c>
      <c r="Q1863" t="str">
        <f t="shared" si="119"/>
        <v>5,000-9,999</v>
      </c>
      <c r="R1863" s="6">
        <f>IF(COUNTIF($A$2:A1863,A1863)=1,1,0)</f>
        <v>0</v>
      </c>
    </row>
    <row r="1864" spans="1:18" x14ac:dyDescent="0.25">
      <c r="A1864" s="6">
        <v>1084</v>
      </c>
      <c r="B1864" s="7">
        <v>44590</v>
      </c>
      <c r="C1864" t="s">
        <v>79</v>
      </c>
      <c r="D1864" s="6">
        <v>2022</v>
      </c>
      <c r="E1864" s="8">
        <v>11559</v>
      </c>
      <c r="F1864" s="8">
        <v>15000</v>
      </c>
      <c r="G1864" s="8">
        <f t="shared" si="116"/>
        <v>3441</v>
      </c>
      <c r="H1864" s="6">
        <v>80000</v>
      </c>
      <c r="I1864" t="s">
        <v>69</v>
      </c>
      <c r="J1864" t="s">
        <v>35</v>
      </c>
      <c r="K1864" t="s">
        <v>96</v>
      </c>
      <c r="L1864" t="s">
        <v>54</v>
      </c>
      <c r="M1864" t="s">
        <v>45</v>
      </c>
      <c r="N1864" s="6">
        <v>2</v>
      </c>
      <c r="O1864" t="str">
        <f t="shared" si="117"/>
        <v>Normal</v>
      </c>
      <c r="P1864" t="str">
        <f t="shared" si="118"/>
        <v>Duplicate ID</v>
      </c>
      <c r="Q1864" t="str">
        <f t="shared" si="119"/>
        <v>10,000-14,999</v>
      </c>
      <c r="R1864" s="6">
        <f>IF(COUNTIF($A$2:A1864,A1864)=1,1,0)</f>
        <v>0</v>
      </c>
    </row>
    <row r="1865" spans="1:18" x14ac:dyDescent="0.25">
      <c r="A1865" s="6">
        <v>1125</v>
      </c>
      <c r="B1865" s="7">
        <v>44903</v>
      </c>
      <c r="C1865" t="s">
        <v>79</v>
      </c>
      <c r="D1865" s="6"/>
      <c r="E1865" s="8">
        <v>8217</v>
      </c>
      <c r="F1865" s="8">
        <v>15000</v>
      </c>
      <c r="G1865" s="8">
        <f t="shared" si="116"/>
        <v>6783</v>
      </c>
      <c r="H1865" s="6">
        <v>120000</v>
      </c>
      <c r="I1865" t="s">
        <v>41</v>
      </c>
      <c r="J1865" t="s">
        <v>35</v>
      </c>
      <c r="K1865" t="s">
        <v>36</v>
      </c>
      <c r="L1865" t="s">
        <v>1647</v>
      </c>
      <c r="M1865" t="s">
        <v>90</v>
      </c>
      <c r="N1865" s="6">
        <v>1</v>
      </c>
      <c r="O1865" t="str">
        <f t="shared" si="117"/>
        <v>Normal</v>
      </c>
      <c r="P1865" t="str">
        <f t="shared" si="118"/>
        <v>Duplicate ID</v>
      </c>
      <c r="Q1865" t="str">
        <f t="shared" si="119"/>
        <v>5,000-9,999</v>
      </c>
      <c r="R1865" s="6">
        <f>IF(COUNTIF($A$2:A1865,A1865)=1,1,0)</f>
        <v>0</v>
      </c>
    </row>
    <row r="1866" spans="1:18" x14ac:dyDescent="0.25">
      <c r="A1866" s="6">
        <v>1493</v>
      </c>
      <c r="B1866" s="7">
        <v>45390</v>
      </c>
      <c r="C1866" t="s">
        <v>40</v>
      </c>
      <c r="D1866" s="6"/>
      <c r="E1866" s="8">
        <v>16796</v>
      </c>
      <c r="F1866" s="8">
        <v>22000</v>
      </c>
      <c r="G1866" s="8">
        <f t="shared" si="116"/>
        <v>5204</v>
      </c>
      <c r="H1866" s="6">
        <v>40000</v>
      </c>
      <c r="I1866" t="s">
        <v>1647</v>
      </c>
      <c r="J1866" t="s">
        <v>35</v>
      </c>
      <c r="K1866" t="s">
        <v>96</v>
      </c>
      <c r="L1866" t="s">
        <v>48</v>
      </c>
      <c r="M1866" t="s">
        <v>126</v>
      </c>
      <c r="N1866" s="6">
        <v>3</v>
      </c>
      <c r="O1866" t="str">
        <f t="shared" si="117"/>
        <v>Normal</v>
      </c>
      <c r="P1866" t="str">
        <f t="shared" si="118"/>
        <v>Duplicate ID</v>
      </c>
      <c r="Q1866" t="str">
        <f t="shared" si="119"/>
        <v>15,000-19,999</v>
      </c>
      <c r="R1866" s="6">
        <f>IF(COUNTIF($A$2:A1866,A1866)=1,1,0)</f>
        <v>1</v>
      </c>
    </row>
    <row r="1867" spans="1:18" x14ac:dyDescent="0.25">
      <c r="A1867" s="6">
        <v>1462</v>
      </c>
      <c r="B1867" s="7">
        <v>45221</v>
      </c>
      <c r="C1867" t="s">
        <v>40</v>
      </c>
      <c r="D1867" s="6">
        <v>2017</v>
      </c>
      <c r="E1867" s="8">
        <v>2635</v>
      </c>
      <c r="F1867" s="8">
        <v>7000</v>
      </c>
      <c r="G1867" s="8">
        <f t="shared" si="116"/>
        <v>4365</v>
      </c>
      <c r="H1867" s="6">
        <v>40000</v>
      </c>
      <c r="I1867" t="s">
        <v>58</v>
      </c>
      <c r="J1867" t="s">
        <v>72</v>
      </c>
      <c r="K1867" t="s">
        <v>96</v>
      </c>
      <c r="L1867" t="s">
        <v>73</v>
      </c>
      <c r="M1867" t="s">
        <v>45</v>
      </c>
      <c r="N1867" s="6">
        <v>0</v>
      </c>
      <c r="O1867" t="str">
        <f t="shared" si="117"/>
        <v>Normal</v>
      </c>
      <c r="P1867" t="str">
        <f t="shared" si="118"/>
        <v>Duplicate ID</v>
      </c>
      <c r="Q1867" t="str">
        <f t="shared" si="119"/>
        <v>0-4,999</v>
      </c>
      <c r="R1867" s="6">
        <f>IF(COUNTIF($A$2:A1867,A1867)=1,1,0)</f>
        <v>0</v>
      </c>
    </row>
    <row r="1868" spans="1:18" x14ac:dyDescent="0.25">
      <c r="A1868" s="6">
        <v>1328</v>
      </c>
      <c r="B1868" s="7">
        <v>45334</v>
      </c>
      <c r="C1868" t="s">
        <v>79</v>
      </c>
      <c r="D1868" s="6">
        <v>2018</v>
      </c>
      <c r="E1868" s="8">
        <v>8830</v>
      </c>
      <c r="F1868" s="8">
        <v>15000</v>
      </c>
      <c r="G1868" s="8">
        <f t="shared" si="116"/>
        <v>6170</v>
      </c>
      <c r="H1868" s="6">
        <v>120000</v>
      </c>
      <c r="I1868" t="s">
        <v>41</v>
      </c>
      <c r="J1868" t="s">
        <v>1647</v>
      </c>
      <c r="K1868" t="s">
        <v>96</v>
      </c>
      <c r="L1868" t="s">
        <v>48</v>
      </c>
      <c r="M1868" t="s">
        <v>98</v>
      </c>
      <c r="N1868" s="6">
        <v>3</v>
      </c>
      <c r="O1868" t="str">
        <f t="shared" si="117"/>
        <v>Normal</v>
      </c>
      <c r="P1868" t="str">
        <f t="shared" si="118"/>
        <v>Duplicate ID</v>
      </c>
      <c r="Q1868" t="str">
        <f t="shared" si="119"/>
        <v>5,000-9,999</v>
      </c>
      <c r="R1868" s="6">
        <f>IF(COUNTIF($A$2:A1868,A1868)=1,1,0)</f>
        <v>0</v>
      </c>
    </row>
    <row r="1869" spans="1:18" x14ac:dyDescent="0.25">
      <c r="A1869" s="6">
        <v>1317</v>
      </c>
      <c r="B1869" s="7">
        <v>44656</v>
      </c>
      <c r="C1869" t="s">
        <v>1648</v>
      </c>
      <c r="D1869" s="6">
        <v>2014</v>
      </c>
      <c r="E1869" s="8">
        <v>3708</v>
      </c>
      <c r="F1869" s="8">
        <v>7000</v>
      </c>
      <c r="G1869" s="8">
        <f t="shared" si="116"/>
        <v>3292</v>
      </c>
      <c r="H1869" s="6">
        <v>60000</v>
      </c>
      <c r="I1869" t="s">
        <v>1647</v>
      </c>
      <c r="J1869" t="s">
        <v>35</v>
      </c>
      <c r="K1869" t="s">
        <v>36</v>
      </c>
      <c r="L1869" t="s">
        <v>48</v>
      </c>
      <c r="M1869" t="s">
        <v>90</v>
      </c>
      <c r="N1869" s="6">
        <v>0</v>
      </c>
      <c r="O1869" t="str">
        <f t="shared" si="117"/>
        <v>Normal</v>
      </c>
      <c r="P1869" t="str">
        <f t="shared" si="118"/>
        <v>Duplicate ID</v>
      </c>
      <c r="Q1869" t="str">
        <f t="shared" si="119"/>
        <v>0-4,999</v>
      </c>
      <c r="R1869" s="6">
        <f>IF(COUNTIF($A$2:A1869,A1869)=1,1,0)</f>
        <v>0</v>
      </c>
    </row>
    <row r="1870" spans="1:18" x14ac:dyDescent="0.25">
      <c r="A1870" s="6">
        <v>1462</v>
      </c>
      <c r="B1870" s="7">
        <v>45057</v>
      </c>
      <c r="C1870" t="s">
        <v>119</v>
      </c>
      <c r="D1870" s="6">
        <v>2017</v>
      </c>
      <c r="E1870" s="8">
        <v>6248</v>
      </c>
      <c r="F1870" s="8">
        <v>12000</v>
      </c>
      <c r="G1870" s="8">
        <f t="shared" si="116"/>
        <v>5752</v>
      </c>
      <c r="H1870" s="6">
        <v>40000</v>
      </c>
      <c r="I1870" t="s">
        <v>69</v>
      </c>
      <c r="J1870" t="s">
        <v>72</v>
      </c>
      <c r="K1870" t="s">
        <v>36</v>
      </c>
      <c r="L1870" t="s">
        <v>73</v>
      </c>
      <c r="M1870" t="s">
        <v>45</v>
      </c>
      <c r="N1870" s="6" t="s">
        <v>1647</v>
      </c>
      <c r="O1870" t="str">
        <f t="shared" si="117"/>
        <v>Normal</v>
      </c>
      <c r="P1870" t="str">
        <f t="shared" si="118"/>
        <v>Duplicate ID</v>
      </c>
      <c r="Q1870" t="str">
        <f t="shared" si="119"/>
        <v>5,000-9,999</v>
      </c>
      <c r="R1870" s="6">
        <f>IF(COUNTIF($A$2:A1870,A1870)=1,1,0)</f>
        <v>0</v>
      </c>
    </row>
    <row r="1871" spans="1:18" x14ac:dyDescent="0.25">
      <c r="A1871" s="6">
        <v>1222</v>
      </c>
      <c r="B1871" s="7">
        <v>45095</v>
      </c>
      <c r="C1871" t="s">
        <v>119</v>
      </c>
      <c r="D1871" s="6">
        <v>2022</v>
      </c>
      <c r="E1871" s="8">
        <v>3514</v>
      </c>
      <c r="F1871" s="8">
        <v>7000</v>
      </c>
      <c r="G1871" s="8">
        <f t="shared" si="116"/>
        <v>3486</v>
      </c>
      <c r="H1871" s="6">
        <v>80000</v>
      </c>
      <c r="I1871" t="s">
        <v>34</v>
      </c>
      <c r="J1871" t="s">
        <v>35</v>
      </c>
      <c r="K1871" t="s">
        <v>96</v>
      </c>
      <c r="L1871" t="s">
        <v>54</v>
      </c>
      <c r="M1871" t="s">
        <v>90</v>
      </c>
      <c r="N1871" s="6">
        <v>3</v>
      </c>
      <c r="O1871" t="str">
        <f t="shared" si="117"/>
        <v>Normal</v>
      </c>
      <c r="P1871" t="str">
        <f t="shared" si="118"/>
        <v>Duplicate ID</v>
      </c>
      <c r="Q1871" t="str">
        <f t="shared" si="119"/>
        <v>0-4,999</v>
      </c>
      <c r="R1871" s="6">
        <f>IF(COUNTIF($A$2:A1871,A1871)=1,1,0)</f>
        <v>0</v>
      </c>
    </row>
    <row r="1872" spans="1:18" x14ac:dyDescent="0.25">
      <c r="A1872" s="6">
        <v>1488</v>
      </c>
      <c r="B1872" s="7">
        <v>44809</v>
      </c>
      <c r="C1872" t="s">
        <v>40</v>
      </c>
      <c r="D1872" s="6">
        <v>2021</v>
      </c>
      <c r="E1872" s="8">
        <v>15118</v>
      </c>
      <c r="F1872" s="8">
        <v>22000</v>
      </c>
      <c r="G1872" s="8">
        <f t="shared" si="116"/>
        <v>6882</v>
      </c>
      <c r="H1872" s="6">
        <v>80000</v>
      </c>
      <c r="I1872" t="s">
        <v>1647</v>
      </c>
      <c r="J1872" t="s">
        <v>1647</v>
      </c>
      <c r="K1872" t="s">
        <v>96</v>
      </c>
      <c r="L1872" t="s">
        <v>48</v>
      </c>
      <c r="M1872" t="s">
        <v>45</v>
      </c>
      <c r="N1872" s="6">
        <v>3</v>
      </c>
      <c r="O1872" t="str">
        <f t="shared" si="117"/>
        <v>Normal</v>
      </c>
      <c r="P1872" t="str">
        <f t="shared" si="118"/>
        <v>Duplicate ID</v>
      </c>
      <c r="Q1872" t="str">
        <f t="shared" si="119"/>
        <v>15,000-19,999</v>
      </c>
      <c r="R1872" s="6">
        <f>IF(COUNTIF($A$2:A1872,A1872)=1,1,0)</f>
        <v>0</v>
      </c>
    </row>
    <row r="1873" spans="1:18" x14ac:dyDescent="0.25">
      <c r="A1873" s="6">
        <v>1153</v>
      </c>
      <c r="B1873" s="7">
        <v>45141</v>
      </c>
      <c r="C1873" t="s">
        <v>79</v>
      </c>
      <c r="D1873" s="6">
        <v>2018</v>
      </c>
      <c r="E1873" s="8">
        <v>18204</v>
      </c>
      <c r="F1873" s="8">
        <v>22000</v>
      </c>
      <c r="G1873" s="8">
        <f t="shared" si="116"/>
        <v>3796</v>
      </c>
      <c r="H1873" s="6">
        <v>60000</v>
      </c>
      <c r="I1873" t="s">
        <v>34</v>
      </c>
      <c r="J1873" t="s">
        <v>1647</v>
      </c>
      <c r="K1873" t="s">
        <v>36</v>
      </c>
      <c r="L1873" t="s">
        <v>54</v>
      </c>
      <c r="M1873" t="s">
        <v>1647</v>
      </c>
      <c r="N1873" s="6">
        <v>2</v>
      </c>
      <c r="O1873" t="str">
        <f t="shared" si="117"/>
        <v>Normal</v>
      </c>
      <c r="P1873" t="str">
        <f t="shared" si="118"/>
        <v>Unique ID</v>
      </c>
      <c r="Q1873" t="str">
        <f t="shared" si="119"/>
        <v>15,000-19,999</v>
      </c>
      <c r="R1873" s="6">
        <f>IF(COUNTIF($A$2:A1873,A1873)=1,1,0)</f>
        <v>1</v>
      </c>
    </row>
    <row r="1874" spans="1:18" x14ac:dyDescent="0.25">
      <c r="A1874" s="6">
        <v>1519</v>
      </c>
      <c r="B1874" s="7">
        <v>44218</v>
      </c>
      <c r="C1874" t="s">
        <v>119</v>
      </c>
      <c r="D1874" s="6">
        <v>2018</v>
      </c>
      <c r="E1874" s="8">
        <v>1249</v>
      </c>
      <c r="F1874" s="8">
        <v>7000</v>
      </c>
      <c r="G1874" s="8">
        <f t="shared" si="116"/>
        <v>5751</v>
      </c>
      <c r="H1874" s="6">
        <v>25000</v>
      </c>
      <c r="I1874" t="s">
        <v>69</v>
      </c>
      <c r="J1874" t="s">
        <v>72</v>
      </c>
      <c r="K1874" t="s">
        <v>36</v>
      </c>
      <c r="L1874" t="s">
        <v>48</v>
      </c>
      <c r="M1874" t="s">
        <v>98</v>
      </c>
      <c r="N1874" s="6" t="s">
        <v>1647</v>
      </c>
      <c r="O1874" t="str">
        <f t="shared" si="117"/>
        <v>Normal</v>
      </c>
      <c r="P1874" t="str">
        <f t="shared" si="118"/>
        <v>Duplicate ID</v>
      </c>
      <c r="Q1874" t="str">
        <f t="shared" si="119"/>
        <v>0-4,999</v>
      </c>
      <c r="R1874" s="6">
        <f>IF(COUNTIF($A$2:A1874,A1874)=1,1,0)</f>
        <v>0</v>
      </c>
    </row>
    <row r="1875" spans="1:18" x14ac:dyDescent="0.25">
      <c r="A1875" s="6">
        <v>1135</v>
      </c>
      <c r="B1875" s="7">
        <v>45260</v>
      </c>
      <c r="C1875" t="s">
        <v>57</v>
      </c>
      <c r="D1875" s="6">
        <v>2018</v>
      </c>
      <c r="E1875" s="8">
        <v>23211</v>
      </c>
      <c r="F1875" s="8">
        <v>26000</v>
      </c>
      <c r="G1875" s="8">
        <f t="shared" si="116"/>
        <v>2789</v>
      </c>
      <c r="H1875" s="6">
        <v>15000</v>
      </c>
      <c r="I1875" t="s">
        <v>1647</v>
      </c>
      <c r="J1875" t="s">
        <v>72</v>
      </c>
      <c r="K1875" t="s">
        <v>96</v>
      </c>
      <c r="L1875" t="s">
        <v>48</v>
      </c>
      <c r="M1875" t="s">
        <v>45</v>
      </c>
      <c r="N1875" s="6">
        <v>3</v>
      </c>
      <c r="O1875" t="str">
        <f t="shared" si="117"/>
        <v>Normal</v>
      </c>
      <c r="P1875" t="str">
        <f t="shared" si="118"/>
        <v>Duplicate ID</v>
      </c>
      <c r="Q1875" t="str">
        <f t="shared" si="119"/>
        <v>20,000-24,999</v>
      </c>
      <c r="R1875" s="6">
        <f>IF(COUNTIF($A$2:A1875,A1875)=1,1,0)</f>
        <v>0</v>
      </c>
    </row>
    <row r="1876" spans="1:18" x14ac:dyDescent="0.25">
      <c r="A1876" s="6">
        <v>1147</v>
      </c>
      <c r="B1876" s="7">
        <v>45029</v>
      </c>
      <c r="C1876" t="s">
        <v>40</v>
      </c>
      <c r="D1876" s="6">
        <v>2018</v>
      </c>
      <c r="E1876" s="8">
        <v>9372</v>
      </c>
      <c r="F1876" s="8">
        <v>15000</v>
      </c>
      <c r="G1876" s="8">
        <f t="shared" si="116"/>
        <v>5628</v>
      </c>
      <c r="H1876" s="6">
        <v>80000</v>
      </c>
      <c r="I1876" t="s">
        <v>1647</v>
      </c>
      <c r="J1876" t="s">
        <v>35</v>
      </c>
      <c r="K1876" t="s">
        <v>36</v>
      </c>
      <c r="L1876" t="s">
        <v>73</v>
      </c>
      <c r="M1876" t="s">
        <v>98</v>
      </c>
      <c r="N1876" s="6">
        <v>1</v>
      </c>
      <c r="O1876" t="str">
        <f t="shared" si="117"/>
        <v>Normal</v>
      </c>
      <c r="P1876" t="str">
        <f t="shared" si="118"/>
        <v>Duplicate ID</v>
      </c>
      <c r="Q1876" t="str">
        <f t="shared" si="119"/>
        <v>5,000-9,999</v>
      </c>
      <c r="R1876" s="6">
        <f>IF(COUNTIF($A$2:A1876,A1876)=1,1,0)</f>
        <v>0</v>
      </c>
    </row>
    <row r="1877" spans="1:18" x14ac:dyDescent="0.25">
      <c r="A1877" s="6">
        <v>1176</v>
      </c>
      <c r="B1877" s="7">
        <v>45056</v>
      </c>
      <c r="C1877" t="s">
        <v>79</v>
      </c>
      <c r="D1877" s="6">
        <v>2015</v>
      </c>
      <c r="E1877" s="8">
        <v>6109</v>
      </c>
      <c r="F1877" s="8">
        <v>12000</v>
      </c>
      <c r="G1877" s="8">
        <f t="shared" si="116"/>
        <v>5891</v>
      </c>
      <c r="H1877" s="6">
        <v>80000</v>
      </c>
      <c r="I1877" t="s">
        <v>58</v>
      </c>
      <c r="J1877" t="s">
        <v>72</v>
      </c>
      <c r="K1877" t="s">
        <v>36</v>
      </c>
      <c r="L1877" t="s">
        <v>100</v>
      </c>
      <c r="M1877" t="s">
        <v>90</v>
      </c>
      <c r="N1877" s="6">
        <v>1</v>
      </c>
      <c r="O1877" t="str">
        <f t="shared" si="117"/>
        <v>Normal</v>
      </c>
      <c r="P1877" t="str">
        <f t="shared" si="118"/>
        <v>Duplicate ID</v>
      </c>
      <c r="Q1877" t="str">
        <f t="shared" si="119"/>
        <v>5,000-9,999</v>
      </c>
      <c r="R1877" s="6">
        <f>IF(COUNTIF($A$2:A1877,A1877)=1,1,0)</f>
        <v>0</v>
      </c>
    </row>
    <row r="1878" spans="1:18" x14ac:dyDescent="0.25">
      <c r="A1878" s="6">
        <v>1258</v>
      </c>
      <c r="B1878" s="7">
        <v>44667</v>
      </c>
      <c r="C1878" t="s">
        <v>119</v>
      </c>
      <c r="D1878" s="6">
        <v>2014</v>
      </c>
      <c r="E1878" s="8">
        <v>5948</v>
      </c>
      <c r="F1878" s="8">
        <v>12000</v>
      </c>
      <c r="G1878" s="8">
        <f t="shared" si="116"/>
        <v>6052</v>
      </c>
      <c r="H1878" s="6">
        <v>25000</v>
      </c>
      <c r="I1878" t="s">
        <v>41</v>
      </c>
      <c r="J1878" t="s">
        <v>72</v>
      </c>
      <c r="K1878" t="s">
        <v>1647</v>
      </c>
      <c r="L1878" t="s">
        <v>54</v>
      </c>
      <c r="M1878" t="s">
        <v>90</v>
      </c>
      <c r="N1878" s="6">
        <v>0</v>
      </c>
      <c r="O1878" t="str">
        <f t="shared" si="117"/>
        <v>Normal</v>
      </c>
      <c r="P1878" t="str">
        <f t="shared" si="118"/>
        <v>Duplicate ID</v>
      </c>
      <c r="Q1878" t="str">
        <f t="shared" si="119"/>
        <v>5,000-9,999</v>
      </c>
      <c r="R1878" s="6">
        <f>IF(COUNTIF($A$2:A1878,A1878)=1,1,0)</f>
        <v>0</v>
      </c>
    </row>
    <row r="1879" spans="1:18" x14ac:dyDescent="0.25">
      <c r="A1879" s="6">
        <v>1349</v>
      </c>
      <c r="B1879" s="7">
        <v>44587</v>
      </c>
      <c r="C1879" t="s">
        <v>79</v>
      </c>
      <c r="D1879" s="6"/>
      <c r="E1879" s="8">
        <v>19931</v>
      </c>
      <c r="F1879" s="8">
        <v>22000</v>
      </c>
      <c r="G1879" s="8">
        <f t="shared" si="116"/>
        <v>2069</v>
      </c>
      <c r="H1879" s="6">
        <v>120000</v>
      </c>
      <c r="I1879" t="s">
        <v>58</v>
      </c>
      <c r="J1879" t="s">
        <v>1647</v>
      </c>
      <c r="K1879" t="s">
        <v>96</v>
      </c>
      <c r="L1879" t="s">
        <v>73</v>
      </c>
      <c r="M1879" t="s">
        <v>90</v>
      </c>
      <c r="N1879" s="6" t="s">
        <v>1647</v>
      </c>
      <c r="O1879" t="str">
        <f t="shared" si="117"/>
        <v>Normal</v>
      </c>
      <c r="P1879" t="str">
        <f t="shared" si="118"/>
        <v>Duplicate ID</v>
      </c>
      <c r="Q1879" t="str">
        <f t="shared" si="119"/>
        <v>15,000-19,999</v>
      </c>
      <c r="R1879" s="6">
        <f>IF(COUNTIF($A$2:A1879,A1879)=1,1,0)</f>
        <v>0</v>
      </c>
    </row>
    <row r="1880" spans="1:18" x14ac:dyDescent="0.25">
      <c r="A1880" s="6">
        <v>1391</v>
      </c>
      <c r="B1880" s="7">
        <v>44264</v>
      </c>
      <c r="C1880" t="s">
        <v>51</v>
      </c>
      <c r="D1880" s="6">
        <v>2017</v>
      </c>
      <c r="E1880" s="8">
        <v>29603</v>
      </c>
      <c r="F1880" s="8">
        <v>31000</v>
      </c>
      <c r="G1880" s="8">
        <f t="shared" si="116"/>
        <v>1397</v>
      </c>
      <c r="H1880" s="6">
        <v>120000</v>
      </c>
      <c r="I1880" t="s">
        <v>69</v>
      </c>
      <c r="J1880" t="s">
        <v>72</v>
      </c>
      <c r="K1880" t="s">
        <v>1647</v>
      </c>
      <c r="L1880" t="s">
        <v>48</v>
      </c>
      <c r="M1880" t="s">
        <v>45</v>
      </c>
      <c r="N1880" s="6">
        <v>1</v>
      </c>
      <c r="O1880" t="str">
        <f t="shared" si="117"/>
        <v>Normal</v>
      </c>
      <c r="P1880" t="str">
        <f t="shared" si="118"/>
        <v>Duplicate ID</v>
      </c>
      <c r="Q1880" t="str">
        <f t="shared" si="119"/>
        <v>25,000-30,000</v>
      </c>
      <c r="R1880" s="6">
        <f>IF(COUNTIF($A$2:A1880,A1880)=1,1,0)</f>
        <v>0</v>
      </c>
    </row>
    <row r="1881" spans="1:18" x14ac:dyDescent="0.25">
      <c r="A1881" s="6">
        <v>1358</v>
      </c>
      <c r="B1881" s="7">
        <v>44938</v>
      </c>
      <c r="C1881" t="s">
        <v>32</v>
      </c>
      <c r="D1881" s="6">
        <v>2015</v>
      </c>
      <c r="E1881" s="8">
        <v>4635</v>
      </c>
      <c r="F1881" s="8">
        <v>7000</v>
      </c>
      <c r="G1881" s="8">
        <f t="shared" si="116"/>
        <v>2365</v>
      </c>
      <c r="H1881" s="6">
        <v>40000</v>
      </c>
      <c r="I1881" t="s">
        <v>41</v>
      </c>
      <c r="J1881" t="s">
        <v>72</v>
      </c>
      <c r="K1881" t="s">
        <v>36</v>
      </c>
      <c r="L1881" t="s">
        <v>48</v>
      </c>
      <c r="M1881" t="s">
        <v>98</v>
      </c>
      <c r="N1881" s="6">
        <v>2</v>
      </c>
      <c r="O1881" t="str">
        <f t="shared" si="117"/>
        <v>Normal</v>
      </c>
      <c r="P1881" t="str">
        <f t="shared" si="118"/>
        <v>Duplicate ID</v>
      </c>
      <c r="Q1881" t="str">
        <f t="shared" si="119"/>
        <v>0-4,999</v>
      </c>
      <c r="R1881" s="6">
        <f>IF(COUNTIF($A$2:A1881,A1881)=1,1,0)</f>
        <v>0</v>
      </c>
    </row>
    <row r="1882" spans="1:18" x14ac:dyDescent="0.25">
      <c r="A1882" s="6">
        <v>1434</v>
      </c>
      <c r="B1882" s="7">
        <v>45338</v>
      </c>
      <c r="C1882" t="s">
        <v>32</v>
      </c>
      <c r="D1882" s="6">
        <v>2019</v>
      </c>
      <c r="E1882" s="8">
        <v>17071</v>
      </c>
      <c r="F1882" s="8">
        <v>22000</v>
      </c>
      <c r="G1882" s="8">
        <f t="shared" si="116"/>
        <v>4929</v>
      </c>
      <c r="H1882" s="6">
        <v>15000</v>
      </c>
      <c r="I1882" t="s">
        <v>34</v>
      </c>
      <c r="J1882" t="s">
        <v>35</v>
      </c>
      <c r="K1882" t="s">
        <v>36</v>
      </c>
      <c r="L1882" t="s">
        <v>73</v>
      </c>
      <c r="M1882" t="s">
        <v>90</v>
      </c>
      <c r="N1882" s="6" t="s">
        <v>1647</v>
      </c>
      <c r="O1882" t="str">
        <f t="shared" si="117"/>
        <v>Normal</v>
      </c>
      <c r="P1882" t="str">
        <f t="shared" si="118"/>
        <v>Duplicate ID</v>
      </c>
      <c r="Q1882" t="str">
        <f t="shared" si="119"/>
        <v>15,000-19,999</v>
      </c>
      <c r="R1882" s="6">
        <f>IF(COUNTIF($A$2:A1882,A1882)=1,1,0)</f>
        <v>0</v>
      </c>
    </row>
    <row r="1883" spans="1:18" x14ac:dyDescent="0.25">
      <c r="A1883" s="6">
        <v>1035</v>
      </c>
      <c r="B1883" s="7">
        <v>45181</v>
      </c>
      <c r="C1883" t="s">
        <v>32</v>
      </c>
      <c r="D1883" s="6">
        <v>2016</v>
      </c>
      <c r="E1883" s="8">
        <v>7385</v>
      </c>
      <c r="F1883" s="8">
        <v>9000</v>
      </c>
      <c r="G1883" s="8">
        <f t="shared" si="116"/>
        <v>1615</v>
      </c>
      <c r="H1883" s="6">
        <v>25000</v>
      </c>
      <c r="I1883" t="s">
        <v>69</v>
      </c>
      <c r="J1883" t="s">
        <v>1647</v>
      </c>
      <c r="K1883" t="s">
        <v>96</v>
      </c>
      <c r="L1883" t="s">
        <v>48</v>
      </c>
      <c r="M1883" t="s">
        <v>90</v>
      </c>
      <c r="N1883" s="6" t="s">
        <v>1647</v>
      </c>
      <c r="O1883" t="str">
        <f t="shared" si="117"/>
        <v>Normal</v>
      </c>
      <c r="P1883" t="str">
        <f t="shared" si="118"/>
        <v>Duplicate ID</v>
      </c>
      <c r="Q1883" t="str">
        <f t="shared" si="119"/>
        <v>5,000-9,999</v>
      </c>
      <c r="R1883" s="6">
        <f>IF(COUNTIF($A$2:A1883,A1883)=1,1,0)</f>
        <v>0</v>
      </c>
    </row>
    <row r="1884" spans="1:18" x14ac:dyDescent="0.25">
      <c r="A1884" s="6">
        <v>1163</v>
      </c>
      <c r="B1884" s="7">
        <v>45188</v>
      </c>
      <c r="C1884" t="s">
        <v>32</v>
      </c>
      <c r="D1884" s="6">
        <v>2022</v>
      </c>
      <c r="E1884" s="8">
        <v>25704</v>
      </c>
      <c r="F1884" s="8">
        <v>31000</v>
      </c>
      <c r="G1884" s="8">
        <f t="shared" si="116"/>
        <v>5296</v>
      </c>
      <c r="H1884" s="6">
        <v>80000</v>
      </c>
      <c r="I1884" t="s">
        <v>41</v>
      </c>
      <c r="J1884" t="s">
        <v>72</v>
      </c>
      <c r="K1884" t="s">
        <v>36</v>
      </c>
      <c r="L1884" t="s">
        <v>54</v>
      </c>
      <c r="M1884" t="s">
        <v>45</v>
      </c>
      <c r="N1884" s="6">
        <v>3</v>
      </c>
      <c r="O1884" t="str">
        <f t="shared" si="117"/>
        <v>Normal</v>
      </c>
      <c r="P1884" t="str">
        <f t="shared" si="118"/>
        <v>Duplicate ID</v>
      </c>
      <c r="Q1884" t="str">
        <f t="shared" si="119"/>
        <v>25,000-30,000</v>
      </c>
      <c r="R1884" s="6">
        <f>IF(COUNTIF($A$2:A1884,A1884)=1,1,0)</f>
        <v>0</v>
      </c>
    </row>
    <row r="1885" spans="1:18" x14ac:dyDescent="0.25">
      <c r="A1885" s="6">
        <v>1401</v>
      </c>
      <c r="B1885" s="7">
        <v>45379</v>
      </c>
      <c r="C1885" t="s">
        <v>57</v>
      </c>
      <c r="D1885" s="6"/>
      <c r="E1885" s="8">
        <v>2540</v>
      </c>
      <c r="F1885" s="8">
        <v>9000</v>
      </c>
      <c r="G1885" s="8">
        <f t="shared" si="116"/>
        <v>6460</v>
      </c>
      <c r="H1885" s="6">
        <v>60000</v>
      </c>
      <c r="I1885" t="s">
        <v>58</v>
      </c>
      <c r="J1885" t="s">
        <v>35</v>
      </c>
      <c r="K1885" t="s">
        <v>1647</v>
      </c>
      <c r="L1885" t="s">
        <v>1647</v>
      </c>
      <c r="M1885" t="s">
        <v>1647</v>
      </c>
      <c r="N1885" s="6">
        <v>0</v>
      </c>
      <c r="O1885" t="str">
        <f t="shared" si="117"/>
        <v>Normal</v>
      </c>
      <c r="P1885" t="str">
        <f t="shared" si="118"/>
        <v>Duplicate ID</v>
      </c>
      <c r="Q1885" t="str">
        <f t="shared" si="119"/>
        <v>0-4,999</v>
      </c>
      <c r="R1885" s="6">
        <f>IF(COUNTIF($A$2:A1885,A1885)=1,1,0)</f>
        <v>0</v>
      </c>
    </row>
    <row r="1886" spans="1:18" x14ac:dyDescent="0.25">
      <c r="A1886" s="6">
        <v>1183</v>
      </c>
      <c r="B1886" s="7">
        <v>44281</v>
      </c>
      <c r="C1886" t="s">
        <v>1648</v>
      </c>
      <c r="D1886" s="6">
        <v>2014</v>
      </c>
      <c r="E1886" s="8">
        <v>5357</v>
      </c>
      <c r="F1886" s="8">
        <v>7000</v>
      </c>
      <c r="G1886" s="8">
        <f t="shared" si="116"/>
        <v>1643</v>
      </c>
      <c r="H1886" s="6">
        <v>40000</v>
      </c>
      <c r="I1886" t="s">
        <v>58</v>
      </c>
      <c r="J1886" t="s">
        <v>35</v>
      </c>
      <c r="K1886" t="s">
        <v>36</v>
      </c>
      <c r="L1886" t="s">
        <v>100</v>
      </c>
      <c r="M1886" t="s">
        <v>126</v>
      </c>
      <c r="N1886" s="6">
        <v>0</v>
      </c>
      <c r="O1886" t="str">
        <f t="shared" si="117"/>
        <v>Normal</v>
      </c>
      <c r="P1886" t="str">
        <f t="shared" si="118"/>
        <v>Duplicate ID</v>
      </c>
      <c r="Q1886" t="str">
        <f t="shared" si="119"/>
        <v>5,000-9,999</v>
      </c>
      <c r="R1886" s="6">
        <f>IF(COUNTIF($A$2:A1886,A1886)=1,1,0)</f>
        <v>0</v>
      </c>
    </row>
    <row r="1887" spans="1:18" x14ac:dyDescent="0.25">
      <c r="A1887" s="6">
        <v>1407</v>
      </c>
      <c r="B1887" s="7">
        <v>44333</v>
      </c>
      <c r="C1887" t="s">
        <v>1648</v>
      </c>
      <c r="D1887" s="6">
        <v>2019</v>
      </c>
      <c r="E1887" s="8">
        <v>14776</v>
      </c>
      <c r="F1887" s="8">
        <v>18000</v>
      </c>
      <c r="G1887" s="8">
        <f t="shared" si="116"/>
        <v>3224</v>
      </c>
      <c r="H1887" s="6">
        <v>40000</v>
      </c>
      <c r="I1887" t="s">
        <v>41</v>
      </c>
      <c r="J1887" t="s">
        <v>35</v>
      </c>
      <c r="K1887" t="s">
        <v>96</v>
      </c>
      <c r="L1887" t="s">
        <v>48</v>
      </c>
      <c r="M1887" t="s">
        <v>98</v>
      </c>
      <c r="N1887" s="6">
        <v>1</v>
      </c>
      <c r="O1887" t="str">
        <f t="shared" si="117"/>
        <v>Normal</v>
      </c>
      <c r="P1887" t="str">
        <f t="shared" si="118"/>
        <v>Duplicate ID</v>
      </c>
      <c r="Q1887" t="str">
        <f t="shared" si="119"/>
        <v>10,000-14,999</v>
      </c>
      <c r="R1887" s="6">
        <f>IF(COUNTIF($A$2:A1887,A1887)=1,1,0)</f>
        <v>0</v>
      </c>
    </row>
    <row r="1888" spans="1:18" x14ac:dyDescent="0.25">
      <c r="A1888" s="6">
        <v>1415</v>
      </c>
      <c r="B1888" s="7">
        <v>44547</v>
      </c>
      <c r="C1888" t="s">
        <v>1648</v>
      </c>
      <c r="D1888" s="6">
        <v>2019</v>
      </c>
      <c r="E1888" s="8">
        <v>3088</v>
      </c>
      <c r="F1888" s="8">
        <v>7000</v>
      </c>
      <c r="G1888" s="8">
        <f t="shared" si="116"/>
        <v>3912</v>
      </c>
      <c r="H1888" s="6">
        <v>15000</v>
      </c>
      <c r="I1888" t="s">
        <v>58</v>
      </c>
      <c r="J1888" t="s">
        <v>35</v>
      </c>
      <c r="K1888" t="s">
        <v>36</v>
      </c>
      <c r="L1888" t="s">
        <v>48</v>
      </c>
      <c r="M1888" t="s">
        <v>126</v>
      </c>
      <c r="N1888" s="6">
        <v>3</v>
      </c>
      <c r="O1888" t="str">
        <f t="shared" si="117"/>
        <v>Normal</v>
      </c>
      <c r="P1888" t="str">
        <f t="shared" si="118"/>
        <v>Duplicate ID</v>
      </c>
      <c r="Q1888" t="str">
        <f t="shared" si="119"/>
        <v>0-4,999</v>
      </c>
      <c r="R1888" s="6">
        <f>IF(COUNTIF($A$2:A1888,A1888)=1,1,0)</f>
        <v>0</v>
      </c>
    </row>
    <row r="1889" spans="1:18" x14ac:dyDescent="0.25">
      <c r="A1889" s="6">
        <v>1381</v>
      </c>
      <c r="B1889" s="7">
        <v>45370</v>
      </c>
      <c r="C1889" t="s">
        <v>51</v>
      </c>
      <c r="D1889" s="6">
        <v>2018</v>
      </c>
      <c r="E1889" s="8">
        <v>13891</v>
      </c>
      <c r="F1889" s="8">
        <v>15000</v>
      </c>
      <c r="G1889" s="8">
        <f t="shared" si="116"/>
        <v>1109</v>
      </c>
      <c r="H1889" s="6">
        <v>25000</v>
      </c>
      <c r="I1889" t="s">
        <v>58</v>
      </c>
      <c r="J1889" t="s">
        <v>72</v>
      </c>
      <c r="K1889" t="s">
        <v>1647</v>
      </c>
      <c r="L1889" t="s">
        <v>73</v>
      </c>
      <c r="M1889" t="s">
        <v>98</v>
      </c>
      <c r="N1889" s="6">
        <v>0</v>
      </c>
      <c r="O1889" t="str">
        <f t="shared" si="117"/>
        <v>Normal</v>
      </c>
      <c r="P1889" t="str">
        <f t="shared" si="118"/>
        <v>Duplicate ID</v>
      </c>
      <c r="Q1889" t="str">
        <f t="shared" si="119"/>
        <v>10,000-14,999</v>
      </c>
      <c r="R1889" s="6">
        <f>IF(COUNTIF($A$2:A1889,A1889)=1,1,0)</f>
        <v>0</v>
      </c>
    </row>
    <row r="1890" spans="1:18" x14ac:dyDescent="0.25">
      <c r="A1890" s="6">
        <v>1234</v>
      </c>
      <c r="B1890" s="7">
        <v>44511</v>
      </c>
      <c r="C1890" t="s">
        <v>40</v>
      </c>
      <c r="D1890" s="6">
        <v>2018</v>
      </c>
      <c r="E1890" s="8">
        <v>16131</v>
      </c>
      <c r="F1890" s="8">
        <v>22000</v>
      </c>
      <c r="G1890" s="8">
        <f t="shared" si="116"/>
        <v>5869</v>
      </c>
      <c r="H1890" s="6">
        <v>60000</v>
      </c>
      <c r="I1890" t="s">
        <v>69</v>
      </c>
      <c r="J1890" t="s">
        <v>1647</v>
      </c>
      <c r="K1890" t="s">
        <v>36</v>
      </c>
      <c r="L1890" t="s">
        <v>48</v>
      </c>
      <c r="M1890" t="s">
        <v>126</v>
      </c>
      <c r="N1890" s="6">
        <v>0</v>
      </c>
      <c r="O1890" t="str">
        <f t="shared" si="117"/>
        <v>Normal</v>
      </c>
      <c r="P1890" t="str">
        <f t="shared" si="118"/>
        <v>Duplicate ID</v>
      </c>
      <c r="Q1890" t="str">
        <f t="shared" si="119"/>
        <v>15,000-19,999</v>
      </c>
      <c r="R1890" s="6">
        <f>IF(COUNTIF($A$2:A1890,A1890)=1,1,0)</f>
        <v>0</v>
      </c>
    </row>
    <row r="1891" spans="1:18" x14ac:dyDescent="0.25">
      <c r="A1891" s="6">
        <v>1494</v>
      </c>
      <c r="B1891" s="7">
        <v>45213</v>
      </c>
      <c r="C1891" t="s">
        <v>79</v>
      </c>
      <c r="D1891" s="6">
        <v>2014</v>
      </c>
      <c r="E1891" s="8">
        <v>4459</v>
      </c>
      <c r="F1891" s="8">
        <v>9000</v>
      </c>
      <c r="G1891" s="8">
        <f t="shared" si="116"/>
        <v>4541</v>
      </c>
      <c r="H1891" s="6">
        <v>80000</v>
      </c>
      <c r="I1891" t="s">
        <v>41</v>
      </c>
      <c r="J1891" t="s">
        <v>1647</v>
      </c>
      <c r="K1891" t="s">
        <v>36</v>
      </c>
      <c r="L1891" t="s">
        <v>73</v>
      </c>
      <c r="M1891" t="s">
        <v>126</v>
      </c>
      <c r="N1891" s="6" t="s">
        <v>1647</v>
      </c>
      <c r="O1891" t="str">
        <f t="shared" si="117"/>
        <v>Normal</v>
      </c>
      <c r="P1891" t="str">
        <f t="shared" si="118"/>
        <v>Duplicate ID</v>
      </c>
      <c r="Q1891" t="str">
        <f t="shared" si="119"/>
        <v>0-4,999</v>
      </c>
      <c r="R1891" s="6">
        <f>IF(COUNTIF($A$2:A1891,A1891)=1,1,0)</f>
        <v>0</v>
      </c>
    </row>
    <row r="1892" spans="1:18" x14ac:dyDescent="0.25">
      <c r="A1892" s="6">
        <v>1152</v>
      </c>
      <c r="B1892" s="7">
        <v>44661</v>
      </c>
      <c r="C1892" t="s">
        <v>32</v>
      </c>
      <c r="D1892" s="6">
        <v>2022</v>
      </c>
      <c r="E1892" s="8">
        <v>19049</v>
      </c>
      <c r="F1892" s="8">
        <v>22000</v>
      </c>
      <c r="G1892" s="8">
        <f t="shared" si="116"/>
        <v>2951</v>
      </c>
      <c r="H1892" s="6">
        <v>25000</v>
      </c>
      <c r="I1892" t="s">
        <v>69</v>
      </c>
      <c r="J1892" t="s">
        <v>1647</v>
      </c>
      <c r="K1892" t="s">
        <v>36</v>
      </c>
      <c r="L1892" t="s">
        <v>48</v>
      </c>
      <c r="M1892" t="s">
        <v>45</v>
      </c>
      <c r="N1892" s="6" t="s">
        <v>1647</v>
      </c>
      <c r="O1892" t="str">
        <f t="shared" si="117"/>
        <v>Normal</v>
      </c>
      <c r="P1892" t="str">
        <f t="shared" si="118"/>
        <v>Duplicate ID</v>
      </c>
      <c r="Q1892" t="str">
        <f t="shared" si="119"/>
        <v>15,000-19,999</v>
      </c>
      <c r="R1892" s="6">
        <f>IF(COUNTIF($A$2:A1892,A1892)=1,1,0)</f>
        <v>0</v>
      </c>
    </row>
    <row r="1893" spans="1:18" x14ac:dyDescent="0.25">
      <c r="A1893" s="6">
        <v>1330</v>
      </c>
      <c r="B1893" s="7">
        <v>44958</v>
      </c>
      <c r="C1893" t="s">
        <v>57</v>
      </c>
      <c r="D1893" s="6"/>
      <c r="E1893" s="8">
        <v>3613</v>
      </c>
      <c r="F1893" s="8">
        <v>9000</v>
      </c>
      <c r="G1893" s="8">
        <f t="shared" si="116"/>
        <v>5387</v>
      </c>
      <c r="H1893" s="6">
        <v>40000</v>
      </c>
      <c r="I1893" t="s">
        <v>1647</v>
      </c>
      <c r="J1893" t="s">
        <v>35</v>
      </c>
      <c r="K1893" t="s">
        <v>96</v>
      </c>
      <c r="L1893" t="s">
        <v>100</v>
      </c>
      <c r="M1893" t="s">
        <v>126</v>
      </c>
      <c r="N1893" s="6">
        <v>3</v>
      </c>
      <c r="O1893" t="str">
        <f t="shared" si="117"/>
        <v>Normal</v>
      </c>
      <c r="P1893" t="str">
        <f t="shared" si="118"/>
        <v>Duplicate ID</v>
      </c>
      <c r="Q1893" t="str">
        <f t="shared" si="119"/>
        <v>0-4,999</v>
      </c>
      <c r="R1893" s="6">
        <f>IF(COUNTIF($A$2:A1893,A1893)=1,1,0)</f>
        <v>0</v>
      </c>
    </row>
    <row r="1894" spans="1:18" x14ac:dyDescent="0.25">
      <c r="A1894" s="6">
        <v>1187</v>
      </c>
      <c r="B1894" s="7">
        <v>44831</v>
      </c>
      <c r="C1894" t="s">
        <v>51</v>
      </c>
      <c r="D1894" s="6">
        <v>2021</v>
      </c>
      <c r="E1894" s="8">
        <v>16094</v>
      </c>
      <c r="F1894" s="8">
        <v>18000</v>
      </c>
      <c r="G1894" s="8">
        <f t="shared" si="116"/>
        <v>1906</v>
      </c>
      <c r="H1894" s="6">
        <v>120000</v>
      </c>
      <c r="I1894" t="s">
        <v>34</v>
      </c>
      <c r="J1894" t="s">
        <v>35</v>
      </c>
      <c r="K1894" t="s">
        <v>96</v>
      </c>
      <c r="L1894" t="s">
        <v>100</v>
      </c>
      <c r="M1894" t="s">
        <v>45</v>
      </c>
      <c r="N1894" s="6" t="s">
        <v>1647</v>
      </c>
      <c r="O1894" t="str">
        <f t="shared" si="117"/>
        <v>Normal</v>
      </c>
      <c r="P1894" t="str">
        <f t="shared" si="118"/>
        <v>Duplicate ID</v>
      </c>
      <c r="Q1894" t="str">
        <f t="shared" si="119"/>
        <v>15,000-19,999</v>
      </c>
      <c r="R1894" s="6">
        <f>IF(COUNTIF($A$2:A1894,A1894)=1,1,0)</f>
        <v>0</v>
      </c>
    </row>
    <row r="1895" spans="1:18" x14ac:dyDescent="0.25">
      <c r="A1895" s="6">
        <v>1307</v>
      </c>
      <c r="B1895" s="7">
        <v>44561</v>
      </c>
      <c r="C1895" t="s">
        <v>40</v>
      </c>
      <c r="D1895" s="6">
        <v>2022</v>
      </c>
      <c r="E1895" s="8">
        <v>13426</v>
      </c>
      <c r="F1895" s="8">
        <v>15000</v>
      </c>
      <c r="G1895" s="8">
        <f t="shared" si="116"/>
        <v>1574</v>
      </c>
      <c r="H1895" s="6">
        <v>120000</v>
      </c>
      <c r="I1895" t="s">
        <v>1647</v>
      </c>
      <c r="J1895" t="s">
        <v>72</v>
      </c>
      <c r="K1895" t="s">
        <v>36</v>
      </c>
      <c r="L1895" t="s">
        <v>48</v>
      </c>
      <c r="M1895" t="s">
        <v>98</v>
      </c>
      <c r="N1895" s="6">
        <v>3</v>
      </c>
      <c r="O1895" t="str">
        <f t="shared" si="117"/>
        <v>Normal</v>
      </c>
      <c r="P1895" t="str">
        <f t="shared" si="118"/>
        <v>Duplicate ID</v>
      </c>
      <c r="Q1895" t="str">
        <f t="shared" si="119"/>
        <v>10,000-14,999</v>
      </c>
      <c r="R1895" s="6">
        <f>IF(COUNTIF($A$2:A1895,A1895)=1,1,0)</f>
        <v>0</v>
      </c>
    </row>
    <row r="1896" spans="1:18" x14ac:dyDescent="0.25">
      <c r="A1896" s="6">
        <v>1202</v>
      </c>
      <c r="B1896" s="7">
        <v>44823</v>
      </c>
      <c r="C1896" t="s">
        <v>57</v>
      </c>
      <c r="D1896" s="6">
        <v>2018</v>
      </c>
      <c r="E1896" s="8">
        <v>11796</v>
      </c>
      <c r="F1896" s="8">
        <v>18000</v>
      </c>
      <c r="G1896" s="8">
        <f t="shared" si="116"/>
        <v>6204</v>
      </c>
      <c r="H1896" s="6">
        <v>25000</v>
      </c>
      <c r="I1896" t="s">
        <v>1647</v>
      </c>
      <c r="J1896" t="s">
        <v>1647</v>
      </c>
      <c r="K1896" t="s">
        <v>96</v>
      </c>
      <c r="L1896" t="s">
        <v>100</v>
      </c>
      <c r="M1896" t="s">
        <v>98</v>
      </c>
      <c r="N1896" s="6">
        <v>2</v>
      </c>
      <c r="O1896" t="str">
        <f t="shared" si="117"/>
        <v>Normal</v>
      </c>
      <c r="P1896" t="str">
        <f t="shared" si="118"/>
        <v>Duplicate ID</v>
      </c>
      <c r="Q1896" t="str">
        <f t="shared" si="119"/>
        <v>10,000-14,999</v>
      </c>
      <c r="R1896" s="6">
        <f>IF(COUNTIF($A$2:A1896,A1896)=1,1,0)</f>
        <v>0</v>
      </c>
    </row>
    <row r="1897" spans="1:18" x14ac:dyDescent="0.25">
      <c r="A1897" s="6">
        <v>1228</v>
      </c>
      <c r="B1897" s="7">
        <v>44826</v>
      </c>
      <c r="C1897" t="s">
        <v>1648</v>
      </c>
      <c r="D1897" s="6">
        <v>2015</v>
      </c>
      <c r="E1897" s="8">
        <v>15176</v>
      </c>
      <c r="F1897" s="8">
        <v>22000</v>
      </c>
      <c r="G1897" s="8">
        <f t="shared" si="116"/>
        <v>6824</v>
      </c>
      <c r="H1897" s="6">
        <v>60000</v>
      </c>
      <c r="I1897" t="s">
        <v>58</v>
      </c>
      <c r="J1897" t="s">
        <v>1647</v>
      </c>
      <c r="K1897" t="s">
        <v>1647</v>
      </c>
      <c r="L1897" t="s">
        <v>73</v>
      </c>
      <c r="M1897" t="s">
        <v>90</v>
      </c>
      <c r="N1897" s="6">
        <v>2</v>
      </c>
      <c r="O1897" t="str">
        <f t="shared" si="117"/>
        <v>Normal</v>
      </c>
      <c r="P1897" t="str">
        <f t="shared" si="118"/>
        <v>Duplicate ID</v>
      </c>
      <c r="Q1897" t="str">
        <f t="shared" si="119"/>
        <v>15,000-19,999</v>
      </c>
      <c r="R1897" s="6">
        <f>IF(COUNTIF($A$2:A1897,A1897)=1,1,0)</f>
        <v>0</v>
      </c>
    </row>
    <row r="1898" spans="1:18" x14ac:dyDescent="0.25">
      <c r="A1898" s="6">
        <v>1595</v>
      </c>
      <c r="B1898" s="7">
        <v>45161</v>
      </c>
      <c r="C1898" t="s">
        <v>40</v>
      </c>
      <c r="D1898" s="6">
        <v>2018</v>
      </c>
      <c r="E1898" s="8">
        <v>14600</v>
      </c>
      <c r="F1898" s="8">
        <v>18000</v>
      </c>
      <c r="G1898" s="8">
        <f t="shared" si="116"/>
        <v>3400</v>
      </c>
      <c r="H1898" s="6">
        <v>25000</v>
      </c>
      <c r="I1898" t="s">
        <v>41</v>
      </c>
      <c r="J1898" t="s">
        <v>1647</v>
      </c>
      <c r="K1898" t="s">
        <v>96</v>
      </c>
      <c r="L1898" t="s">
        <v>73</v>
      </c>
      <c r="M1898" t="s">
        <v>126</v>
      </c>
      <c r="N1898" s="6">
        <v>3</v>
      </c>
      <c r="O1898" t="str">
        <f t="shared" si="117"/>
        <v>Normal</v>
      </c>
      <c r="P1898" t="str">
        <f t="shared" si="118"/>
        <v>Duplicate ID</v>
      </c>
      <c r="Q1898" t="str">
        <f t="shared" si="119"/>
        <v>10,000-14,999</v>
      </c>
      <c r="R1898" s="6">
        <f>IF(COUNTIF($A$2:A1898,A1898)=1,1,0)</f>
        <v>0</v>
      </c>
    </row>
    <row r="1899" spans="1:18" x14ac:dyDescent="0.25">
      <c r="A1899" s="6">
        <v>1294</v>
      </c>
      <c r="B1899" s="7">
        <v>44458</v>
      </c>
      <c r="C1899" t="s">
        <v>79</v>
      </c>
      <c r="D1899" s="6">
        <v>2021</v>
      </c>
      <c r="E1899" s="8">
        <v>10599</v>
      </c>
      <c r="F1899" s="8">
        <v>15000</v>
      </c>
      <c r="G1899" s="8">
        <f t="shared" si="116"/>
        <v>4401</v>
      </c>
      <c r="H1899" s="6">
        <v>60000</v>
      </c>
      <c r="I1899" t="s">
        <v>58</v>
      </c>
      <c r="J1899" t="s">
        <v>35</v>
      </c>
      <c r="K1899" t="s">
        <v>96</v>
      </c>
      <c r="L1899" t="s">
        <v>54</v>
      </c>
      <c r="M1899" t="s">
        <v>90</v>
      </c>
      <c r="N1899" s="6">
        <v>0</v>
      </c>
      <c r="O1899" t="str">
        <f t="shared" si="117"/>
        <v>Normal</v>
      </c>
      <c r="P1899" t="str">
        <f t="shared" si="118"/>
        <v>Duplicate ID</v>
      </c>
      <c r="Q1899" t="str">
        <f t="shared" si="119"/>
        <v>10,000-14,999</v>
      </c>
      <c r="R1899" s="6">
        <f>IF(COUNTIF($A$2:A1899,A1899)=1,1,0)</f>
        <v>0</v>
      </c>
    </row>
    <row r="1900" spans="1:18" x14ac:dyDescent="0.25">
      <c r="A1900" s="6">
        <v>1274</v>
      </c>
      <c r="B1900" s="7">
        <v>44370</v>
      </c>
      <c r="C1900" t="s">
        <v>119</v>
      </c>
      <c r="D1900" s="6">
        <v>2020</v>
      </c>
      <c r="E1900" s="8">
        <v>9123</v>
      </c>
      <c r="F1900" s="8">
        <v>15000</v>
      </c>
      <c r="G1900" s="8">
        <f t="shared" si="116"/>
        <v>5877</v>
      </c>
      <c r="H1900" s="6">
        <v>15000</v>
      </c>
      <c r="I1900" t="s">
        <v>41</v>
      </c>
      <c r="J1900" t="s">
        <v>72</v>
      </c>
      <c r="K1900" t="s">
        <v>36</v>
      </c>
      <c r="L1900" t="s">
        <v>48</v>
      </c>
      <c r="M1900" t="s">
        <v>90</v>
      </c>
      <c r="N1900" s="6">
        <v>0</v>
      </c>
      <c r="O1900" t="str">
        <f t="shared" si="117"/>
        <v>Normal</v>
      </c>
      <c r="P1900" t="str">
        <f t="shared" si="118"/>
        <v>Duplicate ID</v>
      </c>
      <c r="Q1900" t="str">
        <f t="shared" si="119"/>
        <v>5,000-9,999</v>
      </c>
      <c r="R1900" s="6">
        <f>IF(COUNTIF($A$2:A1900,A1900)=1,1,0)</f>
        <v>0</v>
      </c>
    </row>
    <row r="1901" spans="1:18" x14ac:dyDescent="0.25">
      <c r="A1901" s="6">
        <v>1067</v>
      </c>
      <c r="B1901" s="7">
        <v>44833</v>
      </c>
      <c r="C1901" t="s">
        <v>32</v>
      </c>
      <c r="D1901" s="6">
        <v>2021</v>
      </c>
      <c r="E1901" s="8">
        <v>7756</v>
      </c>
      <c r="F1901" s="8">
        <v>12000</v>
      </c>
      <c r="G1901" s="8">
        <f t="shared" si="116"/>
        <v>4244</v>
      </c>
      <c r="H1901" s="6">
        <v>25000</v>
      </c>
      <c r="I1901" t="s">
        <v>41</v>
      </c>
      <c r="J1901" t="s">
        <v>35</v>
      </c>
      <c r="K1901" t="s">
        <v>36</v>
      </c>
      <c r="L1901" t="s">
        <v>1647</v>
      </c>
      <c r="M1901" t="s">
        <v>45</v>
      </c>
      <c r="N1901" s="6">
        <v>1</v>
      </c>
      <c r="O1901" t="str">
        <f t="shared" si="117"/>
        <v>Normal</v>
      </c>
      <c r="P1901" t="str">
        <f t="shared" si="118"/>
        <v>Duplicate ID</v>
      </c>
      <c r="Q1901" t="str">
        <f t="shared" si="119"/>
        <v>5,000-9,999</v>
      </c>
      <c r="R1901" s="6">
        <f>IF(COUNTIF($A$2:A1901,A1901)=1,1,0)</f>
        <v>0</v>
      </c>
    </row>
    <row r="1902" spans="1:18" x14ac:dyDescent="0.25">
      <c r="A1902" s="6">
        <v>1459</v>
      </c>
      <c r="B1902" s="7">
        <v>44755</v>
      </c>
      <c r="C1902" t="s">
        <v>119</v>
      </c>
      <c r="D1902" s="6">
        <v>2017</v>
      </c>
      <c r="E1902" s="8">
        <v>16679</v>
      </c>
      <c r="F1902" s="8">
        <v>22000</v>
      </c>
      <c r="G1902" s="8">
        <f t="shared" si="116"/>
        <v>5321</v>
      </c>
      <c r="H1902" s="6">
        <v>80000</v>
      </c>
      <c r="I1902" t="s">
        <v>58</v>
      </c>
      <c r="J1902" t="s">
        <v>72</v>
      </c>
      <c r="K1902" t="s">
        <v>1647</v>
      </c>
      <c r="L1902" t="s">
        <v>48</v>
      </c>
      <c r="M1902" t="s">
        <v>98</v>
      </c>
      <c r="N1902" s="6">
        <v>3</v>
      </c>
      <c r="O1902" t="str">
        <f t="shared" si="117"/>
        <v>Normal</v>
      </c>
      <c r="P1902" t="str">
        <f t="shared" si="118"/>
        <v>Duplicate ID</v>
      </c>
      <c r="Q1902" t="str">
        <f t="shared" si="119"/>
        <v>15,000-19,999</v>
      </c>
      <c r="R1902" s="6">
        <f>IF(COUNTIF($A$2:A1902,A1902)=1,1,0)</f>
        <v>0</v>
      </c>
    </row>
    <row r="1903" spans="1:18" x14ac:dyDescent="0.25">
      <c r="A1903" s="6">
        <v>1172</v>
      </c>
      <c r="B1903" s="7">
        <v>44237</v>
      </c>
      <c r="C1903" t="s">
        <v>1648</v>
      </c>
      <c r="D1903" s="6">
        <v>2015</v>
      </c>
      <c r="E1903" s="8">
        <v>16125</v>
      </c>
      <c r="F1903" s="8">
        <v>22000</v>
      </c>
      <c r="G1903" s="8">
        <f t="shared" si="116"/>
        <v>5875</v>
      </c>
      <c r="H1903" s="6">
        <v>25000</v>
      </c>
      <c r="I1903" t="s">
        <v>69</v>
      </c>
      <c r="J1903" t="s">
        <v>72</v>
      </c>
      <c r="K1903" t="s">
        <v>36</v>
      </c>
      <c r="L1903" t="s">
        <v>48</v>
      </c>
      <c r="M1903" t="s">
        <v>45</v>
      </c>
      <c r="N1903" s="6">
        <v>0</v>
      </c>
      <c r="O1903" t="str">
        <f t="shared" si="117"/>
        <v>Normal</v>
      </c>
      <c r="P1903" t="str">
        <f t="shared" si="118"/>
        <v>Duplicate ID</v>
      </c>
      <c r="Q1903" t="str">
        <f t="shared" si="119"/>
        <v>15,000-19,999</v>
      </c>
      <c r="R1903" s="6">
        <f>IF(COUNTIF($A$2:A1903,A1903)=1,1,0)</f>
        <v>0</v>
      </c>
    </row>
    <row r="1904" spans="1:18" x14ac:dyDescent="0.25">
      <c r="A1904" s="6">
        <v>1588</v>
      </c>
      <c r="B1904" s="7">
        <v>44229</v>
      </c>
      <c r="C1904" t="s">
        <v>40</v>
      </c>
      <c r="D1904" s="6">
        <v>2017</v>
      </c>
      <c r="E1904" s="8">
        <v>6390</v>
      </c>
      <c r="F1904" s="8">
        <v>12000</v>
      </c>
      <c r="G1904" s="8">
        <f t="shared" si="116"/>
        <v>5610</v>
      </c>
      <c r="H1904" s="6">
        <v>80000</v>
      </c>
      <c r="I1904" t="s">
        <v>69</v>
      </c>
      <c r="J1904" t="s">
        <v>72</v>
      </c>
      <c r="K1904" t="s">
        <v>96</v>
      </c>
      <c r="L1904" t="s">
        <v>73</v>
      </c>
      <c r="M1904" t="s">
        <v>45</v>
      </c>
      <c r="N1904" s="6">
        <v>2</v>
      </c>
      <c r="O1904" t="str">
        <f t="shared" si="117"/>
        <v>Normal</v>
      </c>
      <c r="P1904" t="str">
        <f t="shared" si="118"/>
        <v>Duplicate ID</v>
      </c>
      <c r="Q1904" t="str">
        <f t="shared" si="119"/>
        <v>5,000-9,999</v>
      </c>
      <c r="R1904" s="6">
        <f>IF(COUNTIF($A$2:A1904,A1904)=1,1,0)</f>
        <v>0</v>
      </c>
    </row>
    <row r="1905" spans="1:18" x14ac:dyDescent="0.25">
      <c r="A1905" s="6">
        <v>1325</v>
      </c>
      <c r="B1905" s="7">
        <v>44862</v>
      </c>
      <c r="C1905" t="s">
        <v>32</v>
      </c>
      <c r="D1905" s="6">
        <v>2021</v>
      </c>
      <c r="E1905" s="8">
        <v>24220</v>
      </c>
      <c r="F1905" s="8">
        <v>31000</v>
      </c>
      <c r="G1905" s="8">
        <f t="shared" si="116"/>
        <v>6780</v>
      </c>
      <c r="H1905" s="6">
        <v>25000</v>
      </c>
      <c r="I1905" t="s">
        <v>69</v>
      </c>
      <c r="J1905" t="s">
        <v>35</v>
      </c>
      <c r="K1905" t="s">
        <v>36</v>
      </c>
      <c r="L1905" t="s">
        <v>73</v>
      </c>
      <c r="M1905" t="s">
        <v>98</v>
      </c>
      <c r="N1905" s="6" t="s">
        <v>1647</v>
      </c>
      <c r="O1905" t="str">
        <f t="shared" si="117"/>
        <v>Normal</v>
      </c>
      <c r="P1905" t="str">
        <f t="shared" si="118"/>
        <v>Duplicate ID</v>
      </c>
      <c r="Q1905" t="str">
        <f t="shared" si="119"/>
        <v>20,000-24,999</v>
      </c>
      <c r="R1905" s="6">
        <f>IF(COUNTIF($A$2:A1905,A1905)=1,1,0)</f>
        <v>0</v>
      </c>
    </row>
    <row r="1906" spans="1:18" x14ac:dyDescent="0.25">
      <c r="A1906" s="6">
        <v>1443</v>
      </c>
      <c r="B1906" s="7">
        <v>44322</v>
      </c>
      <c r="C1906" t="s">
        <v>1648</v>
      </c>
      <c r="D1906" s="6"/>
      <c r="E1906" s="8">
        <v>5222</v>
      </c>
      <c r="F1906" s="8">
        <v>12000</v>
      </c>
      <c r="G1906" s="8">
        <f t="shared" si="116"/>
        <v>6778</v>
      </c>
      <c r="H1906" s="6">
        <v>120000</v>
      </c>
      <c r="I1906" t="s">
        <v>58</v>
      </c>
      <c r="J1906" t="s">
        <v>1647</v>
      </c>
      <c r="K1906" t="s">
        <v>36</v>
      </c>
      <c r="L1906" t="s">
        <v>54</v>
      </c>
      <c r="M1906" t="s">
        <v>90</v>
      </c>
      <c r="N1906" s="6" t="s">
        <v>1647</v>
      </c>
      <c r="O1906" t="str">
        <f t="shared" si="117"/>
        <v>Normal</v>
      </c>
      <c r="P1906" t="str">
        <f t="shared" si="118"/>
        <v>Duplicate ID</v>
      </c>
      <c r="Q1906" t="str">
        <f t="shared" si="119"/>
        <v>5,000-9,999</v>
      </c>
      <c r="R1906" s="6">
        <f>IF(COUNTIF($A$2:A1906,A1906)=1,1,0)</f>
        <v>0</v>
      </c>
    </row>
    <row r="1907" spans="1:18" x14ac:dyDescent="0.25">
      <c r="A1907" s="6">
        <v>1187</v>
      </c>
      <c r="B1907" s="7">
        <v>44631</v>
      </c>
      <c r="C1907" t="s">
        <v>79</v>
      </c>
      <c r="D1907" s="6"/>
      <c r="E1907" s="8">
        <v>3383</v>
      </c>
      <c r="F1907" s="8">
        <v>7000</v>
      </c>
      <c r="G1907" s="8">
        <f t="shared" si="116"/>
        <v>3617</v>
      </c>
      <c r="H1907" s="6">
        <v>40000</v>
      </c>
      <c r="I1907" t="s">
        <v>1647</v>
      </c>
      <c r="J1907" t="s">
        <v>1647</v>
      </c>
      <c r="K1907" t="s">
        <v>36</v>
      </c>
      <c r="L1907" t="s">
        <v>54</v>
      </c>
      <c r="M1907" t="s">
        <v>98</v>
      </c>
      <c r="N1907" s="6">
        <v>1</v>
      </c>
      <c r="O1907" t="str">
        <f t="shared" si="117"/>
        <v>Normal</v>
      </c>
      <c r="P1907" t="str">
        <f t="shared" si="118"/>
        <v>Duplicate ID</v>
      </c>
      <c r="Q1907" t="str">
        <f t="shared" si="119"/>
        <v>0-4,999</v>
      </c>
      <c r="R1907" s="6">
        <f>IF(COUNTIF($A$2:A1907,A1907)=1,1,0)</f>
        <v>0</v>
      </c>
    </row>
    <row r="1908" spans="1:18" x14ac:dyDescent="0.25">
      <c r="A1908" s="6">
        <v>1492</v>
      </c>
      <c r="B1908" s="7">
        <v>44237</v>
      </c>
      <c r="C1908" t="s">
        <v>119</v>
      </c>
      <c r="D1908" s="6">
        <v>2022</v>
      </c>
      <c r="E1908" s="8">
        <v>5983</v>
      </c>
      <c r="F1908" s="8">
        <v>9000</v>
      </c>
      <c r="G1908" s="8">
        <f t="shared" si="116"/>
        <v>3017</v>
      </c>
      <c r="H1908" s="6">
        <v>25000</v>
      </c>
      <c r="I1908" t="s">
        <v>58</v>
      </c>
      <c r="J1908" t="s">
        <v>35</v>
      </c>
      <c r="K1908" t="s">
        <v>36</v>
      </c>
      <c r="L1908" t="s">
        <v>100</v>
      </c>
      <c r="M1908" t="s">
        <v>98</v>
      </c>
      <c r="N1908" s="6">
        <v>2</v>
      </c>
      <c r="O1908" t="str">
        <f t="shared" si="117"/>
        <v>Normal</v>
      </c>
      <c r="P1908" t="str">
        <f t="shared" si="118"/>
        <v>Duplicate ID</v>
      </c>
      <c r="Q1908" t="str">
        <f t="shared" si="119"/>
        <v>5,000-9,999</v>
      </c>
      <c r="R1908" s="6">
        <f>IF(COUNTIF($A$2:A1908,A1908)=1,1,0)</f>
        <v>0</v>
      </c>
    </row>
    <row r="1909" spans="1:18" x14ac:dyDescent="0.25">
      <c r="A1909" s="6">
        <v>1022</v>
      </c>
      <c r="B1909" s="7">
        <v>44716</v>
      </c>
      <c r="C1909" t="s">
        <v>32</v>
      </c>
      <c r="D1909" s="6">
        <v>2016</v>
      </c>
      <c r="E1909" s="8">
        <v>7104</v>
      </c>
      <c r="F1909" s="8">
        <v>12000</v>
      </c>
      <c r="G1909" s="8">
        <f t="shared" si="116"/>
        <v>4896</v>
      </c>
      <c r="H1909" s="6">
        <v>40000</v>
      </c>
      <c r="I1909" t="s">
        <v>1647</v>
      </c>
      <c r="J1909" t="s">
        <v>35</v>
      </c>
      <c r="K1909" t="s">
        <v>36</v>
      </c>
      <c r="L1909" t="s">
        <v>100</v>
      </c>
      <c r="M1909" t="s">
        <v>90</v>
      </c>
      <c r="N1909" s="6">
        <v>2</v>
      </c>
      <c r="O1909" t="str">
        <f t="shared" si="117"/>
        <v>Normal</v>
      </c>
      <c r="P1909" t="str">
        <f t="shared" si="118"/>
        <v>Duplicate ID</v>
      </c>
      <c r="Q1909" t="str">
        <f t="shared" si="119"/>
        <v>5,000-9,999</v>
      </c>
      <c r="R1909" s="6">
        <f>IF(COUNTIF($A$2:A1909,A1909)=1,1,0)</f>
        <v>0</v>
      </c>
    </row>
    <row r="1910" spans="1:18" x14ac:dyDescent="0.25">
      <c r="A1910" s="6">
        <v>1254</v>
      </c>
      <c r="B1910" s="7">
        <v>44454</v>
      </c>
      <c r="C1910" t="s">
        <v>40</v>
      </c>
      <c r="D1910" s="6">
        <v>2019</v>
      </c>
      <c r="E1910" s="8">
        <v>7606</v>
      </c>
      <c r="F1910" s="8">
        <v>9000</v>
      </c>
      <c r="G1910" s="8">
        <f t="shared" si="116"/>
        <v>1394</v>
      </c>
      <c r="H1910" s="6">
        <v>60000</v>
      </c>
      <c r="I1910" t="s">
        <v>1647</v>
      </c>
      <c r="J1910" t="s">
        <v>35</v>
      </c>
      <c r="K1910" t="s">
        <v>96</v>
      </c>
      <c r="L1910" t="s">
        <v>54</v>
      </c>
      <c r="M1910" t="s">
        <v>45</v>
      </c>
      <c r="N1910" s="6" t="s">
        <v>1647</v>
      </c>
      <c r="O1910" t="str">
        <f t="shared" si="117"/>
        <v>Normal</v>
      </c>
      <c r="P1910" t="str">
        <f t="shared" si="118"/>
        <v>Duplicate ID</v>
      </c>
      <c r="Q1910" t="str">
        <f t="shared" si="119"/>
        <v>5,000-9,999</v>
      </c>
      <c r="R1910" s="6">
        <f>IF(COUNTIF($A$2:A1910,A1910)=1,1,0)</f>
        <v>0</v>
      </c>
    </row>
    <row r="1911" spans="1:18" x14ac:dyDescent="0.25">
      <c r="A1911" s="6">
        <v>1279</v>
      </c>
      <c r="B1911" s="7">
        <v>44304</v>
      </c>
      <c r="C1911" t="s">
        <v>1648</v>
      </c>
      <c r="D1911" s="6">
        <v>2014</v>
      </c>
      <c r="E1911" s="8">
        <v>11280</v>
      </c>
      <c r="F1911" s="8">
        <v>18000</v>
      </c>
      <c r="G1911" s="8">
        <f t="shared" si="116"/>
        <v>6720</v>
      </c>
      <c r="H1911" s="6">
        <v>120000</v>
      </c>
      <c r="I1911" t="s">
        <v>69</v>
      </c>
      <c r="J1911" t="s">
        <v>72</v>
      </c>
      <c r="K1911" t="s">
        <v>96</v>
      </c>
      <c r="L1911" t="s">
        <v>54</v>
      </c>
      <c r="M1911" t="s">
        <v>126</v>
      </c>
      <c r="N1911" s="6">
        <v>0</v>
      </c>
      <c r="O1911" t="str">
        <f t="shared" si="117"/>
        <v>Normal</v>
      </c>
      <c r="P1911" t="str">
        <f t="shared" si="118"/>
        <v>Duplicate ID</v>
      </c>
      <c r="Q1911" t="str">
        <f t="shared" si="119"/>
        <v>10,000-14,999</v>
      </c>
      <c r="R1911" s="6">
        <f>IF(COUNTIF($A$2:A1911,A1911)=1,1,0)</f>
        <v>0</v>
      </c>
    </row>
    <row r="1912" spans="1:18" x14ac:dyDescent="0.25">
      <c r="A1912" s="6">
        <v>1238</v>
      </c>
      <c r="B1912" s="7">
        <v>44853</v>
      </c>
      <c r="C1912" t="s">
        <v>57</v>
      </c>
      <c r="D1912" s="6">
        <v>2019</v>
      </c>
      <c r="E1912" s="8">
        <v>19922</v>
      </c>
      <c r="F1912" s="8">
        <v>22000</v>
      </c>
      <c r="G1912" s="8">
        <f t="shared" si="116"/>
        <v>2078</v>
      </c>
      <c r="H1912" s="6">
        <v>15000</v>
      </c>
      <c r="I1912" t="s">
        <v>41</v>
      </c>
      <c r="J1912" t="s">
        <v>1647</v>
      </c>
      <c r="K1912" t="s">
        <v>36</v>
      </c>
      <c r="L1912" t="s">
        <v>100</v>
      </c>
      <c r="M1912" t="s">
        <v>45</v>
      </c>
      <c r="N1912" s="6">
        <v>0</v>
      </c>
      <c r="O1912" t="str">
        <f t="shared" si="117"/>
        <v>Normal</v>
      </c>
      <c r="P1912" t="str">
        <f t="shared" si="118"/>
        <v>Duplicate ID</v>
      </c>
      <c r="Q1912" t="str">
        <f t="shared" si="119"/>
        <v>15,000-19,999</v>
      </c>
      <c r="R1912" s="6">
        <f>IF(COUNTIF($A$2:A1912,A1912)=1,1,0)</f>
        <v>0</v>
      </c>
    </row>
    <row r="1913" spans="1:18" x14ac:dyDescent="0.25">
      <c r="A1913" s="6">
        <v>1481</v>
      </c>
      <c r="B1913" s="7">
        <v>44337</v>
      </c>
      <c r="C1913" t="s">
        <v>79</v>
      </c>
      <c r="D1913" s="6">
        <v>2017</v>
      </c>
      <c r="E1913" s="8">
        <v>14920</v>
      </c>
      <c r="F1913" s="8">
        <v>18000</v>
      </c>
      <c r="G1913" s="8">
        <f t="shared" si="116"/>
        <v>3080</v>
      </c>
      <c r="H1913" s="6">
        <v>80000</v>
      </c>
      <c r="I1913" t="s">
        <v>69</v>
      </c>
      <c r="J1913" t="s">
        <v>72</v>
      </c>
      <c r="K1913" t="s">
        <v>96</v>
      </c>
      <c r="L1913" t="s">
        <v>73</v>
      </c>
      <c r="M1913" t="s">
        <v>98</v>
      </c>
      <c r="N1913" s="6">
        <v>3</v>
      </c>
      <c r="O1913" t="str">
        <f t="shared" si="117"/>
        <v>Normal</v>
      </c>
      <c r="P1913" t="str">
        <f t="shared" si="118"/>
        <v>Duplicate ID</v>
      </c>
      <c r="Q1913" t="str">
        <f t="shared" si="119"/>
        <v>10,000-14,999</v>
      </c>
      <c r="R1913" s="6">
        <f>IF(COUNTIF($A$2:A1913,A1913)=1,1,0)</f>
        <v>0</v>
      </c>
    </row>
    <row r="1914" spans="1:18" x14ac:dyDescent="0.25">
      <c r="A1914" s="6">
        <v>1017</v>
      </c>
      <c r="B1914" s="7">
        <v>44700</v>
      </c>
      <c r="C1914" t="s">
        <v>119</v>
      </c>
      <c r="D1914" s="6">
        <v>2016</v>
      </c>
      <c r="E1914" s="8">
        <v>7645</v>
      </c>
      <c r="F1914" s="8">
        <v>12000</v>
      </c>
      <c r="G1914" s="8">
        <f t="shared" si="116"/>
        <v>4355</v>
      </c>
      <c r="H1914" s="6">
        <v>40000</v>
      </c>
      <c r="I1914" t="s">
        <v>58</v>
      </c>
      <c r="J1914" t="s">
        <v>35</v>
      </c>
      <c r="K1914" t="s">
        <v>1647</v>
      </c>
      <c r="L1914" t="s">
        <v>54</v>
      </c>
      <c r="M1914" t="s">
        <v>98</v>
      </c>
      <c r="N1914" s="6">
        <v>1</v>
      </c>
      <c r="O1914" t="str">
        <f t="shared" si="117"/>
        <v>Normal</v>
      </c>
      <c r="P1914" t="str">
        <f t="shared" si="118"/>
        <v>Duplicate ID</v>
      </c>
      <c r="Q1914" t="str">
        <f t="shared" si="119"/>
        <v>5,000-9,999</v>
      </c>
      <c r="R1914" s="6">
        <f>IF(COUNTIF($A$2:A1914,A1914)=1,1,0)</f>
        <v>0</v>
      </c>
    </row>
    <row r="1915" spans="1:18" x14ac:dyDescent="0.25">
      <c r="A1915" s="6">
        <v>1074</v>
      </c>
      <c r="B1915" s="7">
        <v>45089</v>
      </c>
      <c r="C1915" t="s">
        <v>51</v>
      </c>
      <c r="D1915" s="6">
        <v>2016</v>
      </c>
      <c r="E1915" s="8">
        <v>2247</v>
      </c>
      <c r="F1915" s="8">
        <v>7000</v>
      </c>
      <c r="G1915" s="8">
        <f t="shared" si="116"/>
        <v>4753</v>
      </c>
      <c r="H1915" s="6">
        <v>15000</v>
      </c>
      <c r="I1915" t="s">
        <v>34</v>
      </c>
      <c r="J1915" t="s">
        <v>1647</v>
      </c>
      <c r="K1915" t="s">
        <v>96</v>
      </c>
      <c r="L1915" t="s">
        <v>48</v>
      </c>
      <c r="M1915" t="s">
        <v>98</v>
      </c>
      <c r="N1915" s="6">
        <v>3</v>
      </c>
      <c r="O1915" t="str">
        <f t="shared" si="117"/>
        <v>Normal</v>
      </c>
      <c r="P1915" t="str">
        <f t="shared" si="118"/>
        <v>Duplicate ID</v>
      </c>
      <c r="Q1915" t="str">
        <f t="shared" si="119"/>
        <v>0-4,999</v>
      </c>
      <c r="R1915" s="6">
        <f>IF(COUNTIF($A$2:A1915,A1915)=1,1,0)</f>
        <v>0</v>
      </c>
    </row>
    <row r="1916" spans="1:18" x14ac:dyDescent="0.25">
      <c r="A1916" s="6">
        <v>1024</v>
      </c>
      <c r="B1916" s="7">
        <v>45062</v>
      </c>
      <c r="C1916" t="s">
        <v>40</v>
      </c>
      <c r="D1916" s="6">
        <v>2018</v>
      </c>
      <c r="E1916" s="8">
        <v>12233</v>
      </c>
      <c r="F1916" s="8">
        <v>15000</v>
      </c>
      <c r="G1916" s="8">
        <f t="shared" si="116"/>
        <v>2767</v>
      </c>
      <c r="H1916" s="6">
        <v>120000</v>
      </c>
      <c r="I1916" t="s">
        <v>41</v>
      </c>
      <c r="J1916" t="s">
        <v>35</v>
      </c>
      <c r="K1916" t="s">
        <v>36</v>
      </c>
      <c r="L1916" t="s">
        <v>73</v>
      </c>
      <c r="M1916" t="s">
        <v>45</v>
      </c>
      <c r="N1916" s="6">
        <v>3</v>
      </c>
      <c r="O1916" t="str">
        <f t="shared" si="117"/>
        <v>Normal</v>
      </c>
      <c r="P1916" t="str">
        <f t="shared" si="118"/>
        <v>Duplicate ID</v>
      </c>
      <c r="Q1916" t="str">
        <f t="shared" si="119"/>
        <v>10,000-14,999</v>
      </c>
      <c r="R1916" s="6">
        <f>IF(COUNTIF($A$2:A1916,A1916)=1,1,0)</f>
        <v>0</v>
      </c>
    </row>
    <row r="1917" spans="1:18" x14ac:dyDescent="0.25">
      <c r="A1917" s="6">
        <v>1525</v>
      </c>
      <c r="B1917" s="7">
        <v>45191</v>
      </c>
      <c r="C1917" t="s">
        <v>32</v>
      </c>
      <c r="D1917" s="6">
        <v>2014</v>
      </c>
      <c r="E1917" s="8">
        <v>12782</v>
      </c>
      <c r="F1917" s="8">
        <v>15000</v>
      </c>
      <c r="G1917" s="8">
        <f t="shared" si="116"/>
        <v>2218</v>
      </c>
      <c r="H1917" s="6">
        <v>80000</v>
      </c>
      <c r="I1917" t="s">
        <v>58</v>
      </c>
      <c r="J1917" t="s">
        <v>35</v>
      </c>
      <c r="K1917" t="s">
        <v>96</v>
      </c>
      <c r="L1917" t="s">
        <v>48</v>
      </c>
      <c r="M1917" t="s">
        <v>126</v>
      </c>
      <c r="N1917" s="6">
        <v>3</v>
      </c>
      <c r="O1917" t="str">
        <f t="shared" si="117"/>
        <v>Normal</v>
      </c>
      <c r="P1917" t="str">
        <f t="shared" si="118"/>
        <v>Duplicate ID</v>
      </c>
      <c r="Q1917" t="str">
        <f t="shared" si="119"/>
        <v>10,000-14,999</v>
      </c>
      <c r="R1917" s="6">
        <f>IF(COUNTIF($A$2:A1917,A1917)=1,1,0)</f>
        <v>0</v>
      </c>
    </row>
    <row r="1918" spans="1:18" x14ac:dyDescent="0.25">
      <c r="A1918" s="6">
        <v>1548</v>
      </c>
      <c r="B1918" s="7">
        <v>45165</v>
      </c>
      <c r="C1918" t="s">
        <v>119</v>
      </c>
      <c r="D1918" s="6">
        <v>2022</v>
      </c>
      <c r="E1918" s="8">
        <v>3837</v>
      </c>
      <c r="F1918" s="8">
        <v>9000</v>
      </c>
      <c r="G1918" s="8">
        <f t="shared" si="116"/>
        <v>5163</v>
      </c>
      <c r="H1918" s="6">
        <v>60000</v>
      </c>
      <c r="I1918" t="s">
        <v>69</v>
      </c>
      <c r="J1918" t="s">
        <v>72</v>
      </c>
      <c r="K1918" t="s">
        <v>1647</v>
      </c>
      <c r="L1918" t="s">
        <v>73</v>
      </c>
      <c r="M1918" t="s">
        <v>45</v>
      </c>
      <c r="N1918" s="6">
        <v>0</v>
      </c>
      <c r="O1918" t="str">
        <f t="shared" si="117"/>
        <v>Normal</v>
      </c>
      <c r="P1918" t="str">
        <f t="shared" si="118"/>
        <v>Duplicate ID</v>
      </c>
      <c r="Q1918" t="str">
        <f t="shared" si="119"/>
        <v>0-4,999</v>
      </c>
      <c r="R1918" s="6">
        <f>IF(COUNTIF($A$2:A1918,A1918)=1,1,0)</f>
        <v>0</v>
      </c>
    </row>
    <row r="1919" spans="1:18" x14ac:dyDescent="0.25">
      <c r="A1919" s="6">
        <v>1389</v>
      </c>
      <c r="B1919" s="7">
        <v>44525</v>
      </c>
      <c r="C1919" t="s">
        <v>79</v>
      </c>
      <c r="D1919" s="6">
        <v>2019</v>
      </c>
      <c r="E1919" s="8">
        <v>20607</v>
      </c>
      <c r="F1919" s="8">
        <v>26000</v>
      </c>
      <c r="G1919" s="8">
        <f t="shared" si="116"/>
        <v>5393</v>
      </c>
      <c r="H1919" s="6">
        <v>80000</v>
      </c>
      <c r="I1919" t="s">
        <v>58</v>
      </c>
      <c r="J1919" t="s">
        <v>72</v>
      </c>
      <c r="K1919" t="s">
        <v>36</v>
      </c>
      <c r="L1919" t="s">
        <v>73</v>
      </c>
      <c r="M1919" t="s">
        <v>1647</v>
      </c>
      <c r="N1919" s="6">
        <v>0</v>
      </c>
      <c r="O1919" t="str">
        <f t="shared" si="117"/>
        <v>Normal</v>
      </c>
      <c r="P1919" t="str">
        <f t="shared" si="118"/>
        <v>Duplicate ID</v>
      </c>
      <c r="Q1919" t="str">
        <f t="shared" si="119"/>
        <v>20,000-24,999</v>
      </c>
      <c r="R1919" s="6">
        <f>IF(COUNTIF($A$2:A1919,A1919)=1,1,0)</f>
        <v>0</v>
      </c>
    </row>
    <row r="1920" spans="1:18" x14ac:dyDescent="0.25">
      <c r="A1920" s="6">
        <v>1215</v>
      </c>
      <c r="B1920" s="7">
        <v>45135</v>
      </c>
      <c r="C1920" t="s">
        <v>51</v>
      </c>
      <c r="D1920" s="6">
        <v>2021</v>
      </c>
      <c r="E1920" s="8">
        <v>9418</v>
      </c>
      <c r="F1920" s="8">
        <v>12000</v>
      </c>
      <c r="G1920" s="8">
        <f t="shared" si="116"/>
        <v>2582</v>
      </c>
      <c r="H1920" s="6">
        <v>120000</v>
      </c>
      <c r="I1920" t="s">
        <v>58</v>
      </c>
      <c r="J1920" t="s">
        <v>35</v>
      </c>
      <c r="K1920" t="s">
        <v>1647</v>
      </c>
      <c r="L1920" t="s">
        <v>100</v>
      </c>
      <c r="M1920" t="s">
        <v>126</v>
      </c>
      <c r="N1920" s="6">
        <v>3</v>
      </c>
      <c r="O1920" t="str">
        <f t="shared" si="117"/>
        <v>Normal</v>
      </c>
      <c r="P1920" t="str">
        <f t="shared" si="118"/>
        <v>Duplicate ID</v>
      </c>
      <c r="Q1920" t="str">
        <f t="shared" si="119"/>
        <v>5,000-9,999</v>
      </c>
      <c r="R1920" s="6">
        <f>IF(COUNTIF($A$2:A1920,A1920)=1,1,0)</f>
        <v>0</v>
      </c>
    </row>
    <row r="1921" spans="1:18" x14ac:dyDescent="0.25">
      <c r="A1921" s="6">
        <v>1354</v>
      </c>
      <c r="B1921" s="7">
        <v>44719</v>
      </c>
      <c r="C1921" t="s">
        <v>1648</v>
      </c>
      <c r="D1921" s="6">
        <v>2022</v>
      </c>
      <c r="E1921" s="8">
        <v>15745</v>
      </c>
      <c r="F1921" s="8">
        <v>22000</v>
      </c>
      <c r="G1921" s="8">
        <f t="shared" si="116"/>
        <v>6255</v>
      </c>
      <c r="H1921" s="6">
        <v>15000</v>
      </c>
      <c r="I1921" t="s">
        <v>1647</v>
      </c>
      <c r="J1921" t="s">
        <v>35</v>
      </c>
      <c r="K1921" t="s">
        <v>96</v>
      </c>
      <c r="L1921" t="s">
        <v>48</v>
      </c>
      <c r="M1921" t="s">
        <v>98</v>
      </c>
      <c r="N1921" s="6">
        <v>2</v>
      </c>
      <c r="O1921" t="str">
        <f t="shared" si="117"/>
        <v>Normal</v>
      </c>
      <c r="P1921" t="str">
        <f t="shared" si="118"/>
        <v>Duplicate ID</v>
      </c>
      <c r="Q1921" t="str">
        <f t="shared" si="119"/>
        <v>15,000-19,999</v>
      </c>
      <c r="R1921" s="6">
        <f>IF(COUNTIF($A$2:A1921,A1921)=1,1,0)</f>
        <v>0</v>
      </c>
    </row>
    <row r="1922" spans="1:18" x14ac:dyDescent="0.25">
      <c r="A1922" s="6">
        <v>1460</v>
      </c>
      <c r="B1922" s="7">
        <v>45052</v>
      </c>
      <c r="C1922" t="s">
        <v>40</v>
      </c>
      <c r="D1922" s="6">
        <v>2020</v>
      </c>
      <c r="E1922" s="8">
        <v>20781</v>
      </c>
      <c r="F1922" s="8">
        <v>26000</v>
      </c>
      <c r="G1922" s="8">
        <f t="shared" ref="G1922:G1985" si="120">IF(OR(F1922="",E1922=""),"",F1922-E1922)</f>
        <v>5219</v>
      </c>
      <c r="H1922" s="6">
        <v>80000</v>
      </c>
      <c r="I1922" t="s">
        <v>1647</v>
      </c>
      <c r="J1922" t="s">
        <v>35</v>
      </c>
      <c r="K1922" t="s">
        <v>36</v>
      </c>
      <c r="L1922" t="s">
        <v>48</v>
      </c>
      <c r="M1922" t="s">
        <v>45</v>
      </c>
      <c r="N1922" s="6">
        <v>2</v>
      </c>
      <c r="O1922" t="str">
        <f t="shared" ref="O1922:O1985" si="121">IF(E1922&lt;1000,"Outlier","Normal")</f>
        <v>Normal</v>
      </c>
      <c r="P1922" t="str">
        <f t="shared" ref="P1922:P1985" si="122">IF(COUNTIF($A$2:$A$2501,A1922)&gt;1,"Duplicate ID","Unique ID")</f>
        <v>Duplicate ID</v>
      </c>
      <c r="Q1922" t="str">
        <f t="shared" ref="Q1922:Q1985" si="123">IF(E1922&lt;5000,"0-4,999",IF(E1922&lt;10000,"5,000-9,999",IF(E1922&lt;15000,"10,000-14,999",IF(E1922&lt;20000,"15,000-19,999",IF(E1922&lt;25000,"20,000-24,999","25,000-30,000")))))</f>
        <v>20,000-24,999</v>
      </c>
      <c r="R1922" s="6">
        <f>IF(COUNTIF($A$2:A1922,A1922)=1,1,0)</f>
        <v>0</v>
      </c>
    </row>
    <row r="1923" spans="1:18" x14ac:dyDescent="0.25">
      <c r="A1923" s="6">
        <v>1411</v>
      </c>
      <c r="B1923" s="7">
        <v>44945</v>
      </c>
      <c r="C1923" t="s">
        <v>1648</v>
      </c>
      <c r="D1923" s="6">
        <v>2014</v>
      </c>
      <c r="E1923" s="8">
        <v>16023</v>
      </c>
      <c r="F1923" s="8">
        <v>22000</v>
      </c>
      <c r="G1923" s="8">
        <f t="shared" si="120"/>
        <v>5977</v>
      </c>
      <c r="H1923" s="6">
        <v>120000</v>
      </c>
      <c r="I1923" t="s">
        <v>41</v>
      </c>
      <c r="J1923" t="s">
        <v>1647</v>
      </c>
      <c r="K1923" t="s">
        <v>36</v>
      </c>
      <c r="L1923" t="s">
        <v>48</v>
      </c>
      <c r="M1923" t="s">
        <v>90</v>
      </c>
      <c r="N1923" s="6" t="s">
        <v>1647</v>
      </c>
      <c r="O1923" t="str">
        <f t="shared" si="121"/>
        <v>Normal</v>
      </c>
      <c r="P1923" t="str">
        <f t="shared" si="122"/>
        <v>Duplicate ID</v>
      </c>
      <c r="Q1923" t="str">
        <f t="shared" si="123"/>
        <v>15,000-19,999</v>
      </c>
      <c r="R1923" s="6">
        <f>IF(COUNTIF($A$2:A1923,A1923)=1,1,0)</f>
        <v>0</v>
      </c>
    </row>
    <row r="1924" spans="1:18" x14ac:dyDescent="0.25">
      <c r="A1924" s="6">
        <v>1354</v>
      </c>
      <c r="B1924" s="7">
        <v>45280</v>
      </c>
      <c r="C1924" t="s">
        <v>32</v>
      </c>
      <c r="D1924" s="6">
        <v>2014</v>
      </c>
      <c r="E1924" s="8">
        <v>3137</v>
      </c>
      <c r="F1924" s="8">
        <v>7000</v>
      </c>
      <c r="G1924" s="8">
        <f t="shared" si="120"/>
        <v>3863</v>
      </c>
      <c r="H1924" s="6">
        <v>25000</v>
      </c>
      <c r="I1924" t="s">
        <v>1647</v>
      </c>
      <c r="J1924" t="s">
        <v>72</v>
      </c>
      <c r="K1924" t="s">
        <v>96</v>
      </c>
      <c r="L1924" t="s">
        <v>100</v>
      </c>
      <c r="M1924" t="s">
        <v>126</v>
      </c>
      <c r="N1924" s="6">
        <v>1</v>
      </c>
      <c r="O1924" t="str">
        <f t="shared" si="121"/>
        <v>Normal</v>
      </c>
      <c r="P1924" t="str">
        <f t="shared" si="122"/>
        <v>Duplicate ID</v>
      </c>
      <c r="Q1924" t="str">
        <f t="shared" si="123"/>
        <v>0-4,999</v>
      </c>
      <c r="R1924" s="6">
        <f>IF(COUNTIF($A$2:A1924,A1924)=1,1,0)</f>
        <v>0</v>
      </c>
    </row>
    <row r="1925" spans="1:18" x14ac:dyDescent="0.25">
      <c r="A1925" s="6">
        <v>1110</v>
      </c>
      <c r="B1925" s="7">
        <v>45182</v>
      </c>
      <c r="C1925" t="s">
        <v>32</v>
      </c>
      <c r="D1925" s="6">
        <v>2020</v>
      </c>
      <c r="E1925" s="8">
        <v>25436</v>
      </c>
      <c r="F1925" s="8">
        <v>31000</v>
      </c>
      <c r="G1925" s="8">
        <f t="shared" si="120"/>
        <v>5564</v>
      </c>
      <c r="H1925" s="6">
        <v>120000</v>
      </c>
      <c r="I1925" t="s">
        <v>69</v>
      </c>
      <c r="J1925" t="s">
        <v>72</v>
      </c>
      <c r="K1925" t="s">
        <v>1647</v>
      </c>
      <c r="L1925" t="s">
        <v>48</v>
      </c>
      <c r="M1925" t="s">
        <v>90</v>
      </c>
      <c r="N1925" s="6">
        <v>0</v>
      </c>
      <c r="O1925" t="str">
        <f t="shared" si="121"/>
        <v>Normal</v>
      </c>
      <c r="P1925" t="str">
        <f t="shared" si="122"/>
        <v>Duplicate ID</v>
      </c>
      <c r="Q1925" t="str">
        <f t="shared" si="123"/>
        <v>25,000-30,000</v>
      </c>
      <c r="R1925" s="6">
        <f>IF(COUNTIF($A$2:A1925,A1925)=1,1,0)</f>
        <v>0</v>
      </c>
    </row>
    <row r="1926" spans="1:18" x14ac:dyDescent="0.25">
      <c r="A1926" s="6">
        <v>1383</v>
      </c>
      <c r="B1926" s="7">
        <v>44480</v>
      </c>
      <c r="C1926" t="s">
        <v>32</v>
      </c>
      <c r="D1926" s="6">
        <v>2016</v>
      </c>
      <c r="E1926" s="8">
        <v>16529</v>
      </c>
      <c r="F1926" s="8">
        <v>18000</v>
      </c>
      <c r="G1926" s="8">
        <f t="shared" si="120"/>
        <v>1471</v>
      </c>
      <c r="H1926" s="6">
        <v>120000</v>
      </c>
      <c r="I1926" t="s">
        <v>41</v>
      </c>
      <c r="J1926" t="s">
        <v>72</v>
      </c>
      <c r="K1926" t="s">
        <v>96</v>
      </c>
      <c r="L1926" t="s">
        <v>73</v>
      </c>
      <c r="M1926" t="s">
        <v>1647</v>
      </c>
      <c r="N1926" s="6">
        <v>0</v>
      </c>
      <c r="O1926" t="str">
        <f t="shared" si="121"/>
        <v>Normal</v>
      </c>
      <c r="P1926" t="str">
        <f t="shared" si="122"/>
        <v>Duplicate ID</v>
      </c>
      <c r="Q1926" t="str">
        <f t="shared" si="123"/>
        <v>15,000-19,999</v>
      </c>
      <c r="R1926" s="6">
        <f>IF(COUNTIF($A$2:A1926,A1926)=1,1,0)</f>
        <v>0</v>
      </c>
    </row>
    <row r="1927" spans="1:18" x14ac:dyDescent="0.25">
      <c r="A1927" s="6">
        <v>1242</v>
      </c>
      <c r="B1927" s="7">
        <v>45135</v>
      </c>
      <c r="C1927" t="s">
        <v>57</v>
      </c>
      <c r="D1927" s="6"/>
      <c r="E1927" s="8">
        <v>24831</v>
      </c>
      <c r="F1927" s="8">
        <v>31000</v>
      </c>
      <c r="G1927" s="8">
        <f t="shared" si="120"/>
        <v>6169</v>
      </c>
      <c r="H1927" s="6">
        <v>60000</v>
      </c>
      <c r="I1927" t="s">
        <v>41</v>
      </c>
      <c r="J1927" t="s">
        <v>72</v>
      </c>
      <c r="K1927" t="s">
        <v>36</v>
      </c>
      <c r="L1927" t="s">
        <v>73</v>
      </c>
      <c r="M1927" t="s">
        <v>90</v>
      </c>
      <c r="N1927" s="6">
        <v>2</v>
      </c>
      <c r="O1927" t="str">
        <f t="shared" si="121"/>
        <v>Normal</v>
      </c>
      <c r="P1927" t="str">
        <f t="shared" si="122"/>
        <v>Duplicate ID</v>
      </c>
      <c r="Q1927" t="str">
        <f t="shared" si="123"/>
        <v>20,000-24,999</v>
      </c>
      <c r="R1927" s="6">
        <f>IF(COUNTIF($A$2:A1927,A1927)=1,1,0)</f>
        <v>0</v>
      </c>
    </row>
    <row r="1928" spans="1:18" x14ac:dyDescent="0.25">
      <c r="A1928" s="6">
        <v>1030</v>
      </c>
      <c r="B1928" s="7">
        <v>44253</v>
      </c>
      <c r="C1928" t="s">
        <v>119</v>
      </c>
      <c r="D1928" s="6">
        <v>2022</v>
      </c>
      <c r="E1928" s="8">
        <v>13514</v>
      </c>
      <c r="F1928" s="8">
        <v>15000</v>
      </c>
      <c r="G1928" s="8">
        <f t="shared" si="120"/>
        <v>1486</v>
      </c>
      <c r="H1928" s="6">
        <v>120000</v>
      </c>
      <c r="I1928" t="s">
        <v>69</v>
      </c>
      <c r="J1928" t="s">
        <v>1647</v>
      </c>
      <c r="K1928" t="s">
        <v>36</v>
      </c>
      <c r="L1928" t="s">
        <v>73</v>
      </c>
      <c r="M1928" t="s">
        <v>98</v>
      </c>
      <c r="N1928" s="6">
        <v>2</v>
      </c>
      <c r="O1928" t="str">
        <f t="shared" si="121"/>
        <v>Normal</v>
      </c>
      <c r="P1928" t="str">
        <f t="shared" si="122"/>
        <v>Duplicate ID</v>
      </c>
      <c r="Q1928" t="str">
        <f t="shared" si="123"/>
        <v>10,000-14,999</v>
      </c>
      <c r="R1928" s="6">
        <f>IF(COUNTIF($A$2:A1928,A1928)=1,1,0)</f>
        <v>0</v>
      </c>
    </row>
    <row r="1929" spans="1:18" x14ac:dyDescent="0.25">
      <c r="A1929" s="6">
        <v>1396</v>
      </c>
      <c r="B1929" s="7">
        <v>45043</v>
      </c>
      <c r="C1929" t="s">
        <v>32</v>
      </c>
      <c r="D1929" s="6">
        <v>2021</v>
      </c>
      <c r="E1929" s="8">
        <v>22777</v>
      </c>
      <c r="F1929" s="8">
        <v>26000</v>
      </c>
      <c r="G1929" s="8">
        <f t="shared" si="120"/>
        <v>3223</v>
      </c>
      <c r="H1929" s="6">
        <v>40000</v>
      </c>
      <c r="I1929" t="s">
        <v>69</v>
      </c>
      <c r="J1929" t="s">
        <v>35</v>
      </c>
      <c r="K1929" t="s">
        <v>1647</v>
      </c>
      <c r="L1929" t="s">
        <v>48</v>
      </c>
      <c r="M1929" t="s">
        <v>90</v>
      </c>
      <c r="N1929" s="6">
        <v>1</v>
      </c>
      <c r="O1929" t="str">
        <f t="shared" si="121"/>
        <v>Normal</v>
      </c>
      <c r="P1929" t="str">
        <f t="shared" si="122"/>
        <v>Duplicate ID</v>
      </c>
      <c r="Q1929" t="str">
        <f t="shared" si="123"/>
        <v>20,000-24,999</v>
      </c>
      <c r="R1929" s="6">
        <f>IF(COUNTIF($A$2:A1929,A1929)=1,1,0)</f>
        <v>0</v>
      </c>
    </row>
    <row r="1930" spans="1:18" x14ac:dyDescent="0.25">
      <c r="A1930" s="6">
        <v>1057</v>
      </c>
      <c r="B1930" s="7">
        <v>45024</v>
      </c>
      <c r="C1930" t="s">
        <v>51</v>
      </c>
      <c r="D1930" s="6">
        <v>2016</v>
      </c>
      <c r="E1930" s="8">
        <v>24824</v>
      </c>
      <c r="F1930" s="8">
        <v>31000</v>
      </c>
      <c r="G1930" s="8">
        <f t="shared" si="120"/>
        <v>6176</v>
      </c>
      <c r="H1930" s="6">
        <v>40000</v>
      </c>
      <c r="I1930" t="s">
        <v>58</v>
      </c>
      <c r="J1930" t="s">
        <v>72</v>
      </c>
      <c r="K1930" t="s">
        <v>36</v>
      </c>
      <c r="L1930" t="s">
        <v>54</v>
      </c>
      <c r="M1930" t="s">
        <v>98</v>
      </c>
      <c r="N1930" s="6">
        <v>3</v>
      </c>
      <c r="O1930" t="str">
        <f t="shared" si="121"/>
        <v>Normal</v>
      </c>
      <c r="P1930" t="str">
        <f t="shared" si="122"/>
        <v>Duplicate ID</v>
      </c>
      <c r="Q1930" t="str">
        <f t="shared" si="123"/>
        <v>20,000-24,999</v>
      </c>
      <c r="R1930" s="6">
        <f>IF(COUNTIF($A$2:A1930,A1930)=1,1,0)</f>
        <v>0</v>
      </c>
    </row>
    <row r="1931" spans="1:18" x14ac:dyDescent="0.25">
      <c r="A1931" s="6">
        <v>1531</v>
      </c>
      <c r="B1931" s="7">
        <v>44952</v>
      </c>
      <c r="C1931" t="s">
        <v>1648</v>
      </c>
      <c r="D1931" s="6">
        <v>2015</v>
      </c>
      <c r="E1931" s="8">
        <v>10355</v>
      </c>
      <c r="F1931" s="8">
        <v>12000</v>
      </c>
      <c r="G1931" s="8">
        <f t="shared" si="120"/>
        <v>1645</v>
      </c>
      <c r="H1931" s="6">
        <v>40000</v>
      </c>
      <c r="I1931" t="s">
        <v>58</v>
      </c>
      <c r="J1931" t="s">
        <v>1647</v>
      </c>
      <c r="K1931" t="s">
        <v>36</v>
      </c>
      <c r="L1931" t="s">
        <v>54</v>
      </c>
      <c r="M1931" t="s">
        <v>126</v>
      </c>
      <c r="N1931" s="6">
        <v>3</v>
      </c>
      <c r="O1931" t="str">
        <f t="shared" si="121"/>
        <v>Normal</v>
      </c>
      <c r="P1931" t="str">
        <f t="shared" si="122"/>
        <v>Duplicate ID</v>
      </c>
      <c r="Q1931" t="str">
        <f t="shared" si="123"/>
        <v>10,000-14,999</v>
      </c>
      <c r="R1931" s="6">
        <f>IF(COUNTIF($A$2:A1931,A1931)=1,1,0)</f>
        <v>0</v>
      </c>
    </row>
    <row r="1932" spans="1:18" x14ac:dyDescent="0.25">
      <c r="A1932" s="6">
        <v>1184</v>
      </c>
      <c r="B1932" s="7">
        <v>44432</v>
      </c>
      <c r="C1932" t="s">
        <v>79</v>
      </c>
      <c r="D1932" s="6">
        <v>2020</v>
      </c>
      <c r="E1932" s="8">
        <v>1558</v>
      </c>
      <c r="F1932" s="8">
        <v>7000</v>
      </c>
      <c r="G1932" s="8">
        <f t="shared" si="120"/>
        <v>5442</v>
      </c>
      <c r="H1932" s="6">
        <v>120000</v>
      </c>
      <c r="I1932" t="s">
        <v>69</v>
      </c>
      <c r="J1932" t="s">
        <v>72</v>
      </c>
      <c r="K1932" t="s">
        <v>96</v>
      </c>
      <c r="L1932" t="s">
        <v>73</v>
      </c>
      <c r="M1932" t="s">
        <v>1647</v>
      </c>
      <c r="N1932" s="6">
        <v>3</v>
      </c>
      <c r="O1932" t="str">
        <f t="shared" si="121"/>
        <v>Normal</v>
      </c>
      <c r="P1932" t="str">
        <f t="shared" si="122"/>
        <v>Duplicate ID</v>
      </c>
      <c r="Q1932" t="str">
        <f t="shared" si="123"/>
        <v>0-4,999</v>
      </c>
      <c r="R1932" s="6">
        <f>IF(COUNTIF($A$2:A1932,A1932)=1,1,0)</f>
        <v>0</v>
      </c>
    </row>
    <row r="1933" spans="1:18" x14ac:dyDescent="0.25">
      <c r="A1933" s="6">
        <v>1400</v>
      </c>
      <c r="B1933" s="7">
        <v>45167</v>
      </c>
      <c r="C1933" t="s">
        <v>57</v>
      </c>
      <c r="D1933" s="6">
        <v>2020</v>
      </c>
      <c r="E1933" s="8">
        <v>6849</v>
      </c>
      <c r="F1933" s="8">
        <v>9000</v>
      </c>
      <c r="G1933" s="8">
        <f t="shared" si="120"/>
        <v>2151</v>
      </c>
      <c r="H1933" s="6">
        <v>40000</v>
      </c>
      <c r="I1933" t="s">
        <v>69</v>
      </c>
      <c r="J1933" t="s">
        <v>72</v>
      </c>
      <c r="K1933" t="s">
        <v>96</v>
      </c>
      <c r="L1933" t="s">
        <v>100</v>
      </c>
      <c r="M1933" t="s">
        <v>126</v>
      </c>
      <c r="N1933" s="6">
        <v>1</v>
      </c>
      <c r="O1933" t="str">
        <f t="shared" si="121"/>
        <v>Normal</v>
      </c>
      <c r="P1933" t="str">
        <f t="shared" si="122"/>
        <v>Duplicate ID</v>
      </c>
      <c r="Q1933" t="str">
        <f t="shared" si="123"/>
        <v>5,000-9,999</v>
      </c>
      <c r="R1933" s="6">
        <f>IF(COUNTIF($A$2:A1933,A1933)=1,1,0)</f>
        <v>0</v>
      </c>
    </row>
    <row r="1934" spans="1:18" x14ac:dyDescent="0.25">
      <c r="A1934" s="6">
        <v>1402</v>
      </c>
      <c r="B1934" s="7">
        <v>45311</v>
      </c>
      <c r="C1934" t="s">
        <v>57</v>
      </c>
      <c r="D1934" s="6">
        <v>2018</v>
      </c>
      <c r="E1934" s="8">
        <v>6604</v>
      </c>
      <c r="F1934" s="8">
        <v>12000</v>
      </c>
      <c r="G1934" s="8">
        <f t="shared" si="120"/>
        <v>5396</v>
      </c>
      <c r="H1934" s="6">
        <v>40000</v>
      </c>
      <c r="I1934" t="s">
        <v>58</v>
      </c>
      <c r="J1934" t="s">
        <v>72</v>
      </c>
      <c r="K1934" t="s">
        <v>36</v>
      </c>
      <c r="L1934" t="s">
        <v>54</v>
      </c>
      <c r="M1934" t="s">
        <v>45</v>
      </c>
      <c r="N1934" s="6">
        <v>0</v>
      </c>
      <c r="O1934" t="str">
        <f t="shared" si="121"/>
        <v>Normal</v>
      </c>
      <c r="P1934" t="str">
        <f t="shared" si="122"/>
        <v>Duplicate ID</v>
      </c>
      <c r="Q1934" t="str">
        <f t="shared" si="123"/>
        <v>5,000-9,999</v>
      </c>
      <c r="R1934" s="6">
        <f>IF(COUNTIF($A$2:A1934,A1934)=1,1,0)</f>
        <v>0</v>
      </c>
    </row>
    <row r="1935" spans="1:18" x14ac:dyDescent="0.25">
      <c r="A1935" s="6">
        <v>1389</v>
      </c>
      <c r="B1935" s="7">
        <v>44509</v>
      </c>
      <c r="C1935" t="s">
        <v>119</v>
      </c>
      <c r="D1935" s="6">
        <v>2015</v>
      </c>
      <c r="E1935" s="8">
        <v>7742</v>
      </c>
      <c r="F1935" s="8">
        <v>9000</v>
      </c>
      <c r="G1935" s="8">
        <f t="shared" si="120"/>
        <v>1258</v>
      </c>
      <c r="H1935" s="6">
        <v>80000</v>
      </c>
      <c r="I1935" t="s">
        <v>69</v>
      </c>
      <c r="J1935" t="s">
        <v>35</v>
      </c>
      <c r="K1935" t="s">
        <v>1647</v>
      </c>
      <c r="L1935" t="s">
        <v>100</v>
      </c>
      <c r="M1935" t="s">
        <v>98</v>
      </c>
      <c r="N1935" s="6">
        <v>0</v>
      </c>
      <c r="O1935" t="str">
        <f t="shared" si="121"/>
        <v>Normal</v>
      </c>
      <c r="P1935" t="str">
        <f t="shared" si="122"/>
        <v>Duplicate ID</v>
      </c>
      <c r="Q1935" t="str">
        <f t="shared" si="123"/>
        <v>5,000-9,999</v>
      </c>
      <c r="R1935" s="6">
        <f>IF(COUNTIF($A$2:A1935,A1935)=1,1,0)</f>
        <v>0</v>
      </c>
    </row>
    <row r="1936" spans="1:18" x14ac:dyDescent="0.25">
      <c r="A1936" s="6">
        <v>1513</v>
      </c>
      <c r="B1936" s="7">
        <v>44386</v>
      </c>
      <c r="C1936" t="s">
        <v>79</v>
      </c>
      <c r="D1936" s="6">
        <v>2015</v>
      </c>
      <c r="E1936" s="8">
        <v>2280</v>
      </c>
      <c r="F1936" s="8">
        <v>7000</v>
      </c>
      <c r="G1936" s="8">
        <f t="shared" si="120"/>
        <v>4720</v>
      </c>
      <c r="H1936" s="6">
        <v>40000</v>
      </c>
      <c r="I1936" t="s">
        <v>58</v>
      </c>
      <c r="J1936" t="s">
        <v>72</v>
      </c>
      <c r="K1936" t="s">
        <v>96</v>
      </c>
      <c r="L1936" t="s">
        <v>100</v>
      </c>
      <c r="M1936" t="s">
        <v>45</v>
      </c>
      <c r="N1936" s="6">
        <v>3</v>
      </c>
      <c r="O1936" t="str">
        <f t="shared" si="121"/>
        <v>Normal</v>
      </c>
      <c r="P1936" t="str">
        <f t="shared" si="122"/>
        <v>Duplicate ID</v>
      </c>
      <c r="Q1936" t="str">
        <f t="shared" si="123"/>
        <v>0-4,999</v>
      </c>
      <c r="R1936" s="6">
        <f>IF(COUNTIF($A$2:A1936,A1936)=1,1,0)</f>
        <v>0</v>
      </c>
    </row>
    <row r="1937" spans="1:18" x14ac:dyDescent="0.25">
      <c r="A1937" s="6">
        <v>1225</v>
      </c>
      <c r="B1937" s="7">
        <v>44289</v>
      </c>
      <c r="C1937" t="s">
        <v>1648</v>
      </c>
      <c r="D1937" s="6">
        <v>2022</v>
      </c>
      <c r="E1937" s="8">
        <v>13481</v>
      </c>
      <c r="F1937" s="8">
        <v>15000</v>
      </c>
      <c r="G1937" s="8">
        <f t="shared" si="120"/>
        <v>1519</v>
      </c>
      <c r="H1937" s="6">
        <v>40000</v>
      </c>
      <c r="I1937" t="s">
        <v>41</v>
      </c>
      <c r="J1937" t="s">
        <v>1647</v>
      </c>
      <c r="K1937" t="s">
        <v>36</v>
      </c>
      <c r="L1937" t="s">
        <v>73</v>
      </c>
      <c r="M1937" t="s">
        <v>1647</v>
      </c>
      <c r="N1937" s="6">
        <v>0</v>
      </c>
      <c r="O1937" t="str">
        <f t="shared" si="121"/>
        <v>Normal</v>
      </c>
      <c r="P1937" t="str">
        <f t="shared" si="122"/>
        <v>Duplicate ID</v>
      </c>
      <c r="Q1937" t="str">
        <f t="shared" si="123"/>
        <v>10,000-14,999</v>
      </c>
      <c r="R1937" s="6">
        <f>IF(COUNTIF($A$2:A1937,A1937)=1,1,0)</f>
        <v>0</v>
      </c>
    </row>
    <row r="1938" spans="1:18" x14ac:dyDescent="0.25">
      <c r="A1938" s="6">
        <v>1160</v>
      </c>
      <c r="B1938" s="7">
        <v>44671</v>
      </c>
      <c r="C1938" t="s">
        <v>51</v>
      </c>
      <c r="D1938" s="6">
        <v>2014</v>
      </c>
      <c r="E1938" s="8">
        <v>15287</v>
      </c>
      <c r="F1938" s="8">
        <v>22000</v>
      </c>
      <c r="G1938" s="8">
        <f t="shared" si="120"/>
        <v>6713</v>
      </c>
      <c r="H1938" s="6">
        <v>15000</v>
      </c>
      <c r="I1938" t="s">
        <v>41</v>
      </c>
      <c r="J1938" t="s">
        <v>72</v>
      </c>
      <c r="K1938" t="s">
        <v>96</v>
      </c>
      <c r="L1938" t="s">
        <v>48</v>
      </c>
      <c r="M1938" t="s">
        <v>126</v>
      </c>
      <c r="N1938" s="6" t="s">
        <v>1647</v>
      </c>
      <c r="O1938" t="str">
        <f t="shared" si="121"/>
        <v>Normal</v>
      </c>
      <c r="P1938" t="str">
        <f t="shared" si="122"/>
        <v>Duplicate ID</v>
      </c>
      <c r="Q1938" t="str">
        <f t="shared" si="123"/>
        <v>15,000-19,999</v>
      </c>
      <c r="R1938" s="6">
        <f>IF(COUNTIF($A$2:A1938,A1938)=1,1,0)</f>
        <v>0</v>
      </c>
    </row>
    <row r="1939" spans="1:18" x14ac:dyDescent="0.25">
      <c r="A1939" s="6">
        <v>1395</v>
      </c>
      <c r="B1939" s="7">
        <v>44294</v>
      </c>
      <c r="C1939" t="s">
        <v>79</v>
      </c>
      <c r="D1939" s="6">
        <v>2020</v>
      </c>
      <c r="E1939" s="8">
        <v>3749</v>
      </c>
      <c r="F1939" s="8">
        <v>7000</v>
      </c>
      <c r="G1939" s="8">
        <f t="shared" si="120"/>
        <v>3251</v>
      </c>
      <c r="H1939" s="6">
        <v>80000</v>
      </c>
      <c r="I1939" t="s">
        <v>1647</v>
      </c>
      <c r="J1939" t="s">
        <v>1647</v>
      </c>
      <c r="K1939" t="s">
        <v>36</v>
      </c>
      <c r="L1939" t="s">
        <v>73</v>
      </c>
      <c r="M1939" t="s">
        <v>126</v>
      </c>
      <c r="N1939" s="6">
        <v>1</v>
      </c>
      <c r="O1939" t="str">
        <f t="shared" si="121"/>
        <v>Normal</v>
      </c>
      <c r="P1939" t="str">
        <f t="shared" si="122"/>
        <v>Duplicate ID</v>
      </c>
      <c r="Q1939" t="str">
        <f t="shared" si="123"/>
        <v>0-4,999</v>
      </c>
      <c r="R1939" s="6">
        <f>IF(COUNTIF($A$2:A1939,A1939)=1,1,0)</f>
        <v>0</v>
      </c>
    </row>
    <row r="1940" spans="1:18" x14ac:dyDescent="0.25">
      <c r="A1940" s="6">
        <v>1485</v>
      </c>
      <c r="B1940" s="7">
        <v>44841</v>
      </c>
      <c r="C1940" t="s">
        <v>32</v>
      </c>
      <c r="D1940" s="6">
        <v>2018</v>
      </c>
      <c r="E1940" s="8">
        <v>18774</v>
      </c>
      <c r="F1940" s="8">
        <v>22000</v>
      </c>
      <c r="G1940" s="8">
        <f t="shared" si="120"/>
        <v>3226</v>
      </c>
      <c r="H1940" s="6">
        <v>60000</v>
      </c>
      <c r="I1940" t="s">
        <v>1647</v>
      </c>
      <c r="J1940" t="s">
        <v>1647</v>
      </c>
      <c r="K1940" t="s">
        <v>96</v>
      </c>
      <c r="L1940" t="s">
        <v>73</v>
      </c>
      <c r="M1940" t="s">
        <v>98</v>
      </c>
      <c r="N1940" s="6">
        <v>2</v>
      </c>
      <c r="O1940" t="str">
        <f t="shared" si="121"/>
        <v>Normal</v>
      </c>
      <c r="P1940" t="str">
        <f t="shared" si="122"/>
        <v>Duplicate ID</v>
      </c>
      <c r="Q1940" t="str">
        <f t="shared" si="123"/>
        <v>15,000-19,999</v>
      </c>
      <c r="R1940" s="6">
        <f>IF(COUNTIF($A$2:A1940,A1940)=1,1,0)</f>
        <v>0</v>
      </c>
    </row>
    <row r="1941" spans="1:18" x14ac:dyDescent="0.25">
      <c r="A1941" s="6">
        <v>1594</v>
      </c>
      <c r="B1941" s="7">
        <v>44725</v>
      </c>
      <c r="C1941" t="s">
        <v>40</v>
      </c>
      <c r="D1941" s="6">
        <v>2017</v>
      </c>
      <c r="E1941" s="8">
        <v>11825</v>
      </c>
      <c r="F1941" s="8">
        <v>15000</v>
      </c>
      <c r="G1941" s="8">
        <f t="shared" si="120"/>
        <v>3175</v>
      </c>
      <c r="H1941" s="6">
        <v>60000</v>
      </c>
      <c r="I1941" t="s">
        <v>58</v>
      </c>
      <c r="J1941" t="s">
        <v>35</v>
      </c>
      <c r="K1941" t="s">
        <v>1647</v>
      </c>
      <c r="L1941" t="s">
        <v>73</v>
      </c>
      <c r="M1941" t="s">
        <v>90</v>
      </c>
      <c r="N1941" s="6">
        <v>3</v>
      </c>
      <c r="O1941" t="str">
        <f t="shared" si="121"/>
        <v>Normal</v>
      </c>
      <c r="P1941" t="str">
        <f t="shared" si="122"/>
        <v>Duplicate ID</v>
      </c>
      <c r="Q1941" t="str">
        <f t="shared" si="123"/>
        <v>10,000-14,999</v>
      </c>
      <c r="R1941" s="6">
        <f>IF(COUNTIF($A$2:A1941,A1941)=1,1,0)</f>
        <v>0</v>
      </c>
    </row>
    <row r="1942" spans="1:18" x14ac:dyDescent="0.25">
      <c r="A1942" s="6">
        <v>1072</v>
      </c>
      <c r="B1942" s="7">
        <v>44812</v>
      </c>
      <c r="C1942" t="s">
        <v>51</v>
      </c>
      <c r="D1942" s="6">
        <v>2015</v>
      </c>
      <c r="E1942" s="8">
        <v>7687</v>
      </c>
      <c r="F1942" s="8">
        <v>12000</v>
      </c>
      <c r="G1942" s="8">
        <f t="shared" si="120"/>
        <v>4313</v>
      </c>
      <c r="H1942" s="6">
        <v>120000</v>
      </c>
      <c r="I1942" t="s">
        <v>34</v>
      </c>
      <c r="J1942" t="s">
        <v>72</v>
      </c>
      <c r="K1942" t="s">
        <v>96</v>
      </c>
      <c r="L1942" t="s">
        <v>100</v>
      </c>
      <c r="M1942" t="s">
        <v>126</v>
      </c>
      <c r="N1942" s="6" t="s">
        <v>1647</v>
      </c>
      <c r="O1942" t="str">
        <f t="shared" si="121"/>
        <v>Normal</v>
      </c>
      <c r="P1942" t="str">
        <f t="shared" si="122"/>
        <v>Duplicate ID</v>
      </c>
      <c r="Q1942" t="str">
        <f t="shared" si="123"/>
        <v>5,000-9,999</v>
      </c>
      <c r="R1942" s="6">
        <f>IF(COUNTIF($A$2:A1942,A1942)=1,1,0)</f>
        <v>0</v>
      </c>
    </row>
    <row r="1943" spans="1:18" x14ac:dyDescent="0.25">
      <c r="A1943" s="6">
        <v>1037</v>
      </c>
      <c r="B1943" s="7">
        <v>44376</v>
      </c>
      <c r="C1943" t="s">
        <v>40</v>
      </c>
      <c r="D1943" s="6">
        <v>2019</v>
      </c>
      <c r="E1943" s="8">
        <v>28023</v>
      </c>
      <c r="F1943" s="8">
        <v>31000</v>
      </c>
      <c r="G1943" s="8">
        <f t="shared" si="120"/>
        <v>2977</v>
      </c>
      <c r="H1943" s="6">
        <v>60000</v>
      </c>
      <c r="I1943" t="s">
        <v>69</v>
      </c>
      <c r="J1943" t="s">
        <v>72</v>
      </c>
      <c r="K1943" t="s">
        <v>96</v>
      </c>
      <c r="L1943" t="s">
        <v>73</v>
      </c>
      <c r="M1943" t="s">
        <v>90</v>
      </c>
      <c r="N1943" s="6">
        <v>2</v>
      </c>
      <c r="O1943" t="str">
        <f t="shared" si="121"/>
        <v>Normal</v>
      </c>
      <c r="P1943" t="str">
        <f t="shared" si="122"/>
        <v>Duplicate ID</v>
      </c>
      <c r="Q1943" t="str">
        <f t="shared" si="123"/>
        <v>25,000-30,000</v>
      </c>
      <c r="R1943" s="6">
        <f>IF(COUNTIF($A$2:A1943,A1943)=1,1,0)</f>
        <v>0</v>
      </c>
    </row>
    <row r="1944" spans="1:18" x14ac:dyDescent="0.25">
      <c r="A1944" s="6">
        <v>1062</v>
      </c>
      <c r="B1944" s="7">
        <v>44240</v>
      </c>
      <c r="C1944" t="s">
        <v>119</v>
      </c>
      <c r="D1944" s="6">
        <v>2020</v>
      </c>
      <c r="E1944" s="8">
        <v>3636</v>
      </c>
      <c r="F1944" s="8">
        <v>7000</v>
      </c>
      <c r="G1944" s="8">
        <f t="shared" si="120"/>
        <v>3364</v>
      </c>
      <c r="H1944" s="6">
        <v>60000</v>
      </c>
      <c r="I1944" t="s">
        <v>1647</v>
      </c>
      <c r="J1944" t="s">
        <v>1647</v>
      </c>
      <c r="K1944" t="s">
        <v>96</v>
      </c>
      <c r="L1944" t="s">
        <v>1647</v>
      </c>
      <c r="M1944" t="s">
        <v>98</v>
      </c>
      <c r="N1944" s="6" t="s">
        <v>1647</v>
      </c>
      <c r="O1944" t="str">
        <f t="shared" si="121"/>
        <v>Normal</v>
      </c>
      <c r="P1944" t="str">
        <f t="shared" si="122"/>
        <v>Duplicate ID</v>
      </c>
      <c r="Q1944" t="str">
        <f t="shared" si="123"/>
        <v>0-4,999</v>
      </c>
      <c r="R1944" s="6">
        <f>IF(COUNTIF($A$2:A1944,A1944)=1,1,0)</f>
        <v>0</v>
      </c>
    </row>
    <row r="1945" spans="1:18" x14ac:dyDescent="0.25">
      <c r="A1945" s="6">
        <v>1012</v>
      </c>
      <c r="B1945" s="7">
        <v>45154</v>
      </c>
      <c r="C1945" t="s">
        <v>119</v>
      </c>
      <c r="D1945" s="6">
        <v>2022</v>
      </c>
      <c r="E1945" s="8">
        <v>16432</v>
      </c>
      <c r="F1945" s="8">
        <v>18000</v>
      </c>
      <c r="G1945" s="8">
        <f t="shared" si="120"/>
        <v>1568</v>
      </c>
      <c r="H1945" s="6">
        <v>80000</v>
      </c>
      <c r="I1945" t="s">
        <v>41</v>
      </c>
      <c r="J1945" t="s">
        <v>35</v>
      </c>
      <c r="K1945" t="s">
        <v>96</v>
      </c>
      <c r="L1945" t="s">
        <v>48</v>
      </c>
      <c r="M1945" t="s">
        <v>126</v>
      </c>
      <c r="N1945" s="6">
        <v>0</v>
      </c>
      <c r="O1945" t="str">
        <f t="shared" si="121"/>
        <v>Normal</v>
      </c>
      <c r="P1945" t="str">
        <f t="shared" si="122"/>
        <v>Duplicate ID</v>
      </c>
      <c r="Q1945" t="str">
        <f t="shared" si="123"/>
        <v>15,000-19,999</v>
      </c>
      <c r="R1945" s="6">
        <f>IF(COUNTIF($A$2:A1945,A1945)=1,1,0)</f>
        <v>0</v>
      </c>
    </row>
    <row r="1946" spans="1:18" x14ac:dyDescent="0.25">
      <c r="A1946" s="6">
        <v>1587</v>
      </c>
      <c r="B1946" s="7">
        <v>44838</v>
      </c>
      <c r="C1946" t="s">
        <v>1648</v>
      </c>
      <c r="D1946" s="6">
        <v>2021</v>
      </c>
      <c r="E1946" s="8">
        <v>10064</v>
      </c>
      <c r="F1946" s="8">
        <v>15000</v>
      </c>
      <c r="G1946" s="8">
        <f t="shared" si="120"/>
        <v>4936</v>
      </c>
      <c r="H1946" s="6">
        <v>120000</v>
      </c>
      <c r="I1946" t="s">
        <v>41</v>
      </c>
      <c r="J1946" t="s">
        <v>72</v>
      </c>
      <c r="K1946" t="s">
        <v>1647</v>
      </c>
      <c r="L1946" t="s">
        <v>73</v>
      </c>
      <c r="M1946" t="s">
        <v>126</v>
      </c>
      <c r="N1946" s="6">
        <v>0</v>
      </c>
      <c r="O1946" t="str">
        <f t="shared" si="121"/>
        <v>Normal</v>
      </c>
      <c r="P1946" t="str">
        <f t="shared" si="122"/>
        <v>Duplicate ID</v>
      </c>
      <c r="Q1946" t="str">
        <f t="shared" si="123"/>
        <v>10,000-14,999</v>
      </c>
      <c r="R1946" s="6">
        <f>IF(COUNTIF($A$2:A1946,A1946)=1,1,0)</f>
        <v>0</v>
      </c>
    </row>
    <row r="1947" spans="1:18" x14ac:dyDescent="0.25">
      <c r="A1947" s="6">
        <v>1024</v>
      </c>
      <c r="B1947" s="7">
        <v>44766</v>
      </c>
      <c r="C1947" t="s">
        <v>1648</v>
      </c>
      <c r="D1947" s="6">
        <v>2015</v>
      </c>
      <c r="E1947" s="8">
        <v>24701</v>
      </c>
      <c r="F1947" s="8">
        <v>26000</v>
      </c>
      <c r="G1947" s="8">
        <f t="shared" si="120"/>
        <v>1299</v>
      </c>
      <c r="H1947" s="6">
        <v>15000</v>
      </c>
      <c r="I1947" t="s">
        <v>41</v>
      </c>
      <c r="J1947" t="s">
        <v>72</v>
      </c>
      <c r="K1947" t="s">
        <v>96</v>
      </c>
      <c r="L1947" t="s">
        <v>48</v>
      </c>
      <c r="M1947" t="s">
        <v>98</v>
      </c>
      <c r="N1947" s="6">
        <v>2</v>
      </c>
      <c r="O1947" t="str">
        <f t="shared" si="121"/>
        <v>Normal</v>
      </c>
      <c r="P1947" t="str">
        <f t="shared" si="122"/>
        <v>Duplicate ID</v>
      </c>
      <c r="Q1947" t="str">
        <f t="shared" si="123"/>
        <v>20,000-24,999</v>
      </c>
      <c r="R1947" s="6">
        <f>IF(COUNTIF($A$2:A1947,A1947)=1,1,0)</f>
        <v>0</v>
      </c>
    </row>
    <row r="1948" spans="1:18" x14ac:dyDescent="0.25">
      <c r="A1948" s="6">
        <v>1310</v>
      </c>
      <c r="B1948" s="7">
        <v>45259</v>
      </c>
      <c r="C1948" t="s">
        <v>119</v>
      </c>
      <c r="D1948" s="6">
        <v>2017</v>
      </c>
      <c r="E1948" s="8">
        <v>8578</v>
      </c>
      <c r="F1948" s="8">
        <v>15000</v>
      </c>
      <c r="G1948" s="8">
        <f t="shared" si="120"/>
        <v>6422</v>
      </c>
      <c r="H1948" s="6">
        <v>120000</v>
      </c>
      <c r="I1948" t="s">
        <v>69</v>
      </c>
      <c r="J1948" t="s">
        <v>72</v>
      </c>
      <c r="K1948" t="s">
        <v>36</v>
      </c>
      <c r="L1948" t="s">
        <v>100</v>
      </c>
      <c r="M1948" t="s">
        <v>126</v>
      </c>
      <c r="N1948" s="6">
        <v>3</v>
      </c>
      <c r="O1948" t="str">
        <f t="shared" si="121"/>
        <v>Normal</v>
      </c>
      <c r="P1948" t="str">
        <f t="shared" si="122"/>
        <v>Duplicate ID</v>
      </c>
      <c r="Q1948" t="str">
        <f t="shared" si="123"/>
        <v>5,000-9,999</v>
      </c>
      <c r="R1948" s="6">
        <f>IF(COUNTIF($A$2:A1948,A1948)=1,1,0)</f>
        <v>0</v>
      </c>
    </row>
    <row r="1949" spans="1:18" x14ac:dyDescent="0.25">
      <c r="A1949" s="6">
        <v>1056</v>
      </c>
      <c r="B1949" s="7">
        <v>44199</v>
      </c>
      <c r="C1949" t="s">
        <v>40</v>
      </c>
      <c r="D1949" s="6">
        <v>2017</v>
      </c>
      <c r="E1949" s="8">
        <v>12003</v>
      </c>
      <c r="F1949" s="8">
        <v>15000</v>
      </c>
      <c r="G1949" s="8">
        <f t="shared" si="120"/>
        <v>2997</v>
      </c>
      <c r="H1949" s="6">
        <v>40000</v>
      </c>
      <c r="I1949" t="s">
        <v>58</v>
      </c>
      <c r="J1949" t="s">
        <v>72</v>
      </c>
      <c r="K1949" t="s">
        <v>96</v>
      </c>
      <c r="L1949" t="s">
        <v>54</v>
      </c>
      <c r="M1949" t="s">
        <v>90</v>
      </c>
      <c r="N1949" s="6">
        <v>3</v>
      </c>
      <c r="O1949" t="str">
        <f t="shared" si="121"/>
        <v>Normal</v>
      </c>
      <c r="P1949" t="str">
        <f t="shared" si="122"/>
        <v>Duplicate ID</v>
      </c>
      <c r="Q1949" t="str">
        <f t="shared" si="123"/>
        <v>10,000-14,999</v>
      </c>
      <c r="R1949" s="6">
        <f>IF(COUNTIF($A$2:A1949,A1949)=1,1,0)</f>
        <v>0</v>
      </c>
    </row>
    <row r="1950" spans="1:18" x14ac:dyDescent="0.25">
      <c r="A1950" s="6">
        <v>1106</v>
      </c>
      <c r="B1950" s="7">
        <v>44679</v>
      </c>
      <c r="C1950" t="s">
        <v>32</v>
      </c>
      <c r="D1950" s="6"/>
      <c r="E1950" s="8">
        <v>26262</v>
      </c>
      <c r="F1950" s="8">
        <v>31000</v>
      </c>
      <c r="G1950" s="8">
        <f t="shared" si="120"/>
        <v>4738</v>
      </c>
      <c r="H1950" s="6">
        <v>120000</v>
      </c>
      <c r="I1950" t="s">
        <v>69</v>
      </c>
      <c r="J1950" t="s">
        <v>72</v>
      </c>
      <c r="K1950" t="s">
        <v>36</v>
      </c>
      <c r="L1950" t="s">
        <v>54</v>
      </c>
      <c r="M1950" t="s">
        <v>1647</v>
      </c>
      <c r="N1950" s="6">
        <v>3</v>
      </c>
      <c r="O1950" t="str">
        <f t="shared" si="121"/>
        <v>Normal</v>
      </c>
      <c r="P1950" t="str">
        <f t="shared" si="122"/>
        <v>Duplicate ID</v>
      </c>
      <c r="Q1950" t="str">
        <f t="shared" si="123"/>
        <v>25,000-30,000</v>
      </c>
      <c r="R1950" s="6">
        <f>IF(COUNTIF($A$2:A1950,A1950)=1,1,0)</f>
        <v>0</v>
      </c>
    </row>
    <row r="1951" spans="1:18" x14ac:dyDescent="0.25">
      <c r="A1951" s="6">
        <v>1249</v>
      </c>
      <c r="B1951" s="7">
        <v>44871</v>
      </c>
      <c r="C1951" t="s">
        <v>32</v>
      </c>
      <c r="D1951" s="6">
        <v>2017</v>
      </c>
      <c r="E1951" s="8">
        <v>17919</v>
      </c>
      <c r="F1951" s="8">
        <v>22000</v>
      </c>
      <c r="G1951" s="8">
        <f t="shared" si="120"/>
        <v>4081</v>
      </c>
      <c r="H1951" s="6">
        <v>80000</v>
      </c>
      <c r="I1951" t="s">
        <v>34</v>
      </c>
      <c r="J1951" t="s">
        <v>1647</v>
      </c>
      <c r="K1951" t="s">
        <v>96</v>
      </c>
      <c r="L1951" t="s">
        <v>73</v>
      </c>
      <c r="M1951" t="s">
        <v>45</v>
      </c>
      <c r="N1951" s="6">
        <v>0</v>
      </c>
      <c r="O1951" t="str">
        <f t="shared" si="121"/>
        <v>Normal</v>
      </c>
      <c r="P1951" t="str">
        <f t="shared" si="122"/>
        <v>Duplicate ID</v>
      </c>
      <c r="Q1951" t="str">
        <f t="shared" si="123"/>
        <v>15,000-19,999</v>
      </c>
      <c r="R1951" s="6">
        <f>IF(COUNTIF($A$2:A1951,A1951)=1,1,0)</f>
        <v>0</v>
      </c>
    </row>
    <row r="1952" spans="1:18" x14ac:dyDescent="0.25">
      <c r="A1952" s="6">
        <v>1450</v>
      </c>
      <c r="B1952" s="7">
        <v>44996</v>
      </c>
      <c r="C1952" t="s">
        <v>119</v>
      </c>
      <c r="D1952" s="6">
        <v>2018</v>
      </c>
      <c r="E1952" s="8">
        <v>10055</v>
      </c>
      <c r="F1952" s="8">
        <v>15000</v>
      </c>
      <c r="G1952" s="8">
        <f t="shared" si="120"/>
        <v>4945</v>
      </c>
      <c r="H1952" s="6">
        <v>15000</v>
      </c>
      <c r="I1952" t="s">
        <v>41</v>
      </c>
      <c r="J1952" t="s">
        <v>72</v>
      </c>
      <c r="K1952" t="s">
        <v>36</v>
      </c>
      <c r="L1952" t="s">
        <v>54</v>
      </c>
      <c r="M1952" t="s">
        <v>98</v>
      </c>
      <c r="N1952" s="6" t="s">
        <v>1647</v>
      </c>
      <c r="O1952" t="str">
        <f t="shared" si="121"/>
        <v>Normal</v>
      </c>
      <c r="P1952" t="str">
        <f t="shared" si="122"/>
        <v>Duplicate ID</v>
      </c>
      <c r="Q1952" t="str">
        <f t="shared" si="123"/>
        <v>10,000-14,999</v>
      </c>
      <c r="R1952" s="6">
        <f>IF(COUNTIF($A$2:A1952,A1952)=1,1,0)</f>
        <v>1</v>
      </c>
    </row>
    <row r="1953" spans="1:18" x14ac:dyDescent="0.25">
      <c r="A1953" s="6">
        <v>1025</v>
      </c>
      <c r="B1953" s="7">
        <v>44891</v>
      </c>
      <c r="C1953" t="s">
        <v>32</v>
      </c>
      <c r="D1953" s="6">
        <v>2015</v>
      </c>
      <c r="E1953" s="8">
        <v>6884</v>
      </c>
      <c r="F1953" s="8">
        <v>9000</v>
      </c>
      <c r="G1953" s="8">
        <f t="shared" si="120"/>
        <v>2116</v>
      </c>
      <c r="H1953" s="6">
        <v>60000</v>
      </c>
      <c r="I1953" t="s">
        <v>58</v>
      </c>
      <c r="J1953" t="s">
        <v>72</v>
      </c>
      <c r="K1953" t="s">
        <v>96</v>
      </c>
      <c r="L1953" t="s">
        <v>48</v>
      </c>
      <c r="M1953" t="s">
        <v>45</v>
      </c>
      <c r="N1953" s="6">
        <v>3</v>
      </c>
      <c r="O1953" t="str">
        <f t="shared" si="121"/>
        <v>Normal</v>
      </c>
      <c r="P1953" t="str">
        <f t="shared" si="122"/>
        <v>Duplicate ID</v>
      </c>
      <c r="Q1953" t="str">
        <f t="shared" si="123"/>
        <v>5,000-9,999</v>
      </c>
      <c r="R1953" s="6">
        <f>IF(COUNTIF($A$2:A1953,A1953)=1,1,0)</f>
        <v>0</v>
      </c>
    </row>
    <row r="1954" spans="1:18" x14ac:dyDescent="0.25">
      <c r="A1954" s="6">
        <v>1335</v>
      </c>
      <c r="B1954" s="7">
        <v>44803</v>
      </c>
      <c r="C1954" t="s">
        <v>57</v>
      </c>
      <c r="D1954" s="6"/>
      <c r="E1954" s="8">
        <v>29168</v>
      </c>
      <c r="F1954" s="8">
        <v>31000</v>
      </c>
      <c r="G1954" s="8">
        <f t="shared" si="120"/>
        <v>1832</v>
      </c>
      <c r="H1954" s="6">
        <v>15000</v>
      </c>
      <c r="I1954" t="s">
        <v>58</v>
      </c>
      <c r="J1954" t="s">
        <v>72</v>
      </c>
      <c r="K1954" t="s">
        <v>36</v>
      </c>
      <c r="L1954" t="s">
        <v>48</v>
      </c>
      <c r="M1954" t="s">
        <v>126</v>
      </c>
      <c r="N1954" s="6" t="s">
        <v>1647</v>
      </c>
      <c r="O1954" t="str">
        <f t="shared" si="121"/>
        <v>Normal</v>
      </c>
      <c r="P1954" t="str">
        <f t="shared" si="122"/>
        <v>Duplicate ID</v>
      </c>
      <c r="Q1954" t="str">
        <f t="shared" si="123"/>
        <v>25,000-30,000</v>
      </c>
      <c r="R1954" s="6">
        <f>IF(COUNTIF($A$2:A1954,A1954)=1,1,0)</f>
        <v>0</v>
      </c>
    </row>
    <row r="1955" spans="1:18" x14ac:dyDescent="0.25">
      <c r="A1955" s="6">
        <v>1056</v>
      </c>
      <c r="B1955" s="7">
        <v>44455</v>
      </c>
      <c r="C1955" t="s">
        <v>79</v>
      </c>
      <c r="D1955" s="6">
        <v>2020</v>
      </c>
      <c r="E1955" s="8">
        <v>8361</v>
      </c>
      <c r="F1955" s="8">
        <v>12000</v>
      </c>
      <c r="G1955" s="8">
        <f t="shared" si="120"/>
        <v>3639</v>
      </c>
      <c r="H1955" s="6">
        <v>40000</v>
      </c>
      <c r="I1955" t="s">
        <v>41</v>
      </c>
      <c r="J1955" t="s">
        <v>35</v>
      </c>
      <c r="K1955" t="s">
        <v>36</v>
      </c>
      <c r="L1955" t="s">
        <v>73</v>
      </c>
      <c r="M1955" t="s">
        <v>126</v>
      </c>
      <c r="N1955" s="6">
        <v>0</v>
      </c>
      <c r="O1955" t="str">
        <f t="shared" si="121"/>
        <v>Normal</v>
      </c>
      <c r="P1955" t="str">
        <f t="shared" si="122"/>
        <v>Duplicate ID</v>
      </c>
      <c r="Q1955" t="str">
        <f t="shared" si="123"/>
        <v>5,000-9,999</v>
      </c>
      <c r="R1955" s="6">
        <f>IF(COUNTIF($A$2:A1955,A1955)=1,1,0)</f>
        <v>0</v>
      </c>
    </row>
    <row r="1956" spans="1:18" x14ac:dyDescent="0.25">
      <c r="A1956" s="6">
        <v>1599</v>
      </c>
      <c r="B1956" s="7">
        <v>44341</v>
      </c>
      <c r="C1956" t="s">
        <v>40</v>
      </c>
      <c r="D1956" s="6">
        <v>2019</v>
      </c>
      <c r="E1956" s="8">
        <v>21599</v>
      </c>
      <c r="F1956" s="8">
        <v>26000</v>
      </c>
      <c r="G1956" s="8">
        <f t="shared" si="120"/>
        <v>4401</v>
      </c>
      <c r="H1956" s="6">
        <v>15000</v>
      </c>
      <c r="I1956" t="s">
        <v>41</v>
      </c>
      <c r="J1956" t="s">
        <v>35</v>
      </c>
      <c r="K1956" t="s">
        <v>36</v>
      </c>
      <c r="L1956" t="s">
        <v>100</v>
      </c>
      <c r="M1956" t="s">
        <v>126</v>
      </c>
      <c r="N1956" s="6">
        <v>0</v>
      </c>
      <c r="O1956" t="str">
        <f t="shared" si="121"/>
        <v>Normal</v>
      </c>
      <c r="P1956" t="str">
        <f t="shared" si="122"/>
        <v>Duplicate ID</v>
      </c>
      <c r="Q1956" t="str">
        <f t="shared" si="123"/>
        <v>20,000-24,999</v>
      </c>
      <c r="R1956" s="6">
        <f>IF(COUNTIF($A$2:A1956,A1956)=1,1,0)</f>
        <v>0</v>
      </c>
    </row>
    <row r="1957" spans="1:18" x14ac:dyDescent="0.25">
      <c r="A1957" s="6">
        <v>1586</v>
      </c>
      <c r="B1957" s="7">
        <v>44965</v>
      </c>
      <c r="C1957" t="s">
        <v>32</v>
      </c>
      <c r="D1957" s="6">
        <v>2018</v>
      </c>
      <c r="E1957" s="8">
        <v>11519</v>
      </c>
      <c r="F1957" s="8">
        <v>15000</v>
      </c>
      <c r="G1957" s="8">
        <f t="shared" si="120"/>
        <v>3481</v>
      </c>
      <c r="H1957" s="6">
        <v>80000</v>
      </c>
      <c r="I1957" t="s">
        <v>34</v>
      </c>
      <c r="J1957" t="s">
        <v>72</v>
      </c>
      <c r="K1957" t="s">
        <v>36</v>
      </c>
      <c r="L1957" t="s">
        <v>100</v>
      </c>
      <c r="M1957" t="s">
        <v>90</v>
      </c>
      <c r="N1957" s="6">
        <v>0</v>
      </c>
      <c r="O1957" t="str">
        <f t="shared" si="121"/>
        <v>Normal</v>
      </c>
      <c r="P1957" t="str">
        <f t="shared" si="122"/>
        <v>Duplicate ID</v>
      </c>
      <c r="Q1957" t="str">
        <f t="shared" si="123"/>
        <v>10,000-14,999</v>
      </c>
      <c r="R1957" s="6">
        <f>IF(COUNTIF($A$2:A1957,A1957)=1,1,0)</f>
        <v>0</v>
      </c>
    </row>
    <row r="1958" spans="1:18" x14ac:dyDescent="0.25">
      <c r="A1958" s="6">
        <v>1477</v>
      </c>
      <c r="B1958" s="7">
        <v>45208</v>
      </c>
      <c r="C1958" t="s">
        <v>40</v>
      </c>
      <c r="D1958" s="6">
        <v>2018</v>
      </c>
      <c r="E1958" s="8">
        <v>15978</v>
      </c>
      <c r="F1958" s="8">
        <v>18000</v>
      </c>
      <c r="G1958" s="8">
        <f t="shared" si="120"/>
        <v>2022</v>
      </c>
      <c r="H1958" s="6">
        <v>80000</v>
      </c>
      <c r="I1958" t="s">
        <v>69</v>
      </c>
      <c r="J1958" t="s">
        <v>72</v>
      </c>
      <c r="K1958" t="s">
        <v>96</v>
      </c>
      <c r="L1958" t="s">
        <v>73</v>
      </c>
      <c r="M1958" t="s">
        <v>90</v>
      </c>
      <c r="N1958" s="6">
        <v>1</v>
      </c>
      <c r="O1958" t="str">
        <f t="shared" si="121"/>
        <v>Normal</v>
      </c>
      <c r="P1958" t="str">
        <f t="shared" si="122"/>
        <v>Duplicate ID</v>
      </c>
      <c r="Q1958" t="str">
        <f t="shared" si="123"/>
        <v>15,000-19,999</v>
      </c>
      <c r="R1958" s="6">
        <f>IF(COUNTIF($A$2:A1958,A1958)=1,1,0)</f>
        <v>0</v>
      </c>
    </row>
    <row r="1959" spans="1:18" x14ac:dyDescent="0.25">
      <c r="A1959" s="6">
        <v>1218</v>
      </c>
      <c r="B1959" s="7">
        <v>45038</v>
      </c>
      <c r="C1959" t="s">
        <v>40</v>
      </c>
      <c r="D1959" s="6">
        <v>2022</v>
      </c>
      <c r="E1959" s="8">
        <v>10829</v>
      </c>
      <c r="F1959" s="8">
        <v>12000</v>
      </c>
      <c r="G1959" s="8">
        <f t="shared" si="120"/>
        <v>1171</v>
      </c>
      <c r="H1959" s="6">
        <v>25000</v>
      </c>
      <c r="I1959" t="s">
        <v>69</v>
      </c>
      <c r="J1959" t="s">
        <v>35</v>
      </c>
      <c r="K1959" t="s">
        <v>96</v>
      </c>
      <c r="L1959" t="s">
        <v>48</v>
      </c>
      <c r="M1959" t="s">
        <v>126</v>
      </c>
      <c r="N1959" s="6">
        <v>1</v>
      </c>
      <c r="O1959" t="str">
        <f t="shared" si="121"/>
        <v>Normal</v>
      </c>
      <c r="P1959" t="str">
        <f t="shared" si="122"/>
        <v>Duplicate ID</v>
      </c>
      <c r="Q1959" t="str">
        <f t="shared" si="123"/>
        <v>10,000-14,999</v>
      </c>
      <c r="R1959" s="6">
        <f>IF(COUNTIF($A$2:A1959,A1959)=1,1,0)</f>
        <v>0</v>
      </c>
    </row>
    <row r="1960" spans="1:18" x14ac:dyDescent="0.25">
      <c r="A1960" s="6">
        <v>1446</v>
      </c>
      <c r="B1960" s="7">
        <v>44435</v>
      </c>
      <c r="C1960" t="s">
        <v>40</v>
      </c>
      <c r="D1960" s="6">
        <v>2016</v>
      </c>
      <c r="E1960" s="8">
        <v>11856</v>
      </c>
      <c r="F1960" s="8">
        <v>15000</v>
      </c>
      <c r="G1960" s="8">
        <f t="shared" si="120"/>
        <v>3144</v>
      </c>
      <c r="H1960" s="6">
        <v>60000</v>
      </c>
      <c r="I1960" t="s">
        <v>41</v>
      </c>
      <c r="J1960" t="s">
        <v>72</v>
      </c>
      <c r="K1960" t="s">
        <v>96</v>
      </c>
      <c r="L1960" t="s">
        <v>48</v>
      </c>
      <c r="M1960" t="s">
        <v>45</v>
      </c>
      <c r="N1960" s="6">
        <v>0</v>
      </c>
      <c r="O1960" t="str">
        <f t="shared" si="121"/>
        <v>Normal</v>
      </c>
      <c r="P1960" t="str">
        <f t="shared" si="122"/>
        <v>Duplicate ID</v>
      </c>
      <c r="Q1960" t="str">
        <f t="shared" si="123"/>
        <v>10,000-14,999</v>
      </c>
      <c r="R1960" s="6">
        <f>IF(COUNTIF($A$2:A1960,A1960)=1,1,0)</f>
        <v>0</v>
      </c>
    </row>
    <row r="1961" spans="1:18" x14ac:dyDescent="0.25">
      <c r="A1961" s="6">
        <v>1585</v>
      </c>
      <c r="B1961" s="7">
        <v>44335</v>
      </c>
      <c r="C1961" t="s">
        <v>119</v>
      </c>
      <c r="D1961" s="6">
        <v>2016</v>
      </c>
      <c r="E1961" s="8">
        <v>8541</v>
      </c>
      <c r="F1961" s="8">
        <v>15000</v>
      </c>
      <c r="G1961" s="8">
        <f t="shared" si="120"/>
        <v>6459</v>
      </c>
      <c r="H1961" s="6">
        <v>80000</v>
      </c>
      <c r="I1961" t="s">
        <v>58</v>
      </c>
      <c r="J1961" t="s">
        <v>1647</v>
      </c>
      <c r="K1961" t="s">
        <v>36</v>
      </c>
      <c r="L1961" t="s">
        <v>48</v>
      </c>
      <c r="M1961" t="s">
        <v>98</v>
      </c>
      <c r="N1961" s="6">
        <v>0</v>
      </c>
      <c r="O1961" t="str">
        <f t="shared" si="121"/>
        <v>Normal</v>
      </c>
      <c r="P1961" t="str">
        <f t="shared" si="122"/>
        <v>Duplicate ID</v>
      </c>
      <c r="Q1961" t="str">
        <f t="shared" si="123"/>
        <v>5,000-9,999</v>
      </c>
      <c r="R1961" s="6">
        <f>IF(COUNTIF($A$2:A1961,A1961)=1,1,0)</f>
        <v>0</v>
      </c>
    </row>
    <row r="1962" spans="1:18" x14ac:dyDescent="0.25">
      <c r="A1962" s="6">
        <v>1581</v>
      </c>
      <c r="B1962" s="7">
        <v>44729</v>
      </c>
      <c r="C1962" t="s">
        <v>57</v>
      </c>
      <c r="D1962" s="6">
        <v>2020</v>
      </c>
      <c r="E1962" s="8">
        <v>9223</v>
      </c>
      <c r="F1962" s="8">
        <v>15000</v>
      </c>
      <c r="G1962" s="8">
        <f t="shared" si="120"/>
        <v>5777</v>
      </c>
      <c r="H1962" s="6">
        <v>60000</v>
      </c>
      <c r="I1962" t="s">
        <v>69</v>
      </c>
      <c r="J1962" t="s">
        <v>35</v>
      </c>
      <c r="K1962" t="s">
        <v>1647</v>
      </c>
      <c r="L1962" t="s">
        <v>48</v>
      </c>
      <c r="M1962" t="s">
        <v>45</v>
      </c>
      <c r="N1962" s="6">
        <v>2</v>
      </c>
      <c r="O1962" t="str">
        <f t="shared" si="121"/>
        <v>Normal</v>
      </c>
      <c r="P1962" t="str">
        <f t="shared" si="122"/>
        <v>Duplicate ID</v>
      </c>
      <c r="Q1962" t="str">
        <f t="shared" si="123"/>
        <v>5,000-9,999</v>
      </c>
      <c r="R1962" s="6">
        <f>IF(COUNTIF($A$2:A1962,A1962)=1,1,0)</f>
        <v>0</v>
      </c>
    </row>
    <row r="1963" spans="1:18" x14ac:dyDescent="0.25">
      <c r="A1963" s="6">
        <v>1555</v>
      </c>
      <c r="B1963" s="7">
        <v>45076</v>
      </c>
      <c r="C1963" t="s">
        <v>51</v>
      </c>
      <c r="D1963" s="6">
        <v>2018</v>
      </c>
      <c r="E1963" s="8">
        <v>11841</v>
      </c>
      <c r="F1963" s="8">
        <v>18000</v>
      </c>
      <c r="G1963" s="8">
        <f t="shared" si="120"/>
        <v>6159</v>
      </c>
      <c r="H1963" s="6">
        <v>25000</v>
      </c>
      <c r="I1963" t="s">
        <v>41</v>
      </c>
      <c r="J1963" t="s">
        <v>35</v>
      </c>
      <c r="K1963" t="s">
        <v>96</v>
      </c>
      <c r="L1963" t="s">
        <v>100</v>
      </c>
      <c r="M1963" t="s">
        <v>90</v>
      </c>
      <c r="N1963" s="6">
        <v>0</v>
      </c>
      <c r="O1963" t="str">
        <f t="shared" si="121"/>
        <v>Normal</v>
      </c>
      <c r="P1963" t="str">
        <f t="shared" si="122"/>
        <v>Duplicate ID</v>
      </c>
      <c r="Q1963" t="str">
        <f t="shared" si="123"/>
        <v>10,000-14,999</v>
      </c>
      <c r="R1963" s="6">
        <f>IF(COUNTIF($A$2:A1963,A1963)=1,1,0)</f>
        <v>0</v>
      </c>
    </row>
    <row r="1964" spans="1:18" x14ac:dyDescent="0.25">
      <c r="A1964" s="6">
        <v>1025</v>
      </c>
      <c r="B1964" s="7">
        <v>45261</v>
      </c>
      <c r="C1964" t="s">
        <v>1648</v>
      </c>
      <c r="D1964" s="6">
        <v>2018</v>
      </c>
      <c r="E1964" s="8">
        <v>204</v>
      </c>
      <c r="F1964" s="8">
        <v>7000</v>
      </c>
      <c r="G1964" s="8">
        <f t="shared" si="120"/>
        <v>6796</v>
      </c>
      <c r="H1964" s="6">
        <v>80000</v>
      </c>
      <c r="I1964" t="s">
        <v>69</v>
      </c>
      <c r="J1964" t="s">
        <v>72</v>
      </c>
      <c r="K1964" t="s">
        <v>96</v>
      </c>
      <c r="L1964" t="s">
        <v>73</v>
      </c>
      <c r="M1964" t="s">
        <v>98</v>
      </c>
      <c r="N1964" s="6">
        <v>1</v>
      </c>
      <c r="O1964" t="str">
        <f t="shared" si="121"/>
        <v>Outlier</v>
      </c>
      <c r="P1964" t="str">
        <f t="shared" si="122"/>
        <v>Duplicate ID</v>
      </c>
      <c r="Q1964" t="str">
        <f t="shared" si="123"/>
        <v>0-4,999</v>
      </c>
      <c r="R1964" s="6">
        <f>IF(COUNTIF($A$2:A1964,A1964)=1,1,0)</f>
        <v>0</v>
      </c>
    </row>
    <row r="1965" spans="1:18" x14ac:dyDescent="0.25">
      <c r="A1965" s="6">
        <v>1364</v>
      </c>
      <c r="B1965" s="7">
        <v>44548</v>
      </c>
      <c r="C1965" t="s">
        <v>1648</v>
      </c>
      <c r="D1965" s="6">
        <v>2022</v>
      </c>
      <c r="E1965" s="8">
        <v>29573</v>
      </c>
      <c r="F1965" s="8">
        <v>31000</v>
      </c>
      <c r="G1965" s="8">
        <f t="shared" si="120"/>
        <v>1427</v>
      </c>
      <c r="H1965" s="6">
        <v>80000</v>
      </c>
      <c r="I1965" t="s">
        <v>69</v>
      </c>
      <c r="J1965" t="s">
        <v>72</v>
      </c>
      <c r="K1965" t="s">
        <v>36</v>
      </c>
      <c r="L1965" t="s">
        <v>48</v>
      </c>
      <c r="M1965" t="s">
        <v>90</v>
      </c>
      <c r="N1965" s="6">
        <v>0</v>
      </c>
      <c r="O1965" t="str">
        <f t="shared" si="121"/>
        <v>Normal</v>
      </c>
      <c r="P1965" t="str">
        <f t="shared" si="122"/>
        <v>Duplicate ID</v>
      </c>
      <c r="Q1965" t="str">
        <f t="shared" si="123"/>
        <v>25,000-30,000</v>
      </c>
      <c r="R1965" s="6">
        <f>IF(COUNTIF($A$2:A1965,A1965)=1,1,0)</f>
        <v>0</v>
      </c>
    </row>
    <row r="1966" spans="1:18" x14ac:dyDescent="0.25">
      <c r="A1966" s="6">
        <v>1221</v>
      </c>
      <c r="B1966" s="7">
        <v>44243</v>
      </c>
      <c r="C1966" t="s">
        <v>1648</v>
      </c>
      <c r="D1966" s="6">
        <v>2016</v>
      </c>
      <c r="E1966" s="8">
        <v>19063</v>
      </c>
      <c r="F1966" s="8">
        <v>26000</v>
      </c>
      <c r="G1966" s="8">
        <f t="shared" si="120"/>
        <v>6937</v>
      </c>
      <c r="H1966" s="6">
        <v>60000</v>
      </c>
      <c r="I1966" t="s">
        <v>41</v>
      </c>
      <c r="J1966" t="s">
        <v>35</v>
      </c>
      <c r="K1966" t="s">
        <v>1647</v>
      </c>
      <c r="L1966" t="s">
        <v>54</v>
      </c>
      <c r="M1966" t="s">
        <v>45</v>
      </c>
      <c r="N1966" s="6" t="s">
        <v>1647</v>
      </c>
      <c r="O1966" t="str">
        <f t="shared" si="121"/>
        <v>Normal</v>
      </c>
      <c r="P1966" t="str">
        <f t="shared" si="122"/>
        <v>Duplicate ID</v>
      </c>
      <c r="Q1966" t="str">
        <f t="shared" si="123"/>
        <v>15,000-19,999</v>
      </c>
      <c r="R1966" s="6">
        <f>IF(COUNTIF($A$2:A1966,A1966)=1,1,0)</f>
        <v>1</v>
      </c>
    </row>
    <row r="1967" spans="1:18" x14ac:dyDescent="0.25">
      <c r="A1967" s="6">
        <v>1200</v>
      </c>
      <c r="B1967" s="7">
        <v>45366</v>
      </c>
      <c r="C1967" t="s">
        <v>1648</v>
      </c>
      <c r="D1967" s="6">
        <v>2021</v>
      </c>
      <c r="E1967" s="8">
        <v>10270</v>
      </c>
      <c r="F1967" s="8">
        <v>15000</v>
      </c>
      <c r="G1967" s="8">
        <f t="shared" si="120"/>
        <v>4730</v>
      </c>
      <c r="H1967" s="6">
        <v>120000</v>
      </c>
      <c r="I1967" t="s">
        <v>69</v>
      </c>
      <c r="J1967" t="s">
        <v>72</v>
      </c>
      <c r="K1967" t="s">
        <v>36</v>
      </c>
      <c r="L1967" t="s">
        <v>100</v>
      </c>
      <c r="M1967" t="s">
        <v>45</v>
      </c>
      <c r="N1967" s="6">
        <v>3</v>
      </c>
      <c r="O1967" t="str">
        <f t="shared" si="121"/>
        <v>Normal</v>
      </c>
      <c r="P1967" t="str">
        <f t="shared" si="122"/>
        <v>Duplicate ID</v>
      </c>
      <c r="Q1967" t="str">
        <f t="shared" si="123"/>
        <v>10,000-14,999</v>
      </c>
      <c r="R1967" s="6">
        <f>IF(COUNTIF($A$2:A1967,A1967)=1,1,0)</f>
        <v>0</v>
      </c>
    </row>
    <row r="1968" spans="1:18" x14ac:dyDescent="0.25">
      <c r="A1968" s="6">
        <v>1221</v>
      </c>
      <c r="B1968" s="7">
        <v>45178</v>
      </c>
      <c r="C1968" t="s">
        <v>119</v>
      </c>
      <c r="D1968" s="6">
        <v>2018</v>
      </c>
      <c r="E1968" s="8">
        <v>7473</v>
      </c>
      <c r="F1968" s="8">
        <v>9000</v>
      </c>
      <c r="G1968" s="8">
        <f t="shared" si="120"/>
        <v>1527</v>
      </c>
      <c r="H1968" s="6">
        <v>15000</v>
      </c>
      <c r="I1968" t="s">
        <v>58</v>
      </c>
      <c r="J1968" t="s">
        <v>1647</v>
      </c>
      <c r="K1968" t="s">
        <v>96</v>
      </c>
      <c r="L1968" t="s">
        <v>100</v>
      </c>
      <c r="M1968" t="s">
        <v>45</v>
      </c>
      <c r="N1968" s="6">
        <v>3</v>
      </c>
      <c r="O1968" t="str">
        <f t="shared" si="121"/>
        <v>Normal</v>
      </c>
      <c r="P1968" t="str">
        <f t="shared" si="122"/>
        <v>Duplicate ID</v>
      </c>
      <c r="Q1968" t="str">
        <f t="shared" si="123"/>
        <v>5,000-9,999</v>
      </c>
      <c r="R1968" s="6">
        <f>IF(COUNTIF($A$2:A1968,A1968)=1,1,0)</f>
        <v>0</v>
      </c>
    </row>
    <row r="1969" spans="1:18" x14ac:dyDescent="0.25">
      <c r="A1969" s="6">
        <v>1568</v>
      </c>
      <c r="B1969" s="7">
        <v>44944</v>
      </c>
      <c r="C1969" t="s">
        <v>1648</v>
      </c>
      <c r="D1969" s="6">
        <v>2020</v>
      </c>
      <c r="E1969" s="8">
        <v>6687</v>
      </c>
      <c r="F1969" s="8">
        <v>9000</v>
      </c>
      <c r="G1969" s="8">
        <f t="shared" si="120"/>
        <v>2313</v>
      </c>
      <c r="H1969" s="6">
        <v>15000</v>
      </c>
      <c r="I1969" t="s">
        <v>41</v>
      </c>
      <c r="J1969" t="s">
        <v>35</v>
      </c>
      <c r="K1969" t="s">
        <v>1647</v>
      </c>
      <c r="L1969" t="s">
        <v>73</v>
      </c>
      <c r="M1969" t="s">
        <v>45</v>
      </c>
      <c r="N1969" s="6">
        <v>3</v>
      </c>
      <c r="O1969" t="str">
        <f t="shared" si="121"/>
        <v>Normal</v>
      </c>
      <c r="P1969" t="str">
        <f t="shared" si="122"/>
        <v>Duplicate ID</v>
      </c>
      <c r="Q1969" t="str">
        <f t="shared" si="123"/>
        <v>5,000-9,999</v>
      </c>
      <c r="R1969" s="6">
        <f>IF(COUNTIF($A$2:A1969,A1969)=1,1,0)</f>
        <v>0</v>
      </c>
    </row>
    <row r="1970" spans="1:18" x14ac:dyDescent="0.25">
      <c r="A1970" s="6">
        <v>1572</v>
      </c>
      <c r="B1970" s="7">
        <v>44714</v>
      </c>
      <c r="C1970" t="s">
        <v>119</v>
      </c>
      <c r="D1970" s="6">
        <v>2014</v>
      </c>
      <c r="E1970" s="8">
        <v>9640</v>
      </c>
      <c r="F1970" s="8">
        <v>12000</v>
      </c>
      <c r="G1970" s="8">
        <f t="shared" si="120"/>
        <v>2360</v>
      </c>
      <c r="H1970" s="6">
        <v>80000</v>
      </c>
      <c r="I1970" t="s">
        <v>58</v>
      </c>
      <c r="J1970" t="s">
        <v>35</v>
      </c>
      <c r="K1970" t="s">
        <v>36</v>
      </c>
      <c r="L1970" t="s">
        <v>48</v>
      </c>
      <c r="M1970" t="s">
        <v>1647</v>
      </c>
      <c r="N1970" s="6" t="s">
        <v>1647</v>
      </c>
      <c r="O1970" t="str">
        <f t="shared" si="121"/>
        <v>Normal</v>
      </c>
      <c r="P1970" t="str">
        <f t="shared" si="122"/>
        <v>Duplicate ID</v>
      </c>
      <c r="Q1970" t="str">
        <f t="shared" si="123"/>
        <v>5,000-9,999</v>
      </c>
      <c r="R1970" s="6">
        <f>IF(COUNTIF($A$2:A1970,A1970)=1,1,0)</f>
        <v>0</v>
      </c>
    </row>
    <row r="1971" spans="1:18" x14ac:dyDescent="0.25">
      <c r="A1971" s="6">
        <v>1437</v>
      </c>
      <c r="B1971" s="7">
        <v>44667</v>
      </c>
      <c r="C1971" t="s">
        <v>57</v>
      </c>
      <c r="D1971" s="6">
        <v>2015</v>
      </c>
      <c r="E1971" s="8">
        <v>7385</v>
      </c>
      <c r="F1971" s="8">
        <v>12000</v>
      </c>
      <c r="G1971" s="8">
        <f t="shared" si="120"/>
        <v>4615</v>
      </c>
      <c r="H1971" s="6">
        <v>120000</v>
      </c>
      <c r="I1971" t="s">
        <v>69</v>
      </c>
      <c r="J1971" t="s">
        <v>35</v>
      </c>
      <c r="K1971" t="s">
        <v>36</v>
      </c>
      <c r="L1971" t="s">
        <v>73</v>
      </c>
      <c r="M1971" t="s">
        <v>98</v>
      </c>
      <c r="N1971" s="6">
        <v>1</v>
      </c>
      <c r="O1971" t="str">
        <f t="shared" si="121"/>
        <v>Normal</v>
      </c>
      <c r="P1971" t="str">
        <f t="shared" si="122"/>
        <v>Duplicate ID</v>
      </c>
      <c r="Q1971" t="str">
        <f t="shared" si="123"/>
        <v>5,000-9,999</v>
      </c>
      <c r="R1971" s="6">
        <f>IF(COUNTIF($A$2:A1971,A1971)=1,1,0)</f>
        <v>0</v>
      </c>
    </row>
    <row r="1972" spans="1:18" x14ac:dyDescent="0.25">
      <c r="A1972" s="6">
        <v>1141</v>
      </c>
      <c r="B1972" s="7">
        <v>44801</v>
      </c>
      <c r="C1972" t="s">
        <v>40</v>
      </c>
      <c r="D1972" s="6">
        <v>2015</v>
      </c>
      <c r="E1972" s="8">
        <v>25492</v>
      </c>
      <c r="F1972" s="8">
        <v>31000</v>
      </c>
      <c r="G1972" s="8">
        <f t="shared" si="120"/>
        <v>5508</v>
      </c>
      <c r="H1972" s="6">
        <v>15000</v>
      </c>
      <c r="I1972" t="s">
        <v>34</v>
      </c>
      <c r="J1972" t="s">
        <v>35</v>
      </c>
      <c r="K1972" t="s">
        <v>96</v>
      </c>
      <c r="L1972" t="s">
        <v>48</v>
      </c>
      <c r="M1972" t="s">
        <v>90</v>
      </c>
      <c r="N1972" s="6">
        <v>3</v>
      </c>
      <c r="O1972" t="str">
        <f t="shared" si="121"/>
        <v>Normal</v>
      </c>
      <c r="P1972" t="str">
        <f t="shared" si="122"/>
        <v>Duplicate ID</v>
      </c>
      <c r="Q1972" t="str">
        <f t="shared" si="123"/>
        <v>25,000-30,000</v>
      </c>
      <c r="R1972" s="6">
        <f>IF(COUNTIF($A$2:A1972,A1972)=1,1,0)</f>
        <v>0</v>
      </c>
    </row>
    <row r="1973" spans="1:18" x14ac:dyDescent="0.25">
      <c r="A1973" s="6">
        <v>1361</v>
      </c>
      <c r="B1973" s="7">
        <v>44867</v>
      </c>
      <c r="C1973" t="s">
        <v>51</v>
      </c>
      <c r="D1973" s="6">
        <v>2015</v>
      </c>
      <c r="E1973" s="8">
        <v>5009</v>
      </c>
      <c r="F1973" s="8">
        <v>12000</v>
      </c>
      <c r="G1973" s="8">
        <f t="shared" si="120"/>
        <v>6991</v>
      </c>
      <c r="H1973" s="6">
        <v>80000</v>
      </c>
      <c r="I1973" t="s">
        <v>69</v>
      </c>
      <c r="J1973" t="s">
        <v>35</v>
      </c>
      <c r="K1973" t="s">
        <v>36</v>
      </c>
      <c r="L1973" t="s">
        <v>1647</v>
      </c>
      <c r="M1973" t="s">
        <v>126</v>
      </c>
      <c r="N1973" s="6" t="s">
        <v>1647</v>
      </c>
      <c r="O1973" t="str">
        <f t="shared" si="121"/>
        <v>Normal</v>
      </c>
      <c r="P1973" t="str">
        <f t="shared" si="122"/>
        <v>Duplicate ID</v>
      </c>
      <c r="Q1973" t="str">
        <f t="shared" si="123"/>
        <v>5,000-9,999</v>
      </c>
      <c r="R1973" s="6">
        <f>IF(COUNTIF($A$2:A1973,A1973)=1,1,0)</f>
        <v>0</v>
      </c>
    </row>
    <row r="1974" spans="1:18" x14ac:dyDescent="0.25">
      <c r="A1974" s="6">
        <v>1439</v>
      </c>
      <c r="B1974" s="7">
        <v>44460</v>
      </c>
      <c r="C1974" t="s">
        <v>51</v>
      </c>
      <c r="D1974" s="6">
        <v>2022</v>
      </c>
      <c r="E1974" s="8">
        <v>15945</v>
      </c>
      <c r="F1974" s="8">
        <v>18000</v>
      </c>
      <c r="G1974" s="8">
        <f t="shared" si="120"/>
        <v>2055</v>
      </c>
      <c r="H1974" s="6">
        <v>120000</v>
      </c>
      <c r="I1974" t="s">
        <v>58</v>
      </c>
      <c r="J1974" t="s">
        <v>72</v>
      </c>
      <c r="K1974" t="s">
        <v>36</v>
      </c>
      <c r="L1974" t="s">
        <v>48</v>
      </c>
      <c r="M1974" t="s">
        <v>90</v>
      </c>
      <c r="N1974" s="6">
        <v>1</v>
      </c>
      <c r="O1974" t="str">
        <f t="shared" si="121"/>
        <v>Normal</v>
      </c>
      <c r="P1974" t="str">
        <f t="shared" si="122"/>
        <v>Duplicate ID</v>
      </c>
      <c r="Q1974" t="str">
        <f t="shared" si="123"/>
        <v>15,000-19,999</v>
      </c>
      <c r="R1974" s="6">
        <f>IF(COUNTIF($A$2:A1974,A1974)=1,1,0)</f>
        <v>0</v>
      </c>
    </row>
    <row r="1975" spans="1:18" x14ac:dyDescent="0.25">
      <c r="A1975" s="6">
        <v>1236</v>
      </c>
      <c r="B1975" s="7">
        <v>45280</v>
      </c>
      <c r="C1975" t="s">
        <v>119</v>
      </c>
      <c r="D1975" s="6">
        <v>2019</v>
      </c>
      <c r="E1975" s="8">
        <v>641</v>
      </c>
      <c r="F1975" s="8">
        <v>7000</v>
      </c>
      <c r="G1975" s="8">
        <f t="shared" si="120"/>
        <v>6359</v>
      </c>
      <c r="H1975" s="6">
        <v>25000</v>
      </c>
      <c r="I1975" t="s">
        <v>58</v>
      </c>
      <c r="J1975" t="s">
        <v>72</v>
      </c>
      <c r="K1975" t="s">
        <v>36</v>
      </c>
      <c r="L1975" t="s">
        <v>48</v>
      </c>
      <c r="M1975" t="s">
        <v>45</v>
      </c>
      <c r="N1975" s="6">
        <v>1</v>
      </c>
      <c r="O1975" t="str">
        <f t="shared" si="121"/>
        <v>Outlier</v>
      </c>
      <c r="P1975" t="str">
        <f t="shared" si="122"/>
        <v>Duplicate ID</v>
      </c>
      <c r="Q1975" t="str">
        <f t="shared" si="123"/>
        <v>0-4,999</v>
      </c>
      <c r="R1975" s="6">
        <f>IF(COUNTIF($A$2:A1975,A1975)=1,1,0)</f>
        <v>0</v>
      </c>
    </row>
    <row r="1976" spans="1:18" x14ac:dyDescent="0.25">
      <c r="A1976" s="6">
        <v>1425</v>
      </c>
      <c r="B1976" s="7">
        <v>44426</v>
      </c>
      <c r="C1976" t="s">
        <v>32</v>
      </c>
      <c r="D1976" s="6">
        <v>2020</v>
      </c>
      <c r="E1976" s="8">
        <v>10754</v>
      </c>
      <c r="F1976" s="8">
        <v>12000</v>
      </c>
      <c r="G1976" s="8">
        <f t="shared" si="120"/>
        <v>1246</v>
      </c>
      <c r="H1976" s="6">
        <v>80000</v>
      </c>
      <c r="I1976" t="s">
        <v>34</v>
      </c>
      <c r="J1976" t="s">
        <v>1647</v>
      </c>
      <c r="K1976" t="s">
        <v>96</v>
      </c>
      <c r="L1976" t="s">
        <v>1647</v>
      </c>
      <c r="M1976" t="s">
        <v>98</v>
      </c>
      <c r="N1976" s="6">
        <v>2</v>
      </c>
      <c r="O1976" t="str">
        <f t="shared" si="121"/>
        <v>Normal</v>
      </c>
      <c r="P1976" t="str">
        <f t="shared" si="122"/>
        <v>Duplicate ID</v>
      </c>
      <c r="Q1976" t="str">
        <f t="shared" si="123"/>
        <v>10,000-14,999</v>
      </c>
      <c r="R1976" s="6">
        <f>IF(COUNTIF($A$2:A1976,A1976)=1,1,0)</f>
        <v>0</v>
      </c>
    </row>
    <row r="1977" spans="1:18" x14ac:dyDescent="0.25">
      <c r="A1977" s="6">
        <v>1285</v>
      </c>
      <c r="B1977" s="7">
        <v>44962</v>
      </c>
      <c r="C1977" t="s">
        <v>40</v>
      </c>
      <c r="D1977" s="6">
        <v>2017</v>
      </c>
      <c r="E1977" s="8">
        <v>11918</v>
      </c>
      <c r="F1977" s="8">
        <v>15000</v>
      </c>
      <c r="G1977" s="8">
        <f t="shared" si="120"/>
        <v>3082</v>
      </c>
      <c r="H1977" s="6">
        <v>15000</v>
      </c>
      <c r="I1977" t="s">
        <v>41</v>
      </c>
      <c r="J1977" t="s">
        <v>72</v>
      </c>
      <c r="K1977" t="s">
        <v>96</v>
      </c>
      <c r="L1977" t="s">
        <v>54</v>
      </c>
      <c r="M1977" t="s">
        <v>98</v>
      </c>
      <c r="N1977" s="6">
        <v>0</v>
      </c>
      <c r="O1977" t="str">
        <f t="shared" si="121"/>
        <v>Normal</v>
      </c>
      <c r="P1977" t="str">
        <f t="shared" si="122"/>
        <v>Duplicate ID</v>
      </c>
      <c r="Q1977" t="str">
        <f t="shared" si="123"/>
        <v>10,000-14,999</v>
      </c>
      <c r="R1977" s="6">
        <f>IF(COUNTIF($A$2:A1977,A1977)=1,1,0)</f>
        <v>0</v>
      </c>
    </row>
    <row r="1978" spans="1:18" x14ac:dyDescent="0.25">
      <c r="A1978" s="6">
        <v>1028</v>
      </c>
      <c r="B1978" s="7">
        <v>45328</v>
      </c>
      <c r="C1978" t="s">
        <v>40</v>
      </c>
      <c r="D1978" s="6">
        <v>2018</v>
      </c>
      <c r="E1978" s="8">
        <v>14287</v>
      </c>
      <c r="F1978" s="8">
        <v>18000</v>
      </c>
      <c r="G1978" s="8">
        <f t="shared" si="120"/>
        <v>3713</v>
      </c>
      <c r="H1978" s="6">
        <v>40000</v>
      </c>
      <c r="I1978" t="s">
        <v>34</v>
      </c>
      <c r="J1978" t="s">
        <v>72</v>
      </c>
      <c r="K1978" t="s">
        <v>36</v>
      </c>
      <c r="L1978" t="s">
        <v>48</v>
      </c>
      <c r="M1978" t="s">
        <v>90</v>
      </c>
      <c r="N1978" s="6" t="s">
        <v>1647</v>
      </c>
      <c r="O1978" t="str">
        <f t="shared" si="121"/>
        <v>Normal</v>
      </c>
      <c r="P1978" t="str">
        <f t="shared" si="122"/>
        <v>Duplicate ID</v>
      </c>
      <c r="Q1978" t="str">
        <f t="shared" si="123"/>
        <v>10,000-14,999</v>
      </c>
      <c r="R1978" s="6">
        <f>IF(COUNTIF($A$2:A1978,A1978)=1,1,0)</f>
        <v>0</v>
      </c>
    </row>
    <row r="1979" spans="1:18" x14ac:dyDescent="0.25">
      <c r="A1979" s="6">
        <v>1367</v>
      </c>
      <c r="B1979" s="7">
        <v>44440</v>
      </c>
      <c r="C1979" t="s">
        <v>40</v>
      </c>
      <c r="D1979" s="6"/>
      <c r="E1979" s="8">
        <v>10215</v>
      </c>
      <c r="F1979" s="8">
        <v>12000</v>
      </c>
      <c r="G1979" s="8">
        <f t="shared" si="120"/>
        <v>1785</v>
      </c>
      <c r="H1979" s="6">
        <v>40000</v>
      </c>
      <c r="I1979" t="s">
        <v>34</v>
      </c>
      <c r="J1979" t="s">
        <v>1647</v>
      </c>
      <c r="K1979" t="s">
        <v>1647</v>
      </c>
      <c r="L1979" t="s">
        <v>48</v>
      </c>
      <c r="M1979" t="s">
        <v>126</v>
      </c>
      <c r="N1979" s="6">
        <v>1</v>
      </c>
      <c r="O1979" t="str">
        <f t="shared" si="121"/>
        <v>Normal</v>
      </c>
      <c r="P1979" t="str">
        <f t="shared" si="122"/>
        <v>Duplicate ID</v>
      </c>
      <c r="Q1979" t="str">
        <f t="shared" si="123"/>
        <v>10,000-14,999</v>
      </c>
      <c r="R1979" s="6">
        <f>IF(COUNTIF($A$2:A1979,A1979)=1,1,0)</f>
        <v>0</v>
      </c>
    </row>
    <row r="1980" spans="1:18" x14ac:dyDescent="0.25">
      <c r="A1980" s="6">
        <v>1163</v>
      </c>
      <c r="B1980" s="7">
        <v>44959</v>
      </c>
      <c r="C1980" t="s">
        <v>32</v>
      </c>
      <c r="D1980" s="6">
        <v>2019</v>
      </c>
      <c r="E1980" s="8">
        <v>8286</v>
      </c>
      <c r="F1980" s="8">
        <v>12000</v>
      </c>
      <c r="G1980" s="8">
        <f t="shared" si="120"/>
        <v>3714</v>
      </c>
      <c r="H1980" s="6">
        <v>120000</v>
      </c>
      <c r="I1980" t="s">
        <v>41</v>
      </c>
      <c r="J1980" t="s">
        <v>72</v>
      </c>
      <c r="K1980" t="s">
        <v>1647</v>
      </c>
      <c r="L1980" t="s">
        <v>1647</v>
      </c>
      <c r="M1980" t="s">
        <v>90</v>
      </c>
      <c r="N1980" s="6">
        <v>3</v>
      </c>
      <c r="O1980" t="str">
        <f t="shared" si="121"/>
        <v>Normal</v>
      </c>
      <c r="P1980" t="str">
        <f t="shared" si="122"/>
        <v>Duplicate ID</v>
      </c>
      <c r="Q1980" t="str">
        <f t="shared" si="123"/>
        <v>5,000-9,999</v>
      </c>
      <c r="R1980" s="6">
        <f>IF(COUNTIF($A$2:A1980,A1980)=1,1,0)</f>
        <v>0</v>
      </c>
    </row>
    <row r="1981" spans="1:18" x14ac:dyDescent="0.25">
      <c r="A1981" s="6">
        <v>1058</v>
      </c>
      <c r="B1981" s="7">
        <v>44752</v>
      </c>
      <c r="C1981" t="s">
        <v>1648</v>
      </c>
      <c r="D1981" s="6">
        <v>2018</v>
      </c>
      <c r="E1981" s="8">
        <v>14135</v>
      </c>
      <c r="F1981" s="8">
        <v>18000</v>
      </c>
      <c r="G1981" s="8">
        <f t="shared" si="120"/>
        <v>3865</v>
      </c>
      <c r="H1981" s="6">
        <v>25000</v>
      </c>
      <c r="I1981" t="s">
        <v>34</v>
      </c>
      <c r="J1981" t="s">
        <v>35</v>
      </c>
      <c r="K1981" t="s">
        <v>96</v>
      </c>
      <c r="L1981" t="s">
        <v>100</v>
      </c>
      <c r="M1981" t="s">
        <v>45</v>
      </c>
      <c r="N1981" s="6">
        <v>0</v>
      </c>
      <c r="O1981" t="str">
        <f t="shared" si="121"/>
        <v>Normal</v>
      </c>
      <c r="P1981" t="str">
        <f t="shared" si="122"/>
        <v>Duplicate ID</v>
      </c>
      <c r="Q1981" t="str">
        <f t="shared" si="123"/>
        <v>10,000-14,999</v>
      </c>
      <c r="R1981" s="6">
        <f>IF(COUNTIF($A$2:A1981,A1981)=1,1,0)</f>
        <v>0</v>
      </c>
    </row>
    <row r="1982" spans="1:18" x14ac:dyDescent="0.25">
      <c r="A1982" s="6">
        <v>1327</v>
      </c>
      <c r="B1982" s="7">
        <v>44861</v>
      </c>
      <c r="C1982" t="s">
        <v>32</v>
      </c>
      <c r="D1982" s="6">
        <v>2015</v>
      </c>
      <c r="E1982" s="8">
        <v>6697</v>
      </c>
      <c r="F1982" s="8">
        <v>9000</v>
      </c>
      <c r="G1982" s="8">
        <f t="shared" si="120"/>
        <v>2303</v>
      </c>
      <c r="H1982" s="6">
        <v>40000</v>
      </c>
      <c r="I1982" t="s">
        <v>1647</v>
      </c>
      <c r="J1982" t="s">
        <v>1647</v>
      </c>
      <c r="K1982" t="s">
        <v>1647</v>
      </c>
      <c r="L1982" t="s">
        <v>1647</v>
      </c>
      <c r="M1982" t="s">
        <v>90</v>
      </c>
      <c r="N1982" s="6">
        <v>3</v>
      </c>
      <c r="O1982" t="str">
        <f t="shared" si="121"/>
        <v>Normal</v>
      </c>
      <c r="P1982" t="str">
        <f t="shared" si="122"/>
        <v>Duplicate ID</v>
      </c>
      <c r="Q1982" t="str">
        <f t="shared" si="123"/>
        <v>5,000-9,999</v>
      </c>
      <c r="R1982" s="6">
        <f>IF(COUNTIF($A$2:A1982,A1982)=1,1,0)</f>
        <v>0</v>
      </c>
    </row>
    <row r="1983" spans="1:18" x14ac:dyDescent="0.25">
      <c r="A1983" s="6">
        <v>1019</v>
      </c>
      <c r="B1983" s="7">
        <v>45285</v>
      </c>
      <c r="C1983" t="s">
        <v>40</v>
      </c>
      <c r="D1983" s="6">
        <v>2017</v>
      </c>
      <c r="E1983" s="8">
        <v>5737</v>
      </c>
      <c r="F1983" s="8">
        <v>9000</v>
      </c>
      <c r="G1983" s="8">
        <f t="shared" si="120"/>
        <v>3263</v>
      </c>
      <c r="H1983" s="6">
        <v>60000</v>
      </c>
      <c r="I1983" t="s">
        <v>69</v>
      </c>
      <c r="J1983" t="s">
        <v>1647</v>
      </c>
      <c r="K1983" t="s">
        <v>1647</v>
      </c>
      <c r="L1983" t="s">
        <v>73</v>
      </c>
      <c r="M1983" t="s">
        <v>98</v>
      </c>
      <c r="N1983" s="6">
        <v>0</v>
      </c>
      <c r="O1983" t="str">
        <f t="shared" si="121"/>
        <v>Normal</v>
      </c>
      <c r="P1983" t="str">
        <f t="shared" si="122"/>
        <v>Duplicate ID</v>
      </c>
      <c r="Q1983" t="str">
        <f t="shared" si="123"/>
        <v>5,000-9,999</v>
      </c>
      <c r="R1983" s="6">
        <f>IF(COUNTIF($A$2:A1983,A1983)=1,1,0)</f>
        <v>0</v>
      </c>
    </row>
    <row r="1984" spans="1:18" x14ac:dyDescent="0.25">
      <c r="A1984" s="6">
        <v>1376</v>
      </c>
      <c r="B1984" s="7">
        <v>44647</v>
      </c>
      <c r="C1984" t="s">
        <v>1648</v>
      </c>
      <c r="D1984" s="6">
        <v>2015</v>
      </c>
      <c r="E1984" s="8">
        <v>15542</v>
      </c>
      <c r="F1984" s="8">
        <v>18000</v>
      </c>
      <c r="G1984" s="8">
        <f t="shared" si="120"/>
        <v>2458</v>
      </c>
      <c r="H1984" s="6">
        <v>25000</v>
      </c>
      <c r="I1984" t="s">
        <v>69</v>
      </c>
      <c r="J1984" t="s">
        <v>72</v>
      </c>
      <c r="K1984" t="s">
        <v>1647</v>
      </c>
      <c r="L1984" t="s">
        <v>100</v>
      </c>
      <c r="M1984" t="s">
        <v>126</v>
      </c>
      <c r="N1984" s="6">
        <v>2</v>
      </c>
      <c r="O1984" t="str">
        <f t="shared" si="121"/>
        <v>Normal</v>
      </c>
      <c r="P1984" t="str">
        <f t="shared" si="122"/>
        <v>Duplicate ID</v>
      </c>
      <c r="Q1984" t="str">
        <f t="shared" si="123"/>
        <v>15,000-19,999</v>
      </c>
      <c r="R1984" s="6">
        <f>IF(COUNTIF($A$2:A1984,A1984)=1,1,0)</f>
        <v>0</v>
      </c>
    </row>
    <row r="1985" spans="1:18" x14ac:dyDescent="0.25">
      <c r="A1985" s="6">
        <v>1507</v>
      </c>
      <c r="B1985" s="7">
        <v>45108</v>
      </c>
      <c r="C1985" t="s">
        <v>79</v>
      </c>
      <c r="D1985" s="6"/>
      <c r="E1985" s="8">
        <v>22369</v>
      </c>
      <c r="F1985" s="8">
        <v>26000</v>
      </c>
      <c r="G1985" s="8">
        <f t="shared" si="120"/>
        <v>3631</v>
      </c>
      <c r="H1985" s="6">
        <v>60000</v>
      </c>
      <c r="I1985" t="s">
        <v>58</v>
      </c>
      <c r="J1985" t="s">
        <v>72</v>
      </c>
      <c r="K1985" t="s">
        <v>1647</v>
      </c>
      <c r="L1985" t="s">
        <v>1647</v>
      </c>
      <c r="M1985" t="s">
        <v>90</v>
      </c>
      <c r="N1985" s="6">
        <v>0</v>
      </c>
      <c r="O1985" t="str">
        <f t="shared" si="121"/>
        <v>Normal</v>
      </c>
      <c r="P1985" t="str">
        <f t="shared" si="122"/>
        <v>Duplicate ID</v>
      </c>
      <c r="Q1985" t="str">
        <f t="shared" si="123"/>
        <v>20,000-24,999</v>
      </c>
      <c r="R1985" s="6">
        <f>IF(COUNTIF($A$2:A1985,A1985)=1,1,0)</f>
        <v>0</v>
      </c>
    </row>
    <row r="1986" spans="1:18" x14ac:dyDescent="0.25">
      <c r="A1986" s="6">
        <v>1256</v>
      </c>
      <c r="B1986" s="7">
        <v>45102</v>
      </c>
      <c r="C1986" t="s">
        <v>51</v>
      </c>
      <c r="D1986" s="6">
        <v>2019</v>
      </c>
      <c r="E1986" s="8">
        <v>28831</v>
      </c>
      <c r="F1986" s="8">
        <v>31000</v>
      </c>
      <c r="G1986" s="8">
        <f t="shared" ref="G1986:G2049" si="124">IF(OR(F1986="",E1986=""),"",F1986-E1986)</f>
        <v>2169</v>
      </c>
      <c r="H1986" s="6">
        <v>60000</v>
      </c>
      <c r="I1986" t="s">
        <v>34</v>
      </c>
      <c r="J1986" t="s">
        <v>35</v>
      </c>
      <c r="K1986" t="s">
        <v>1647</v>
      </c>
      <c r="L1986" t="s">
        <v>54</v>
      </c>
      <c r="M1986" t="s">
        <v>1647</v>
      </c>
      <c r="N1986" s="6" t="s">
        <v>1647</v>
      </c>
      <c r="O1986" t="str">
        <f t="shared" ref="O1986:O2049" si="125">IF(E1986&lt;1000,"Outlier","Normal")</f>
        <v>Normal</v>
      </c>
      <c r="P1986" t="str">
        <f t="shared" ref="P1986:P2049" si="126">IF(COUNTIF($A$2:$A$2501,A1986)&gt;1,"Duplicate ID","Unique ID")</f>
        <v>Duplicate ID</v>
      </c>
      <c r="Q1986" t="str">
        <f t="shared" ref="Q1986:Q2049" si="127">IF(E1986&lt;5000,"0-4,999",IF(E1986&lt;10000,"5,000-9,999",IF(E1986&lt;15000,"10,000-14,999",IF(E1986&lt;20000,"15,000-19,999",IF(E1986&lt;25000,"20,000-24,999","25,000-30,000")))))</f>
        <v>25,000-30,000</v>
      </c>
      <c r="R1986" s="6">
        <f>IF(COUNTIF($A$2:A1986,A1986)=1,1,0)</f>
        <v>0</v>
      </c>
    </row>
    <row r="1987" spans="1:18" x14ac:dyDescent="0.25">
      <c r="A1987" s="6">
        <v>1185</v>
      </c>
      <c r="B1987" s="7">
        <v>44540</v>
      </c>
      <c r="C1987" t="s">
        <v>1648</v>
      </c>
      <c r="D1987" s="6">
        <v>2014</v>
      </c>
      <c r="E1987" s="8">
        <v>2600</v>
      </c>
      <c r="F1987" s="8">
        <v>9000</v>
      </c>
      <c r="G1987" s="8">
        <f t="shared" si="124"/>
        <v>6400</v>
      </c>
      <c r="H1987" s="6">
        <v>40000</v>
      </c>
      <c r="I1987" t="s">
        <v>34</v>
      </c>
      <c r="J1987" t="s">
        <v>35</v>
      </c>
      <c r="K1987" t="s">
        <v>36</v>
      </c>
      <c r="L1987" t="s">
        <v>1647</v>
      </c>
      <c r="M1987" t="s">
        <v>90</v>
      </c>
      <c r="N1987" s="6">
        <v>2</v>
      </c>
      <c r="O1987" t="str">
        <f t="shared" si="125"/>
        <v>Normal</v>
      </c>
      <c r="P1987" t="str">
        <f t="shared" si="126"/>
        <v>Duplicate ID</v>
      </c>
      <c r="Q1987" t="str">
        <f t="shared" si="127"/>
        <v>0-4,999</v>
      </c>
      <c r="R1987" s="6">
        <f>IF(COUNTIF($A$2:A1987,A1987)=1,1,0)</f>
        <v>1</v>
      </c>
    </row>
    <row r="1988" spans="1:18" x14ac:dyDescent="0.25">
      <c r="A1988" s="6">
        <v>1591</v>
      </c>
      <c r="B1988" s="7">
        <v>45236</v>
      </c>
      <c r="C1988" t="s">
        <v>1648</v>
      </c>
      <c r="D1988" s="6">
        <v>2020</v>
      </c>
      <c r="E1988" s="8">
        <v>2499</v>
      </c>
      <c r="F1988" s="8">
        <v>9000</v>
      </c>
      <c r="G1988" s="8">
        <f t="shared" si="124"/>
        <v>6501</v>
      </c>
      <c r="H1988" s="6">
        <v>25000</v>
      </c>
      <c r="I1988" t="s">
        <v>41</v>
      </c>
      <c r="J1988" t="s">
        <v>72</v>
      </c>
      <c r="K1988" t="s">
        <v>96</v>
      </c>
      <c r="L1988" t="s">
        <v>48</v>
      </c>
      <c r="M1988" t="s">
        <v>126</v>
      </c>
      <c r="N1988" s="6">
        <v>0</v>
      </c>
      <c r="O1988" t="str">
        <f t="shared" si="125"/>
        <v>Normal</v>
      </c>
      <c r="P1988" t="str">
        <f t="shared" si="126"/>
        <v>Duplicate ID</v>
      </c>
      <c r="Q1988" t="str">
        <f t="shared" si="127"/>
        <v>0-4,999</v>
      </c>
      <c r="R1988" s="6">
        <f>IF(COUNTIF($A$2:A1988,A1988)=1,1,0)</f>
        <v>0</v>
      </c>
    </row>
    <row r="1989" spans="1:18" x14ac:dyDescent="0.25">
      <c r="A1989" s="6">
        <v>1477</v>
      </c>
      <c r="B1989" s="7">
        <v>44456</v>
      </c>
      <c r="C1989" t="s">
        <v>119</v>
      </c>
      <c r="D1989" s="6"/>
      <c r="E1989" s="8">
        <v>25131</v>
      </c>
      <c r="F1989" s="8">
        <v>31000</v>
      </c>
      <c r="G1989" s="8">
        <f t="shared" si="124"/>
        <v>5869</v>
      </c>
      <c r="H1989" s="6">
        <v>80000</v>
      </c>
      <c r="I1989" t="s">
        <v>34</v>
      </c>
      <c r="J1989" t="s">
        <v>35</v>
      </c>
      <c r="K1989" t="s">
        <v>36</v>
      </c>
      <c r="L1989" t="s">
        <v>100</v>
      </c>
      <c r="M1989" t="s">
        <v>1647</v>
      </c>
      <c r="N1989" s="6">
        <v>3</v>
      </c>
      <c r="O1989" t="str">
        <f t="shared" si="125"/>
        <v>Normal</v>
      </c>
      <c r="P1989" t="str">
        <f t="shared" si="126"/>
        <v>Duplicate ID</v>
      </c>
      <c r="Q1989" t="str">
        <f t="shared" si="127"/>
        <v>25,000-30,000</v>
      </c>
      <c r="R1989" s="6">
        <f>IF(COUNTIF($A$2:A1989,A1989)=1,1,0)</f>
        <v>0</v>
      </c>
    </row>
    <row r="1990" spans="1:18" x14ac:dyDescent="0.25">
      <c r="A1990" s="6">
        <v>1524</v>
      </c>
      <c r="B1990" s="7">
        <v>45345</v>
      </c>
      <c r="C1990" t="s">
        <v>79</v>
      </c>
      <c r="D1990" s="6">
        <v>2016</v>
      </c>
      <c r="E1990" s="8">
        <v>15735</v>
      </c>
      <c r="F1990" s="8">
        <v>22000</v>
      </c>
      <c r="G1990" s="8">
        <f t="shared" si="124"/>
        <v>6265</v>
      </c>
      <c r="H1990" s="6">
        <v>120000</v>
      </c>
      <c r="I1990" t="s">
        <v>69</v>
      </c>
      <c r="J1990" t="s">
        <v>35</v>
      </c>
      <c r="K1990" t="s">
        <v>1647</v>
      </c>
      <c r="L1990" t="s">
        <v>48</v>
      </c>
      <c r="M1990" t="s">
        <v>98</v>
      </c>
      <c r="N1990" s="6">
        <v>1</v>
      </c>
      <c r="O1990" t="str">
        <f t="shared" si="125"/>
        <v>Normal</v>
      </c>
      <c r="P1990" t="str">
        <f t="shared" si="126"/>
        <v>Duplicate ID</v>
      </c>
      <c r="Q1990" t="str">
        <f t="shared" si="127"/>
        <v>15,000-19,999</v>
      </c>
      <c r="R1990" s="6">
        <f>IF(COUNTIF($A$2:A1990,A1990)=1,1,0)</f>
        <v>0</v>
      </c>
    </row>
    <row r="1991" spans="1:18" x14ac:dyDescent="0.25">
      <c r="A1991" s="6">
        <v>1242</v>
      </c>
      <c r="B1991" s="7">
        <v>45160</v>
      </c>
      <c r="C1991" t="s">
        <v>40</v>
      </c>
      <c r="D1991" s="6"/>
      <c r="E1991" s="8">
        <v>5967</v>
      </c>
      <c r="F1991" s="8">
        <v>7000</v>
      </c>
      <c r="G1991" s="8">
        <f t="shared" si="124"/>
        <v>1033</v>
      </c>
      <c r="H1991" s="6">
        <v>120000</v>
      </c>
      <c r="I1991" t="s">
        <v>69</v>
      </c>
      <c r="J1991" t="s">
        <v>72</v>
      </c>
      <c r="K1991" t="s">
        <v>96</v>
      </c>
      <c r="L1991" t="s">
        <v>48</v>
      </c>
      <c r="M1991" t="s">
        <v>45</v>
      </c>
      <c r="N1991" s="6">
        <v>2</v>
      </c>
      <c r="O1991" t="str">
        <f t="shared" si="125"/>
        <v>Normal</v>
      </c>
      <c r="P1991" t="str">
        <f t="shared" si="126"/>
        <v>Duplicate ID</v>
      </c>
      <c r="Q1991" t="str">
        <f t="shared" si="127"/>
        <v>5,000-9,999</v>
      </c>
      <c r="R1991" s="6">
        <f>IF(COUNTIF($A$2:A1991,A1991)=1,1,0)</f>
        <v>0</v>
      </c>
    </row>
    <row r="1992" spans="1:18" x14ac:dyDescent="0.25">
      <c r="A1992" s="6">
        <v>1174</v>
      </c>
      <c r="B1992" s="7">
        <v>45387</v>
      </c>
      <c r="C1992" t="s">
        <v>119</v>
      </c>
      <c r="D1992" s="6">
        <v>2015</v>
      </c>
      <c r="E1992" s="8">
        <v>2699</v>
      </c>
      <c r="F1992" s="8">
        <v>7000</v>
      </c>
      <c r="G1992" s="8">
        <f t="shared" si="124"/>
        <v>4301</v>
      </c>
      <c r="H1992" s="6">
        <v>60000</v>
      </c>
      <c r="I1992" t="s">
        <v>69</v>
      </c>
      <c r="J1992" t="s">
        <v>72</v>
      </c>
      <c r="K1992" t="s">
        <v>36</v>
      </c>
      <c r="L1992" t="s">
        <v>54</v>
      </c>
      <c r="M1992" t="s">
        <v>98</v>
      </c>
      <c r="N1992" s="6">
        <v>2</v>
      </c>
      <c r="O1992" t="str">
        <f t="shared" si="125"/>
        <v>Normal</v>
      </c>
      <c r="P1992" t="str">
        <f t="shared" si="126"/>
        <v>Duplicate ID</v>
      </c>
      <c r="Q1992" t="str">
        <f t="shared" si="127"/>
        <v>0-4,999</v>
      </c>
      <c r="R1992" s="6">
        <f>IF(COUNTIF($A$2:A1992,A1992)=1,1,0)</f>
        <v>0</v>
      </c>
    </row>
    <row r="1993" spans="1:18" x14ac:dyDescent="0.25">
      <c r="A1993" s="6">
        <v>1349</v>
      </c>
      <c r="B1993" s="7">
        <v>44707</v>
      </c>
      <c r="C1993" t="s">
        <v>32</v>
      </c>
      <c r="D1993" s="6">
        <v>2020</v>
      </c>
      <c r="E1993" s="8">
        <v>3878</v>
      </c>
      <c r="F1993" s="8">
        <v>7000</v>
      </c>
      <c r="G1993" s="8">
        <f t="shared" si="124"/>
        <v>3122</v>
      </c>
      <c r="H1993" s="6">
        <v>120000</v>
      </c>
      <c r="I1993" t="s">
        <v>69</v>
      </c>
      <c r="J1993" t="s">
        <v>1647</v>
      </c>
      <c r="K1993" t="s">
        <v>36</v>
      </c>
      <c r="L1993" t="s">
        <v>48</v>
      </c>
      <c r="M1993" t="s">
        <v>98</v>
      </c>
      <c r="N1993" s="6">
        <v>2</v>
      </c>
      <c r="O1993" t="str">
        <f t="shared" si="125"/>
        <v>Normal</v>
      </c>
      <c r="P1993" t="str">
        <f t="shared" si="126"/>
        <v>Duplicate ID</v>
      </c>
      <c r="Q1993" t="str">
        <f t="shared" si="127"/>
        <v>0-4,999</v>
      </c>
      <c r="R1993" s="6">
        <f>IF(COUNTIF($A$2:A1993,A1993)=1,1,0)</f>
        <v>0</v>
      </c>
    </row>
    <row r="1994" spans="1:18" x14ac:dyDescent="0.25">
      <c r="A1994" s="6">
        <v>1426</v>
      </c>
      <c r="B1994" s="7">
        <v>44872</v>
      </c>
      <c r="C1994" t="s">
        <v>51</v>
      </c>
      <c r="D1994" s="6">
        <v>2021</v>
      </c>
      <c r="E1994" s="8">
        <v>9930</v>
      </c>
      <c r="F1994" s="8">
        <v>15000</v>
      </c>
      <c r="G1994" s="8">
        <f t="shared" si="124"/>
        <v>5070</v>
      </c>
      <c r="H1994" s="6">
        <v>120000</v>
      </c>
      <c r="I1994" t="s">
        <v>1647</v>
      </c>
      <c r="J1994" t="s">
        <v>1647</v>
      </c>
      <c r="K1994" t="s">
        <v>96</v>
      </c>
      <c r="L1994" t="s">
        <v>100</v>
      </c>
      <c r="M1994" t="s">
        <v>45</v>
      </c>
      <c r="N1994" s="6">
        <v>0</v>
      </c>
      <c r="O1994" t="str">
        <f t="shared" si="125"/>
        <v>Normal</v>
      </c>
      <c r="P1994" t="str">
        <f t="shared" si="126"/>
        <v>Duplicate ID</v>
      </c>
      <c r="Q1994" t="str">
        <f t="shared" si="127"/>
        <v>5,000-9,999</v>
      </c>
      <c r="R1994" s="6">
        <f>IF(COUNTIF($A$2:A1994,A1994)=1,1,0)</f>
        <v>0</v>
      </c>
    </row>
    <row r="1995" spans="1:18" x14ac:dyDescent="0.25">
      <c r="A1995" s="6">
        <v>1477</v>
      </c>
      <c r="B1995" s="7">
        <v>44397</v>
      </c>
      <c r="C1995" t="s">
        <v>1648</v>
      </c>
      <c r="D1995" s="6">
        <v>2017</v>
      </c>
      <c r="E1995" s="8">
        <v>658</v>
      </c>
      <c r="F1995" s="8">
        <v>7000</v>
      </c>
      <c r="G1995" s="8">
        <f t="shared" si="124"/>
        <v>6342</v>
      </c>
      <c r="H1995" s="6">
        <v>60000</v>
      </c>
      <c r="I1995" t="s">
        <v>58</v>
      </c>
      <c r="J1995" t="s">
        <v>72</v>
      </c>
      <c r="K1995" t="s">
        <v>36</v>
      </c>
      <c r="L1995" t="s">
        <v>73</v>
      </c>
      <c r="M1995" t="s">
        <v>98</v>
      </c>
      <c r="N1995" s="6" t="s">
        <v>1647</v>
      </c>
      <c r="O1995" t="str">
        <f t="shared" si="125"/>
        <v>Outlier</v>
      </c>
      <c r="P1995" t="str">
        <f t="shared" si="126"/>
        <v>Duplicate ID</v>
      </c>
      <c r="Q1995" t="str">
        <f t="shared" si="127"/>
        <v>0-4,999</v>
      </c>
      <c r="R1995" s="6">
        <f>IF(COUNTIF($A$2:A1995,A1995)=1,1,0)</f>
        <v>0</v>
      </c>
    </row>
    <row r="1996" spans="1:18" x14ac:dyDescent="0.25">
      <c r="A1996" s="6">
        <v>1513</v>
      </c>
      <c r="B1996" s="7">
        <v>44601</v>
      </c>
      <c r="C1996" t="s">
        <v>57</v>
      </c>
      <c r="D1996" s="6">
        <v>2020</v>
      </c>
      <c r="E1996" s="8">
        <v>9438</v>
      </c>
      <c r="F1996" s="8">
        <v>12000</v>
      </c>
      <c r="G1996" s="8">
        <f t="shared" si="124"/>
        <v>2562</v>
      </c>
      <c r="H1996" s="6">
        <v>25000</v>
      </c>
      <c r="I1996" t="s">
        <v>34</v>
      </c>
      <c r="J1996" t="s">
        <v>1647</v>
      </c>
      <c r="K1996" t="s">
        <v>1647</v>
      </c>
      <c r="L1996" t="s">
        <v>54</v>
      </c>
      <c r="M1996" t="s">
        <v>90</v>
      </c>
      <c r="N1996" s="6" t="s">
        <v>1647</v>
      </c>
      <c r="O1996" t="str">
        <f t="shared" si="125"/>
        <v>Normal</v>
      </c>
      <c r="P1996" t="str">
        <f t="shared" si="126"/>
        <v>Duplicate ID</v>
      </c>
      <c r="Q1996" t="str">
        <f t="shared" si="127"/>
        <v>5,000-9,999</v>
      </c>
      <c r="R1996" s="6">
        <f>IF(COUNTIF($A$2:A1996,A1996)=1,1,0)</f>
        <v>0</v>
      </c>
    </row>
    <row r="1997" spans="1:18" x14ac:dyDescent="0.25">
      <c r="A1997" s="6">
        <v>1089</v>
      </c>
      <c r="B1997" s="7">
        <v>44656</v>
      </c>
      <c r="C1997" t="s">
        <v>51</v>
      </c>
      <c r="D1997" s="6">
        <v>2018</v>
      </c>
      <c r="E1997" s="8">
        <v>4466</v>
      </c>
      <c r="F1997" s="8">
        <v>7000</v>
      </c>
      <c r="G1997" s="8">
        <f t="shared" si="124"/>
        <v>2534</v>
      </c>
      <c r="H1997" s="6">
        <v>120000</v>
      </c>
      <c r="I1997" t="s">
        <v>34</v>
      </c>
      <c r="J1997" t="s">
        <v>72</v>
      </c>
      <c r="K1997" t="s">
        <v>36</v>
      </c>
      <c r="L1997" t="s">
        <v>100</v>
      </c>
      <c r="M1997" t="s">
        <v>98</v>
      </c>
      <c r="N1997" s="6">
        <v>1</v>
      </c>
      <c r="O1997" t="str">
        <f t="shared" si="125"/>
        <v>Normal</v>
      </c>
      <c r="P1997" t="str">
        <f t="shared" si="126"/>
        <v>Duplicate ID</v>
      </c>
      <c r="Q1997" t="str">
        <f t="shared" si="127"/>
        <v>0-4,999</v>
      </c>
      <c r="R1997" s="6">
        <f>IF(COUNTIF($A$2:A1997,A1997)=1,1,0)</f>
        <v>0</v>
      </c>
    </row>
    <row r="1998" spans="1:18" x14ac:dyDescent="0.25">
      <c r="A1998" s="6">
        <v>1159</v>
      </c>
      <c r="B1998" s="7">
        <v>45119</v>
      </c>
      <c r="C1998" t="s">
        <v>51</v>
      </c>
      <c r="D1998" s="6">
        <v>2018</v>
      </c>
      <c r="E1998" s="8">
        <v>18668</v>
      </c>
      <c r="F1998" s="8">
        <v>22000</v>
      </c>
      <c r="G1998" s="8">
        <f t="shared" si="124"/>
        <v>3332</v>
      </c>
      <c r="H1998" s="6">
        <v>15000</v>
      </c>
      <c r="I1998" t="s">
        <v>58</v>
      </c>
      <c r="J1998" t="s">
        <v>35</v>
      </c>
      <c r="K1998" t="s">
        <v>96</v>
      </c>
      <c r="L1998" t="s">
        <v>48</v>
      </c>
      <c r="M1998" t="s">
        <v>98</v>
      </c>
      <c r="N1998" s="6">
        <v>0</v>
      </c>
      <c r="O1998" t="str">
        <f t="shared" si="125"/>
        <v>Normal</v>
      </c>
      <c r="P1998" t="str">
        <f t="shared" si="126"/>
        <v>Duplicate ID</v>
      </c>
      <c r="Q1998" t="str">
        <f t="shared" si="127"/>
        <v>15,000-19,999</v>
      </c>
      <c r="R1998" s="6">
        <f>IF(COUNTIF($A$2:A1998,A1998)=1,1,0)</f>
        <v>0</v>
      </c>
    </row>
    <row r="1999" spans="1:18" x14ac:dyDescent="0.25">
      <c r="A1999" s="6">
        <v>1365</v>
      </c>
      <c r="B1999" s="7">
        <v>44694</v>
      </c>
      <c r="C1999" t="s">
        <v>51</v>
      </c>
      <c r="D1999" s="6">
        <v>2020</v>
      </c>
      <c r="E1999" s="8">
        <v>16207</v>
      </c>
      <c r="F1999" s="8">
        <v>22000</v>
      </c>
      <c r="G1999" s="8">
        <f t="shared" si="124"/>
        <v>5793</v>
      </c>
      <c r="H1999" s="6">
        <v>15000</v>
      </c>
      <c r="I1999" t="s">
        <v>41</v>
      </c>
      <c r="J1999" t="s">
        <v>35</v>
      </c>
      <c r="K1999" t="s">
        <v>36</v>
      </c>
      <c r="L1999" t="s">
        <v>73</v>
      </c>
      <c r="M1999" t="s">
        <v>98</v>
      </c>
      <c r="N1999" s="6">
        <v>0</v>
      </c>
      <c r="O1999" t="str">
        <f t="shared" si="125"/>
        <v>Normal</v>
      </c>
      <c r="P1999" t="str">
        <f t="shared" si="126"/>
        <v>Duplicate ID</v>
      </c>
      <c r="Q1999" t="str">
        <f t="shared" si="127"/>
        <v>15,000-19,999</v>
      </c>
      <c r="R1999" s="6">
        <f>IF(COUNTIF($A$2:A1999,A1999)=1,1,0)</f>
        <v>0</v>
      </c>
    </row>
    <row r="2000" spans="1:18" x14ac:dyDescent="0.25">
      <c r="A2000" s="6">
        <v>1271</v>
      </c>
      <c r="B2000" s="7">
        <v>44830</v>
      </c>
      <c r="C2000" t="s">
        <v>1648</v>
      </c>
      <c r="D2000" s="6">
        <v>2018</v>
      </c>
      <c r="E2000" s="8">
        <v>4575</v>
      </c>
      <c r="F2000" s="8">
        <v>9000</v>
      </c>
      <c r="G2000" s="8">
        <f t="shared" si="124"/>
        <v>4425</v>
      </c>
      <c r="H2000" s="6">
        <v>25000</v>
      </c>
      <c r="I2000" t="s">
        <v>1647</v>
      </c>
      <c r="J2000" t="s">
        <v>72</v>
      </c>
      <c r="K2000" t="s">
        <v>36</v>
      </c>
      <c r="L2000" t="s">
        <v>100</v>
      </c>
      <c r="M2000" t="s">
        <v>126</v>
      </c>
      <c r="N2000" s="6" t="s">
        <v>1647</v>
      </c>
      <c r="O2000" t="str">
        <f t="shared" si="125"/>
        <v>Normal</v>
      </c>
      <c r="P2000" t="str">
        <f t="shared" si="126"/>
        <v>Duplicate ID</v>
      </c>
      <c r="Q2000" t="str">
        <f t="shared" si="127"/>
        <v>0-4,999</v>
      </c>
      <c r="R2000" s="6">
        <f>IF(COUNTIF($A$2:A2000,A2000)=1,1,0)</f>
        <v>0</v>
      </c>
    </row>
    <row r="2001" spans="1:18" x14ac:dyDescent="0.25">
      <c r="A2001" s="6">
        <v>1014</v>
      </c>
      <c r="B2001" s="7">
        <v>45175</v>
      </c>
      <c r="C2001" t="s">
        <v>119</v>
      </c>
      <c r="D2001" s="6">
        <v>2018</v>
      </c>
      <c r="E2001" s="8">
        <v>6792</v>
      </c>
      <c r="F2001" s="8">
        <v>9000</v>
      </c>
      <c r="G2001" s="8">
        <f t="shared" si="124"/>
        <v>2208</v>
      </c>
      <c r="H2001" s="6">
        <v>120000</v>
      </c>
      <c r="I2001" t="s">
        <v>34</v>
      </c>
      <c r="J2001" t="s">
        <v>35</v>
      </c>
      <c r="K2001" t="s">
        <v>36</v>
      </c>
      <c r="L2001" t="s">
        <v>100</v>
      </c>
      <c r="M2001" t="s">
        <v>90</v>
      </c>
      <c r="N2001" s="6" t="s">
        <v>1647</v>
      </c>
      <c r="O2001" t="str">
        <f t="shared" si="125"/>
        <v>Normal</v>
      </c>
      <c r="P2001" t="str">
        <f t="shared" si="126"/>
        <v>Unique ID</v>
      </c>
      <c r="Q2001" t="str">
        <f t="shared" si="127"/>
        <v>5,000-9,999</v>
      </c>
      <c r="R2001" s="6">
        <f>IF(COUNTIF($A$2:A2001,A2001)=1,1,0)</f>
        <v>1</v>
      </c>
    </row>
    <row r="2002" spans="1:18" x14ac:dyDescent="0.25">
      <c r="A2002" s="6">
        <v>1290</v>
      </c>
      <c r="B2002" s="7">
        <v>44803</v>
      </c>
      <c r="C2002" t="s">
        <v>119</v>
      </c>
      <c r="D2002" s="6">
        <v>2018</v>
      </c>
      <c r="E2002" s="8">
        <v>2837</v>
      </c>
      <c r="F2002" s="8">
        <v>7000</v>
      </c>
      <c r="G2002" s="8">
        <f t="shared" si="124"/>
        <v>4163</v>
      </c>
      <c r="H2002" s="6">
        <v>40000</v>
      </c>
      <c r="I2002" t="s">
        <v>41</v>
      </c>
      <c r="J2002" t="s">
        <v>72</v>
      </c>
      <c r="K2002" t="s">
        <v>96</v>
      </c>
      <c r="L2002" t="s">
        <v>54</v>
      </c>
      <c r="M2002" t="s">
        <v>45</v>
      </c>
      <c r="N2002" s="6">
        <v>2</v>
      </c>
      <c r="O2002" t="str">
        <f t="shared" si="125"/>
        <v>Normal</v>
      </c>
      <c r="P2002" t="str">
        <f t="shared" si="126"/>
        <v>Duplicate ID</v>
      </c>
      <c r="Q2002" t="str">
        <f t="shared" si="127"/>
        <v>0-4,999</v>
      </c>
      <c r="R2002" s="6">
        <f>IF(COUNTIF($A$2:A2002,A2002)=1,1,0)</f>
        <v>0</v>
      </c>
    </row>
    <row r="2003" spans="1:18" x14ac:dyDescent="0.25">
      <c r="A2003" s="6">
        <v>1438</v>
      </c>
      <c r="B2003" s="7">
        <v>44878</v>
      </c>
      <c r="C2003" t="s">
        <v>51</v>
      </c>
      <c r="D2003" s="6">
        <v>2014</v>
      </c>
      <c r="E2003" s="8">
        <v>9262</v>
      </c>
      <c r="F2003" s="8">
        <v>12000</v>
      </c>
      <c r="G2003" s="8">
        <f t="shared" si="124"/>
        <v>2738</v>
      </c>
      <c r="H2003" s="6">
        <v>60000</v>
      </c>
      <c r="I2003" t="s">
        <v>69</v>
      </c>
      <c r="J2003" t="s">
        <v>35</v>
      </c>
      <c r="K2003" t="s">
        <v>36</v>
      </c>
      <c r="L2003" t="s">
        <v>100</v>
      </c>
      <c r="M2003" t="s">
        <v>98</v>
      </c>
      <c r="N2003" s="6">
        <v>3</v>
      </c>
      <c r="O2003" t="str">
        <f t="shared" si="125"/>
        <v>Normal</v>
      </c>
      <c r="P2003" t="str">
        <f t="shared" si="126"/>
        <v>Duplicate ID</v>
      </c>
      <c r="Q2003" t="str">
        <f t="shared" si="127"/>
        <v>5,000-9,999</v>
      </c>
      <c r="R2003" s="6">
        <f>IF(COUNTIF($A$2:A2003,A2003)=1,1,0)</f>
        <v>0</v>
      </c>
    </row>
    <row r="2004" spans="1:18" x14ac:dyDescent="0.25">
      <c r="A2004" s="6">
        <v>1036</v>
      </c>
      <c r="B2004" s="7">
        <v>45038</v>
      </c>
      <c r="C2004" t="s">
        <v>57</v>
      </c>
      <c r="D2004" s="6"/>
      <c r="E2004" s="8">
        <v>443</v>
      </c>
      <c r="F2004" s="8">
        <v>7000</v>
      </c>
      <c r="G2004" s="8">
        <f t="shared" si="124"/>
        <v>6557</v>
      </c>
      <c r="H2004" s="6">
        <v>40000</v>
      </c>
      <c r="I2004" t="s">
        <v>58</v>
      </c>
      <c r="J2004" t="s">
        <v>72</v>
      </c>
      <c r="K2004" t="s">
        <v>1647</v>
      </c>
      <c r="L2004" t="s">
        <v>48</v>
      </c>
      <c r="M2004" t="s">
        <v>90</v>
      </c>
      <c r="N2004" s="6">
        <v>3</v>
      </c>
      <c r="O2004" t="str">
        <f t="shared" si="125"/>
        <v>Outlier</v>
      </c>
      <c r="P2004" t="str">
        <f t="shared" si="126"/>
        <v>Duplicate ID</v>
      </c>
      <c r="Q2004" t="str">
        <f t="shared" si="127"/>
        <v>0-4,999</v>
      </c>
      <c r="R2004" s="6">
        <f>IF(COUNTIF($A$2:A2004,A2004)=1,1,0)</f>
        <v>0</v>
      </c>
    </row>
    <row r="2005" spans="1:18" x14ac:dyDescent="0.25">
      <c r="A2005" s="6">
        <v>1454</v>
      </c>
      <c r="B2005" s="7">
        <v>45352</v>
      </c>
      <c r="C2005" t="s">
        <v>40</v>
      </c>
      <c r="D2005" s="6">
        <v>2016</v>
      </c>
      <c r="E2005" s="8">
        <v>10492</v>
      </c>
      <c r="F2005" s="8">
        <v>12000</v>
      </c>
      <c r="G2005" s="8">
        <f t="shared" si="124"/>
        <v>1508</v>
      </c>
      <c r="H2005" s="6">
        <v>25000</v>
      </c>
      <c r="I2005" t="s">
        <v>41</v>
      </c>
      <c r="J2005" t="s">
        <v>72</v>
      </c>
      <c r="K2005" t="s">
        <v>1647</v>
      </c>
      <c r="L2005" t="s">
        <v>73</v>
      </c>
      <c r="M2005" t="s">
        <v>98</v>
      </c>
      <c r="N2005" s="6">
        <v>3</v>
      </c>
      <c r="O2005" t="str">
        <f t="shared" si="125"/>
        <v>Normal</v>
      </c>
      <c r="P2005" t="str">
        <f t="shared" si="126"/>
        <v>Duplicate ID</v>
      </c>
      <c r="Q2005" t="str">
        <f t="shared" si="127"/>
        <v>10,000-14,999</v>
      </c>
      <c r="R2005" s="6">
        <f>IF(COUNTIF($A$2:A2005,A2005)=1,1,0)</f>
        <v>0</v>
      </c>
    </row>
    <row r="2006" spans="1:18" x14ac:dyDescent="0.25">
      <c r="A2006" s="6">
        <v>1039</v>
      </c>
      <c r="B2006" s="7">
        <v>44550</v>
      </c>
      <c r="C2006" t="s">
        <v>40</v>
      </c>
      <c r="D2006" s="6">
        <v>2015</v>
      </c>
      <c r="E2006" s="8">
        <v>20117</v>
      </c>
      <c r="F2006" s="8">
        <v>22000</v>
      </c>
      <c r="G2006" s="8">
        <f t="shared" si="124"/>
        <v>1883</v>
      </c>
      <c r="H2006" s="6">
        <v>120000</v>
      </c>
      <c r="I2006" t="s">
        <v>69</v>
      </c>
      <c r="J2006" t="s">
        <v>1647</v>
      </c>
      <c r="K2006" t="s">
        <v>36</v>
      </c>
      <c r="L2006" t="s">
        <v>48</v>
      </c>
      <c r="M2006" t="s">
        <v>98</v>
      </c>
      <c r="N2006" s="6" t="s">
        <v>1647</v>
      </c>
      <c r="O2006" t="str">
        <f t="shared" si="125"/>
        <v>Normal</v>
      </c>
      <c r="P2006" t="str">
        <f t="shared" si="126"/>
        <v>Duplicate ID</v>
      </c>
      <c r="Q2006" t="str">
        <f t="shared" si="127"/>
        <v>20,000-24,999</v>
      </c>
      <c r="R2006" s="6">
        <f>IF(COUNTIF($A$2:A2006,A2006)=1,1,0)</f>
        <v>0</v>
      </c>
    </row>
    <row r="2007" spans="1:18" x14ac:dyDescent="0.25">
      <c r="A2007" s="6">
        <v>1564</v>
      </c>
      <c r="B2007" s="7">
        <v>44348</v>
      </c>
      <c r="C2007" t="s">
        <v>1648</v>
      </c>
      <c r="D2007" s="6">
        <v>2016</v>
      </c>
      <c r="E2007" s="8">
        <v>6507</v>
      </c>
      <c r="F2007" s="8">
        <v>9000</v>
      </c>
      <c r="G2007" s="8">
        <f t="shared" si="124"/>
        <v>2493</v>
      </c>
      <c r="H2007" s="6">
        <v>60000</v>
      </c>
      <c r="I2007" t="s">
        <v>58</v>
      </c>
      <c r="J2007" t="s">
        <v>1647</v>
      </c>
      <c r="K2007" t="s">
        <v>36</v>
      </c>
      <c r="L2007" t="s">
        <v>100</v>
      </c>
      <c r="M2007" t="s">
        <v>98</v>
      </c>
      <c r="N2007" s="6" t="s">
        <v>1647</v>
      </c>
      <c r="O2007" t="str">
        <f t="shared" si="125"/>
        <v>Normal</v>
      </c>
      <c r="P2007" t="str">
        <f t="shared" si="126"/>
        <v>Duplicate ID</v>
      </c>
      <c r="Q2007" t="str">
        <f t="shared" si="127"/>
        <v>5,000-9,999</v>
      </c>
      <c r="R2007" s="6">
        <f>IF(COUNTIF($A$2:A2007,A2007)=1,1,0)</f>
        <v>0</v>
      </c>
    </row>
    <row r="2008" spans="1:18" x14ac:dyDescent="0.25">
      <c r="A2008" s="6">
        <v>1491</v>
      </c>
      <c r="B2008" s="7">
        <v>44247</v>
      </c>
      <c r="C2008" t="s">
        <v>32</v>
      </c>
      <c r="D2008" s="6">
        <v>2015</v>
      </c>
      <c r="E2008" s="8">
        <v>4163</v>
      </c>
      <c r="F2008" s="8">
        <v>7000</v>
      </c>
      <c r="G2008" s="8">
        <f t="shared" si="124"/>
        <v>2837</v>
      </c>
      <c r="H2008" s="6">
        <v>40000</v>
      </c>
      <c r="I2008" t="s">
        <v>41</v>
      </c>
      <c r="J2008" t="s">
        <v>1647</v>
      </c>
      <c r="K2008" t="s">
        <v>36</v>
      </c>
      <c r="L2008" t="s">
        <v>100</v>
      </c>
      <c r="M2008" t="s">
        <v>1647</v>
      </c>
      <c r="N2008" s="6">
        <v>1</v>
      </c>
      <c r="O2008" t="str">
        <f t="shared" si="125"/>
        <v>Normal</v>
      </c>
      <c r="P2008" t="str">
        <f t="shared" si="126"/>
        <v>Duplicate ID</v>
      </c>
      <c r="Q2008" t="str">
        <f t="shared" si="127"/>
        <v>0-4,999</v>
      </c>
      <c r="R2008" s="6">
        <f>IF(COUNTIF($A$2:A2008,A2008)=1,1,0)</f>
        <v>0</v>
      </c>
    </row>
    <row r="2009" spans="1:18" x14ac:dyDescent="0.25">
      <c r="A2009" s="6">
        <v>1323</v>
      </c>
      <c r="B2009" s="7">
        <v>44307</v>
      </c>
      <c r="C2009" t="s">
        <v>1648</v>
      </c>
      <c r="D2009" s="6">
        <v>2021</v>
      </c>
      <c r="E2009" s="8">
        <v>13281</v>
      </c>
      <c r="F2009" s="8">
        <v>18000</v>
      </c>
      <c r="G2009" s="8">
        <f t="shared" si="124"/>
        <v>4719</v>
      </c>
      <c r="H2009" s="6">
        <v>25000</v>
      </c>
      <c r="I2009" t="s">
        <v>1647</v>
      </c>
      <c r="J2009" t="s">
        <v>35</v>
      </c>
      <c r="K2009" t="s">
        <v>1647</v>
      </c>
      <c r="L2009" t="s">
        <v>100</v>
      </c>
      <c r="M2009" t="s">
        <v>126</v>
      </c>
      <c r="N2009" s="6">
        <v>3</v>
      </c>
      <c r="O2009" t="str">
        <f t="shared" si="125"/>
        <v>Normal</v>
      </c>
      <c r="P2009" t="str">
        <f t="shared" si="126"/>
        <v>Duplicate ID</v>
      </c>
      <c r="Q2009" t="str">
        <f t="shared" si="127"/>
        <v>10,000-14,999</v>
      </c>
      <c r="R2009" s="6">
        <f>IF(COUNTIF($A$2:A2009,A2009)=1,1,0)</f>
        <v>0</v>
      </c>
    </row>
    <row r="2010" spans="1:18" x14ac:dyDescent="0.25">
      <c r="A2010" s="6">
        <v>1026</v>
      </c>
      <c r="B2010" s="7">
        <v>45258</v>
      </c>
      <c r="C2010" t="s">
        <v>57</v>
      </c>
      <c r="D2010" s="6">
        <v>2016</v>
      </c>
      <c r="E2010" s="8">
        <v>5592</v>
      </c>
      <c r="F2010" s="8">
        <v>12000</v>
      </c>
      <c r="G2010" s="8">
        <f t="shared" si="124"/>
        <v>6408</v>
      </c>
      <c r="H2010" s="6">
        <v>120000</v>
      </c>
      <c r="I2010" t="s">
        <v>41</v>
      </c>
      <c r="J2010" t="s">
        <v>72</v>
      </c>
      <c r="K2010" t="s">
        <v>96</v>
      </c>
      <c r="L2010" t="s">
        <v>48</v>
      </c>
      <c r="M2010" t="s">
        <v>98</v>
      </c>
      <c r="N2010" s="6">
        <v>2</v>
      </c>
      <c r="O2010" t="str">
        <f t="shared" si="125"/>
        <v>Normal</v>
      </c>
      <c r="P2010" t="str">
        <f t="shared" si="126"/>
        <v>Duplicate ID</v>
      </c>
      <c r="Q2010" t="str">
        <f t="shared" si="127"/>
        <v>5,000-9,999</v>
      </c>
      <c r="R2010" s="6">
        <f>IF(COUNTIF($A$2:A2010,A2010)=1,1,0)</f>
        <v>0</v>
      </c>
    </row>
    <row r="2011" spans="1:18" x14ac:dyDescent="0.25">
      <c r="A2011" s="6">
        <v>1581</v>
      </c>
      <c r="B2011" s="7">
        <v>44223</v>
      </c>
      <c r="C2011" t="s">
        <v>51</v>
      </c>
      <c r="D2011" s="6">
        <v>2016</v>
      </c>
      <c r="E2011" s="8">
        <v>13655</v>
      </c>
      <c r="F2011" s="8">
        <v>18000</v>
      </c>
      <c r="G2011" s="8">
        <f t="shared" si="124"/>
        <v>4345</v>
      </c>
      <c r="H2011" s="6">
        <v>60000</v>
      </c>
      <c r="I2011" t="s">
        <v>34</v>
      </c>
      <c r="J2011" t="s">
        <v>72</v>
      </c>
      <c r="K2011" t="s">
        <v>96</v>
      </c>
      <c r="L2011" t="s">
        <v>100</v>
      </c>
      <c r="M2011" t="s">
        <v>45</v>
      </c>
      <c r="N2011" s="6">
        <v>2</v>
      </c>
      <c r="O2011" t="str">
        <f t="shared" si="125"/>
        <v>Normal</v>
      </c>
      <c r="P2011" t="str">
        <f t="shared" si="126"/>
        <v>Duplicate ID</v>
      </c>
      <c r="Q2011" t="str">
        <f t="shared" si="127"/>
        <v>10,000-14,999</v>
      </c>
      <c r="R2011" s="6">
        <f>IF(COUNTIF($A$2:A2011,A2011)=1,1,0)</f>
        <v>0</v>
      </c>
    </row>
    <row r="2012" spans="1:18" x14ac:dyDescent="0.25">
      <c r="A2012" s="6">
        <v>1476</v>
      </c>
      <c r="B2012" s="7">
        <v>45323</v>
      </c>
      <c r="C2012" t="s">
        <v>57</v>
      </c>
      <c r="D2012" s="6">
        <v>2019</v>
      </c>
      <c r="E2012" s="8">
        <v>26289</v>
      </c>
      <c r="F2012" s="8">
        <v>31000</v>
      </c>
      <c r="G2012" s="8">
        <f t="shared" si="124"/>
        <v>4711</v>
      </c>
      <c r="H2012" s="6">
        <v>25000</v>
      </c>
      <c r="I2012" t="s">
        <v>69</v>
      </c>
      <c r="J2012" t="s">
        <v>35</v>
      </c>
      <c r="K2012" t="s">
        <v>96</v>
      </c>
      <c r="L2012" t="s">
        <v>73</v>
      </c>
      <c r="M2012" t="s">
        <v>45</v>
      </c>
      <c r="N2012" s="6">
        <v>3</v>
      </c>
      <c r="O2012" t="str">
        <f t="shared" si="125"/>
        <v>Normal</v>
      </c>
      <c r="P2012" t="str">
        <f t="shared" si="126"/>
        <v>Duplicate ID</v>
      </c>
      <c r="Q2012" t="str">
        <f t="shared" si="127"/>
        <v>25,000-30,000</v>
      </c>
      <c r="R2012" s="6">
        <f>IF(COUNTIF($A$2:A2012,A2012)=1,1,0)</f>
        <v>0</v>
      </c>
    </row>
    <row r="2013" spans="1:18" x14ac:dyDescent="0.25">
      <c r="A2013" s="6">
        <v>1088</v>
      </c>
      <c r="B2013" s="7">
        <v>45085</v>
      </c>
      <c r="C2013" t="s">
        <v>51</v>
      </c>
      <c r="D2013" s="6">
        <v>2021</v>
      </c>
      <c r="E2013" s="8">
        <v>29567</v>
      </c>
      <c r="F2013" s="8">
        <v>31000</v>
      </c>
      <c r="G2013" s="8">
        <f t="shared" si="124"/>
        <v>1433</v>
      </c>
      <c r="H2013" s="6">
        <v>60000</v>
      </c>
      <c r="I2013" t="s">
        <v>1647</v>
      </c>
      <c r="J2013" t="s">
        <v>35</v>
      </c>
      <c r="K2013" t="s">
        <v>1647</v>
      </c>
      <c r="L2013" t="s">
        <v>54</v>
      </c>
      <c r="M2013" t="s">
        <v>90</v>
      </c>
      <c r="N2013" s="6">
        <v>3</v>
      </c>
      <c r="O2013" t="str">
        <f t="shared" si="125"/>
        <v>Normal</v>
      </c>
      <c r="P2013" t="str">
        <f t="shared" si="126"/>
        <v>Unique ID</v>
      </c>
      <c r="Q2013" t="str">
        <f t="shared" si="127"/>
        <v>25,000-30,000</v>
      </c>
      <c r="R2013" s="6">
        <f>IF(COUNTIF($A$2:A2013,A2013)=1,1,0)</f>
        <v>1</v>
      </c>
    </row>
    <row r="2014" spans="1:18" x14ac:dyDescent="0.25">
      <c r="A2014" s="6">
        <v>1072</v>
      </c>
      <c r="B2014" s="7">
        <v>45018</v>
      </c>
      <c r="C2014" t="s">
        <v>40</v>
      </c>
      <c r="D2014" s="6"/>
      <c r="E2014" s="8">
        <v>9799</v>
      </c>
      <c r="F2014" s="8">
        <v>12000</v>
      </c>
      <c r="G2014" s="8">
        <f t="shared" si="124"/>
        <v>2201</v>
      </c>
      <c r="H2014" s="6">
        <v>80000</v>
      </c>
      <c r="I2014" t="s">
        <v>1647</v>
      </c>
      <c r="J2014" t="s">
        <v>35</v>
      </c>
      <c r="K2014" t="s">
        <v>36</v>
      </c>
      <c r="L2014" t="s">
        <v>54</v>
      </c>
      <c r="M2014" t="s">
        <v>90</v>
      </c>
      <c r="N2014" s="6">
        <v>3</v>
      </c>
      <c r="O2014" t="str">
        <f t="shared" si="125"/>
        <v>Normal</v>
      </c>
      <c r="P2014" t="str">
        <f t="shared" si="126"/>
        <v>Duplicate ID</v>
      </c>
      <c r="Q2014" t="str">
        <f t="shared" si="127"/>
        <v>5,000-9,999</v>
      </c>
      <c r="R2014" s="6">
        <f>IF(COUNTIF($A$2:A2014,A2014)=1,1,0)</f>
        <v>0</v>
      </c>
    </row>
    <row r="2015" spans="1:18" x14ac:dyDescent="0.25">
      <c r="A2015" s="6">
        <v>1407</v>
      </c>
      <c r="B2015" s="7">
        <v>44989</v>
      </c>
      <c r="C2015" t="s">
        <v>40</v>
      </c>
      <c r="D2015" s="6">
        <v>2018</v>
      </c>
      <c r="E2015" s="8">
        <v>22259</v>
      </c>
      <c r="F2015" s="8">
        <v>26000</v>
      </c>
      <c r="G2015" s="8">
        <f t="shared" si="124"/>
        <v>3741</v>
      </c>
      <c r="H2015" s="6">
        <v>15000</v>
      </c>
      <c r="I2015" t="s">
        <v>34</v>
      </c>
      <c r="J2015" t="s">
        <v>72</v>
      </c>
      <c r="K2015" t="s">
        <v>96</v>
      </c>
      <c r="L2015" t="s">
        <v>48</v>
      </c>
      <c r="M2015" t="s">
        <v>45</v>
      </c>
      <c r="N2015" s="6">
        <v>0</v>
      </c>
      <c r="O2015" t="str">
        <f t="shared" si="125"/>
        <v>Normal</v>
      </c>
      <c r="P2015" t="str">
        <f t="shared" si="126"/>
        <v>Duplicate ID</v>
      </c>
      <c r="Q2015" t="str">
        <f t="shared" si="127"/>
        <v>20,000-24,999</v>
      </c>
      <c r="R2015" s="6">
        <f>IF(COUNTIF($A$2:A2015,A2015)=1,1,0)</f>
        <v>0</v>
      </c>
    </row>
    <row r="2016" spans="1:18" x14ac:dyDescent="0.25">
      <c r="A2016" s="6">
        <v>1136</v>
      </c>
      <c r="B2016" s="7">
        <v>44734</v>
      </c>
      <c r="C2016" t="s">
        <v>32</v>
      </c>
      <c r="D2016" s="6">
        <v>2021</v>
      </c>
      <c r="E2016" s="8">
        <v>12573</v>
      </c>
      <c r="F2016" s="8">
        <v>15000</v>
      </c>
      <c r="G2016" s="8">
        <f t="shared" si="124"/>
        <v>2427</v>
      </c>
      <c r="H2016" s="6">
        <v>15000</v>
      </c>
      <c r="I2016" t="s">
        <v>69</v>
      </c>
      <c r="J2016" t="s">
        <v>35</v>
      </c>
      <c r="K2016" t="s">
        <v>96</v>
      </c>
      <c r="L2016" t="s">
        <v>73</v>
      </c>
      <c r="M2016" t="s">
        <v>126</v>
      </c>
      <c r="N2016" s="6" t="s">
        <v>1647</v>
      </c>
      <c r="O2016" t="str">
        <f t="shared" si="125"/>
        <v>Normal</v>
      </c>
      <c r="P2016" t="str">
        <f t="shared" si="126"/>
        <v>Duplicate ID</v>
      </c>
      <c r="Q2016" t="str">
        <f t="shared" si="127"/>
        <v>10,000-14,999</v>
      </c>
      <c r="R2016" s="6">
        <f>IF(COUNTIF($A$2:A2016,A2016)=1,1,0)</f>
        <v>0</v>
      </c>
    </row>
    <row r="2017" spans="1:18" x14ac:dyDescent="0.25">
      <c r="A2017" s="6">
        <v>1450</v>
      </c>
      <c r="B2017" s="7">
        <v>45266</v>
      </c>
      <c r="C2017" t="s">
        <v>40</v>
      </c>
      <c r="D2017" s="6"/>
      <c r="E2017" s="8">
        <v>16839</v>
      </c>
      <c r="F2017" s="8">
        <v>18000</v>
      </c>
      <c r="G2017" s="8">
        <f t="shared" si="124"/>
        <v>1161</v>
      </c>
      <c r="H2017" s="6">
        <v>80000</v>
      </c>
      <c r="I2017" t="s">
        <v>34</v>
      </c>
      <c r="J2017" t="s">
        <v>72</v>
      </c>
      <c r="K2017" t="s">
        <v>36</v>
      </c>
      <c r="L2017" t="s">
        <v>54</v>
      </c>
      <c r="M2017" t="s">
        <v>90</v>
      </c>
      <c r="N2017" s="6">
        <v>0</v>
      </c>
      <c r="O2017" t="str">
        <f t="shared" si="125"/>
        <v>Normal</v>
      </c>
      <c r="P2017" t="str">
        <f t="shared" si="126"/>
        <v>Duplicate ID</v>
      </c>
      <c r="Q2017" t="str">
        <f t="shared" si="127"/>
        <v>15,000-19,999</v>
      </c>
      <c r="R2017" s="6">
        <f>IF(COUNTIF($A$2:A2017,A2017)=1,1,0)</f>
        <v>0</v>
      </c>
    </row>
    <row r="2018" spans="1:18" x14ac:dyDescent="0.25">
      <c r="A2018" s="6">
        <v>1292</v>
      </c>
      <c r="B2018" s="7">
        <v>45162</v>
      </c>
      <c r="C2018" t="s">
        <v>1648</v>
      </c>
      <c r="D2018" s="6">
        <v>2021</v>
      </c>
      <c r="E2018" s="8">
        <v>7551</v>
      </c>
      <c r="F2018" s="8">
        <v>9000</v>
      </c>
      <c r="G2018" s="8">
        <f t="shared" si="124"/>
        <v>1449</v>
      </c>
      <c r="H2018" s="6">
        <v>120000</v>
      </c>
      <c r="I2018" t="s">
        <v>69</v>
      </c>
      <c r="J2018" t="s">
        <v>72</v>
      </c>
      <c r="K2018" t="s">
        <v>1647</v>
      </c>
      <c r="L2018" t="s">
        <v>48</v>
      </c>
      <c r="M2018" t="s">
        <v>98</v>
      </c>
      <c r="N2018" s="6">
        <v>1</v>
      </c>
      <c r="O2018" t="str">
        <f t="shared" si="125"/>
        <v>Normal</v>
      </c>
      <c r="P2018" t="str">
        <f t="shared" si="126"/>
        <v>Duplicate ID</v>
      </c>
      <c r="Q2018" t="str">
        <f t="shared" si="127"/>
        <v>5,000-9,999</v>
      </c>
      <c r="R2018" s="6">
        <f>IF(COUNTIF($A$2:A2018,A2018)=1,1,0)</f>
        <v>0</v>
      </c>
    </row>
    <row r="2019" spans="1:18" x14ac:dyDescent="0.25">
      <c r="A2019" s="6">
        <v>1068</v>
      </c>
      <c r="B2019" s="7">
        <v>44867</v>
      </c>
      <c r="C2019" t="s">
        <v>51</v>
      </c>
      <c r="D2019" s="6">
        <v>2020</v>
      </c>
      <c r="E2019" s="8">
        <v>7561</v>
      </c>
      <c r="F2019" s="8">
        <v>9000</v>
      </c>
      <c r="G2019" s="8">
        <f t="shared" si="124"/>
        <v>1439</v>
      </c>
      <c r="H2019" s="6">
        <v>120000</v>
      </c>
      <c r="I2019" t="s">
        <v>41</v>
      </c>
      <c r="J2019" t="s">
        <v>35</v>
      </c>
      <c r="K2019" t="s">
        <v>96</v>
      </c>
      <c r="L2019" t="s">
        <v>73</v>
      </c>
      <c r="M2019" t="s">
        <v>126</v>
      </c>
      <c r="N2019" s="6">
        <v>3</v>
      </c>
      <c r="O2019" t="str">
        <f t="shared" si="125"/>
        <v>Normal</v>
      </c>
      <c r="P2019" t="str">
        <f t="shared" si="126"/>
        <v>Duplicate ID</v>
      </c>
      <c r="Q2019" t="str">
        <f t="shared" si="127"/>
        <v>5,000-9,999</v>
      </c>
      <c r="R2019" s="6">
        <f>IF(COUNTIF($A$2:A2019,A2019)=1,1,0)</f>
        <v>0</v>
      </c>
    </row>
    <row r="2020" spans="1:18" x14ac:dyDescent="0.25">
      <c r="A2020" s="6">
        <v>1152</v>
      </c>
      <c r="B2020" s="7">
        <v>44295</v>
      </c>
      <c r="C2020" t="s">
        <v>79</v>
      </c>
      <c r="D2020" s="6">
        <v>2014</v>
      </c>
      <c r="E2020" s="8">
        <v>7951</v>
      </c>
      <c r="F2020" s="8">
        <v>12000</v>
      </c>
      <c r="G2020" s="8">
        <f t="shared" si="124"/>
        <v>4049</v>
      </c>
      <c r="H2020" s="6">
        <v>15000</v>
      </c>
      <c r="I2020" t="s">
        <v>58</v>
      </c>
      <c r="J2020" t="s">
        <v>1647</v>
      </c>
      <c r="K2020" t="s">
        <v>36</v>
      </c>
      <c r="L2020" t="s">
        <v>73</v>
      </c>
      <c r="M2020" t="s">
        <v>126</v>
      </c>
      <c r="N2020" s="6">
        <v>0</v>
      </c>
      <c r="O2020" t="str">
        <f t="shared" si="125"/>
        <v>Normal</v>
      </c>
      <c r="P2020" t="str">
        <f t="shared" si="126"/>
        <v>Duplicate ID</v>
      </c>
      <c r="Q2020" t="str">
        <f t="shared" si="127"/>
        <v>5,000-9,999</v>
      </c>
      <c r="R2020" s="6">
        <f>IF(COUNTIF($A$2:A2020,A2020)=1,1,0)</f>
        <v>0</v>
      </c>
    </row>
    <row r="2021" spans="1:18" x14ac:dyDescent="0.25">
      <c r="A2021" s="6">
        <v>1275</v>
      </c>
      <c r="B2021" s="7">
        <v>45166</v>
      </c>
      <c r="C2021" t="s">
        <v>57</v>
      </c>
      <c r="D2021" s="6"/>
      <c r="E2021" s="8">
        <v>24886</v>
      </c>
      <c r="F2021" s="8">
        <v>31000</v>
      </c>
      <c r="G2021" s="8">
        <f t="shared" si="124"/>
        <v>6114</v>
      </c>
      <c r="H2021" s="6">
        <v>40000</v>
      </c>
      <c r="I2021" t="s">
        <v>69</v>
      </c>
      <c r="J2021" t="s">
        <v>35</v>
      </c>
      <c r="K2021" t="s">
        <v>1647</v>
      </c>
      <c r="L2021" t="s">
        <v>48</v>
      </c>
      <c r="M2021" t="s">
        <v>45</v>
      </c>
      <c r="N2021" s="6" t="s">
        <v>1647</v>
      </c>
      <c r="O2021" t="str">
        <f t="shared" si="125"/>
        <v>Normal</v>
      </c>
      <c r="P2021" t="str">
        <f t="shared" si="126"/>
        <v>Duplicate ID</v>
      </c>
      <c r="Q2021" t="str">
        <f t="shared" si="127"/>
        <v>20,000-24,999</v>
      </c>
      <c r="R2021" s="6">
        <f>IF(COUNTIF($A$2:A2021,A2021)=1,1,0)</f>
        <v>0</v>
      </c>
    </row>
    <row r="2022" spans="1:18" x14ac:dyDescent="0.25">
      <c r="A2022" s="6">
        <v>1392</v>
      </c>
      <c r="B2022" s="7">
        <v>44506</v>
      </c>
      <c r="C2022" t="s">
        <v>1648</v>
      </c>
      <c r="D2022" s="6">
        <v>2018</v>
      </c>
      <c r="E2022" s="8">
        <v>14162</v>
      </c>
      <c r="F2022" s="8">
        <v>18000</v>
      </c>
      <c r="G2022" s="8">
        <f t="shared" si="124"/>
        <v>3838</v>
      </c>
      <c r="H2022" s="6">
        <v>25000</v>
      </c>
      <c r="I2022" t="s">
        <v>69</v>
      </c>
      <c r="J2022" t="s">
        <v>35</v>
      </c>
      <c r="K2022" t="s">
        <v>36</v>
      </c>
      <c r="L2022" t="s">
        <v>54</v>
      </c>
      <c r="M2022" t="s">
        <v>126</v>
      </c>
      <c r="N2022" s="6">
        <v>3</v>
      </c>
      <c r="O2022" t="str">
        <f t="shared" si="125"/>
        <v>Normal</v>
      </c>
      <c r="P2022" t="str">
        <f t="shared" si="126"/>
        <v>Duplicate ID</v>
      </c>
      <c r="Q2022" t="str">
        <f t="shared" si="127"/>
        <v>10,000-14,999</v>
      </c>
      <c r="R2022" s="6">
        <f>IF(COUNTIF($A$2:A2022,A2022)=1,1,0)</f>
        <v>0</v>
      </c>
    </row>
    <row r="2023" spans="1:18" x14ac:dyDescent="0.25">
      <c r="A2023" s="6">
        <v>1298</v>
      </c>
      <c r="B2023" s="7">
        <v>45099</v>
      </c>
      <c r="C2023" t="s">
        <v>51</v>
      </c>
      <c r="D2023" s="6">
        <v>2015</v>
      </c>
      <c r="E2023" s="8">
        <v>19270</v>
      </c>
      <c r="F2023" s="8">
        <v>22000</v>
      </c>
      <c r="G2023" s="8">
        <f t="shared" si="124"/>
        <v>2730</v>
      </c>
      <c r="H2023" s="6">
        <v>120000</v>
      </c>
      <c r="I2023" t="s">
        <v>69</v>
      </c>
      <c r="J2023" t="s">
        <v>35</v>
      </c>
      <c r="K2023" t="s">
        <v>36</v>
      </c>
      <c r="L2023" t="s">
        <v>100</v>
      </c>
      <c r="M2023" t="s">
        <v>98</v>
      </c>
      <c r="N2023" s="6" t="s">
        <v>1647</v>
      </c>
      <c r="O2023" t="str">
        <f t="shared" si="125"/>
        <v>Normal</v>
      </c>
      <c r="P2023" t="str">
        <f t="shared" si="126"/>
        <v>Duplicate ID</v>
      </c>
      <c r="Q2023" t="str">
        <f t="shared" si="127"/>
        <v>15,000-19,999</v>
      </c>
      <c r="R2023" s="6">
        <f>IF(COUNTIF($A$2:A2023,A2023)=1,1,0)</f>
        <v>0</v>
      </c>
    </row>
    <row r="2024" spans="1:18" x14ac:dyDescent="0.25">
      <c r="A2024" s="6">
        <v>1388</v>
      </c>
      <c r="B2024" s="7">
        <v>45113</v>
      </c>
      <c r="C2024" t="s">
        <v>119</v>
      </c>
      <c r="D2024" s="6">
        <v>2021</v>
      </c>
      <c r="E2024" s="8">
        <v>20303</v>
      </c>
      <c r="F2024" s="8">
        <v>26000</v>
      </c>
      <c r="G2024" s="8">
        <f t="shared" si="124"/>
        <v>5697</v>
      </c>
      <c r="H2024" s="6">
        <v>60000</v>
      </c>
      <c r="I2024" t="s">
        <v>41</v>
      </c>
      <c r="J2024" t="s">
        <v>1647</v>
      </c>
      <c r="K2024" t="s">
        <v>96</v>
      </c>
      <c r="L2024" t="s">
        <v>54</v>
      </c>
      <c r="M2024" t="s">
        <v>98</v>
      </c>
      <c r="N2024" s="6">
        <v>0</v>
      </c>
      <c r="O2024" t="str">
        <f t="shared" si="125"/>
        <v>Normal</v>
      </c>
      <c r="P2024" t="str">
        <f t="shared" si="126"/>
        <v>Duplicate ID</v>
      </c>
      <c r="Q2024" t="str">
        <f t="shared" si="127"/>
        <v>20,000-24,999</v>
      </c>
      <c r="R2024" s="6">
        <f>IF(COUNTIF($A$2:A2024,A2024)=1,1,0)</f>
        <v>0</v>
      </c>
    </row>
    <row r="2025" spans="1:18" x14ac:dyDescent="0.25">
      <c r="A2025" s="6">
        <v>1400</v>
      </c>
      <c r="B2025" s="7">
        <v>44807</v>
      </c>
      <c r="C2025" t="s">
        <v>1648</v>
      </c>
      <c r="D2025" s="6">
        <v>2018</v>
      </c>
      <c r="E2025" s="8">
        <v>1733</v>
      </c>
      <c r="F2025" s="8">
        <v>7000</v>
      </c>
      <c r="G2025" s="8">
        <f t="shared" si="124"/>
        <v>5267</v>
      </c>
      <c r="H2025" s="6">
        <v>40000</v>
      </c>
      <c r="I2025" t="s">
        <v>41</v>
      </c>
      <c r="J2025" t="s">
        <v>1647</v>
      </c>
      <c r="K2025" t="s">
        <v>36</v>
      </c>
      <c r="L2025" t="s">
        <v>100</v>
      </c>
      <c r="M2025" t="s">
        <v>45</v>
      </c>
      <c r="N2025" s="6" t="s">
        <v>1647</v>
      </c>
      <c r="O2025" t="str">
        <f t="shared" si="125"/>
        <v>Normal</v>
      </c>
      <c r="P2025" t="str">
        <f t="shared" si="126"/>
        <v>Duplicate ID</v>
      </c>
      <c r="Q2025" t="str">
        <f t="shared" si="127"/>
        <v>0-4,999</v>
      </c>
      <c r="R2025" s="6">
        <f>IF(COUNTIF($A$2:A2025,A2025)=1,1,0)</f>
        <v>0</v>
      </c>
    </row>
    <row r="2026" spans="1:18" x14ac:dyDescent="0.25">
      <c r="A2026" s="6">
        <v>1454</v>
      </c>
      <c r="B2026" s="7">
        <v>44925</v>
      </c>
      <c r="C2026" t="s">
        <v>79</v>
      </c>
      <c r="D2026" s="6">
        <v>2016</v>
      </c>
      <c r="E2026" s="8">
        <v>16631</v>
      </c>
      <c r="F2026" s="8">
        <v>18000</v>
      </c>
      <c r="G2026" s="8">
        <f t="shared" si="124"/>
        <v>1369</v>
      </c>
      <c r="H2026" s="6">
        <v>120000</v>
      </c>
      <c r="I2026" t="s">
        <v>34</v>
      </c>
      <c r="J2026" t="s">
        <v>35</v>
      </c>
      <c r="K2026" t="s">
        <v>36</v>
      </c>
      <c r="L2026" t="s">
        <v>54</v>
      </c>
      <c r="M2026" t="s">
        <v>45</v>
      </c>
      <c r="N2026" s="6">
        <v>1</v>
      </c>
      <c r="O2026" t="str">
        <f t="shared" si="125"/>
        <v>Normal</v>
      </c>
      <c r="P2026" t="str">
        <f t="shared" si="126"/>
        <v>Duplicate ID</v>
      </c>
      <c r="Q2026" t="str">
        <f t="shared" si="127"/>
        <v>15,000-19,999</v>
      </c>
      <c r="R2026" s="6">
        <f>IF(COUNTIF($A$2:A2026,A2026)=1,1,0)</f>
        <v>0</v>
      </c>
    </row>
    <row r="2027" spans="1:18" x14ac:dyDescent="0.25">
      <c r="A2027" s="6">
        <v>1099</v>
      </c>
      <c r="B2027" s="7">
        <v>44420</v>
      </c>
      <c r="C2027" t="s">
        <v>51</v>
      </c>
      <c r="D2027" s="6">
        <v>2016</v>
      </c>
      <c r="E2027" s="8">
        <v>25158</v>
      </c>
      <c r="F2027" s="8">
        <v>31000</v>
      </c>
      <c r="G2027" s="8">
        <f t="shared" si="124"/>
        <v>5842</v>
      </c>
      <c r="H2027" s="6">
        <v>120000</v>
      </c>
      <c r="I2027" t="s">
        <v>69</v>
      </c>
      <c r="J2027" t="s">
        <v>35</v>
      </c>
      <c r="K2027" t="s">
        <v>1647</v>
      </c>
      <c r="L2027" t="s">
        <v>54</v>
      </c>
      <c r="M2027" t="s">
        <v>98</v>
      </c>
      <c r="N2027" s="6">
        <v>3</v>
      </c>
      <c r="O2027" t="str">
        <f t="shared" si="125"/>
        <v>Normal</v>
      </c>
      <c r="P2027" t="str">
        <f t="shared" si="126"/>
        <v>Duplicate ID</v>
      </c>
      <c r="Q2027" t="str">
        <f t="shared" si="127"/>
        <v>25,000-30,000</v>
      </c>
      <c r="R2027" s="6">
        <f>IF(COUNTIF($A$2:A2027,A2027)=1,1,0)</f>
        <v>0</v>
      </c>
    </row>
    <row r="2028" spans="1:18" x14ac:dyDescent="0.25">
      <c r="A2028" s="6">
        <v>1365</v>
      </c>
      <c r="B2028" s="7">
        <v>44694</v>
      </c>
      <c r="C2028" t="s">
        <v>51</v>
      </c>
      <c r="D2028" s="6"/>
      <c r="E2028" s="8">
        <v>13375</v>
      </c>
      <c r="F2028" s="8">
        <v>15000</v>
      </c>
      <c r="G2028" s="8">
        <f t="shared" si="124"/>
        <v>1625</v>
      </c>
      <c r="H2028" s="6">
        <v>25000</v>
      </c>
      <c r="I2028" t="s">
        <v>58</v>
      </c>
      <c r="J2028" t="s">
        <v>35</v>
      </c>
      <c r="K2028" t="s">
        <v>96</v>
      </c>
      <c r="L2028" t="s">
        <v>100</v>
      </c>
      <c r="M2028" t="s">
        <v>45</v>
      </c>
      <c r="N2028" s="6" t="s">
        <v>1647</v>
      </c>
      <c r="O2028" t="str">
        <f t="shared" si="125"/>
        <v>Normal</v>
      </c>
      <c r="P2028" t="str">
        <f t="shared" si="126"/>
        <v>Duplicate ID</v>
      </c>
      <c r="Q2028" t="str">
        <f t="shared" si="127"/>
        <v>10,000-14,999</v>
      </c>
      <c r="R2028" s="6">
        <f>IF(COUNTIF($A$2:A2028,A2028)=1,1,0)</f>
        <v>0</v>
      </c>
    </row>
    <row r="2029" spans="1:18" x14ac:dyDescent="0.25">
      <c r="A2029" s="6">
        <v>1271</v>
      </c>
      <c r="B2029" s="7">
        <v>45054</v>
      </c>
      <c r="C2029" t="s">
        <v>40</v>
      </c>
      <c r="D2029" s="6">
        <v>2014</v>
      </c>
      <c r="E2029" s="8">
        <v>5621</v>
      </c>
      <c r="F2029" s="8">
        <v>12000</v>
      </c>
      <c r="G2029" s="8">
        <f t="shared" si="124"/>
        <v>6379</v>
      </c>
      <c r="H2029" s="6">
        <v>25000</v>
      </c>
      <c r="I2029" t="s">
        <v>58</v>
      </c>
      <c r="J2029" t="s">
        <v>35</v>
      </c>
      <c r="K2029" t="s">
        <v>96</v>
      </c>
      <c r="L2029" t="s">
        <v>54</v>
      </c>
      <c r="M2029" t="s">
        <v>45</v>
      </c>
      <c r="N2029" s="6" t="s">
        <v>1647</v>
      </c>
      <c r="O2029" t="str">
        <f t="shared" si="125"/>
        <v>Normal</v>
      </c>
      <c r="P2029" t="str">
        <f t="shared" si="126"/>
        <v>Duplicate ID</v>
      </c>
      <c r="Q2029" t="str">
        <f t="shared" si="127"/>
        <v>5,000-9,999</v>
      </c>
      <c r="R2029" s="6">
        <f>IF(COUNTIF($A$2:A2029,A2029)=1,1,0)</f>
        <v>0</v>
      </c>
    </row>
    <row r="2030" spans="1:18" x14ac:dyDescent="0.25">
      <c r="A2030" s="6">
        <v>1065</v>
      </c>
      <c r="B2030" s="7">
        <v>44485</v>
      </c>
      <c r="C2030" t="s">
        <v>57</v>
      </c>
      <c r="D2030" s="6"/>
      <c r="E2030" s="8">
        <v>29165</v>
      </c>
      <c r="F2030" s="8">
        <v>31000</v>
      </c>
      <c r="G2030" s="8">
        <f t="shared" si="124"/>
        <v>1835</v>
      </c>
      <c r="H2030" s="6">
        <v>80000</v>
      </c>
      <c r="I2030" t="s">
        <v>69</v>
      </c>
      <c r="J2030" t="s">
        <v>1647</v>
      </c>
      <c r="K2030" t="s">
        <v>1647</v>
      </c>
      <c r="L2030" t="s">
        <v>54</v>
      </c>
      <c r="M2030" t="s">
        <v>98</v>
      </c>
      <c r="N2030" s="6">
        <v>2</v>
      </c>
      <c r="O2030" t="str">
        <f t="shared" si="125"/>
        <v>Normal</v>
      </c>
      <c r="P2030" t="str">
        <f t="shared" si="126"/>
        <v>Duplicate ID</v>
      </c>
      <c r="Q2030" t="str">
        <f t="shared" si="127"/>
        <v>25,000-30,000</v>
      </c>
      <c r="R2030" s="6">
        <f>IF(COUNTIF($A$2:A2030,A2030)=1,1,0)</f>
        <v>0</v>
      </c>
    </row>
    <row r="2031" spans="1:18" x14ac:dyDescent="0.25">
      <c r="A2031" s="6">
        <v>1466</v>
      </c>
      <c r="B2031" s="7">
        <v>44704</v>
      </c>
      <c r="C2031" t="s">
        <v>79</v>
      </c>
      <c r="D2031" s="6">
        <v>2014</v>
      </c>
      <c r="E2031" s="8">
        <v>12217</v>
      </c>
      <c r="F2031" s="8">
        <v>18000</v>
      </c>
      <c r="G2031" s="8">
        <f t="shared" si="124"/>
        <v>5783</v>
      </c>
      <c r="H2031" s="6">
        <v>25000</v>
      </c>
      <c r="I2031" t="s">
        <v>69</v>
      </c>
      <c r="J2031" t="s">
        <v>72</v>
      </c>
      <c r="K2031" t="s">
        <v>36</v>
      </c>
      <c r="L2031" t="s">
        <v>73</v>
      </c>
      <c r="M2031" t="s">
        <v>45</v>
      </c>
      <c r="N2031" s="6">
        <v>3</v>
      </c>
      <c r="O2031" t="str">
        <f t="shared" si="125"/>
        <v>Normal</v>
      </c>
      <c r="P2031" t="str">
        <f t="shared" si="126"/>
        <v>Duplicate ID</v>
      </c>
      <c r="Q2031" t="str">
        <f t="shared" si="127"/>
        <v>10,000-14,999</v>
      </c>
      <c r="R2031" s="6">
        <f>IF(COUNTIF($A$2:A2031,A2031)=1,1,0)</f>
        <v>0</v>
      </c>
    </row>
    <row r="2032" spans="1:18" x14ac:dyDescent="0.25">
      <c r="A2032" s="6">
        <v>1048</v>
      </c>
      <c r="B2032" s="7">
        <v>45293</v>
      </c>
      <c r="C2032" t="s">
        <v>40</v>
      </c>
      <c r="D2032" s="6">
        <v>2021</v>
      </c>
      <c r="E2032" s="8">
        <v>8248</v>
      </c>
      <c r="F2032" s="8">
        <v>12000</v>
      </c>
      <c r="G2032" s="8">
        <f t="shared" si="124"/>
        <v>3752</v>
      </c>
      <c r="H2032" s="6">
        <v>60000</v>
      </c>
      <c r="I2032" t="s">
        <v>58</v>
      </c>
      <c r="J2032" t="s">
        <v>72</v>
      </c>
      <c r="K2032" t="s">
        <v>96</v>
      </c>
      <c r="L2032" t="s">
        <v>48</v>
      </c>
      <c r="M2032" t="s">
        <v>1647</v>
      </c>
      <c r="N2032" s="6" t="s">
        <v>1647</v>
      </c>
      <c r="O2032" t="str">
        <f t="shared" si="125"/>
        <v>Normal</v>
      </c>
      <c r="P2032" t="str">
        <f t="shared" si="126"/>
        <v>Duplicate ID</v>
      </c>
      <c r="Q2032" t="str">
        <f t="shared" si="127"/>
        <v>5,000-9,999</v>
      </c>
      <c r="R2032" s="6">
        <f>IF(COUNTIF($A$2:A2032,A2032)=1,1,0)</f>
        <v>0</v>
      </c>
    </row>
    <row r="2033" spans="1:18" x14ac:dyDescent="0.25">
      <c r="A2033" s="6">
        <v>1285</v>
      </c>
      <c r="B2033" s="7">
        <v>44797</v>
      </c>
      <c r="C2033" t="s">
        <v>1648</v>
      </c>
      <c r="D2033" s="6"/>
      <c r="E2033" s="8">
        <v>27292</v>
      </c>
      <c r="F2033" s="8">
        <v>31000</v>
      </c>
      <c r="G2033" s="8">
        <f t="shared" si="124"/>
        <v>3708</v>
      </c>
      <c r="H2033" s="6">
        <v>60000</v>
      </c>
      <c r="I2033" t="s">
        <v>69</v>
      </c>
      <c r="J2033" t="s">
        <v>35</v>
      </c>
      <c r="K2033" t="s">
        <v>36</v>
      </c>
      <c r="L2033" t="s">
        <v>54</v>
      </c>
      <c r="M2033" t="s">
        <v>126</v>
      </c>
      <c r="N2033" s="6">
        <v>0</v>
      </c>
      <c r="O2033" t="str">
        <f t="shared" si="125"/>
        <v>Normal</v>
      </c>
      <c r="P2033" t="str">
        <f t="shared" si="126"/>
        <v>Duplicate ID</v>
      </c>
      <c r="Q2033" t="str">
        <f t="shared" si="127"/>
        <v>25,000-30,000</v>
      </c>
      <c r="R2033" s="6">
        <f>IF(COUNTIF($A$2:A2033,A2033)=1,1,0)</f>
        <v>0</v>
      </c>
    </row>
    <row r="2034" spans="1:18" x14ac:dyDescent="0.25">
      <c r="A2034" s="6">
        <v>1445</v>
      </c>
      <c r="B2034" s="7">
        <v>44869</v>
      </c>
      <c r="C2034" t="s">
        <v>32</v>
      </c>
      <c r="D2034" s="6"/>
      <c r="E2034" s="8">
        <v>13974</v>
      </c>
      <c r="F2034" s="8">
        <v>15000</v>
      </c>
      <c r="G2034" s="8">
        <f t="shared" si="124"/>
        <v>1026</v>
      </c>
      <c r="H2034" s="6">
        <v>60000</v>
      </c>
      <c r="I2034" t="s">
        <v>41</v>
      </c>
      <c r="J2034" t="s">
        <v>1647</v>
      </c>
      <c r="K2034" t="s">
        <v>36</v>
      </c>
      <c r="L2034" t="s">
        <v>54</v>
      </c>
      <c r="M2034" t="s">
        <v>98</v>
      </c>
      <c r="N2034" s="6">
        <v>1</v>
      </c>
      <c r="O2034" t="str">
        <f t="shared" si="125"/>
        <v>Normal</v>
      </c>
      <c r="P2034" t="str">
        <f t="shared" si="126"/>
        <v>Duplicate ID</v>
      </c>
      <c r="Q2034" t="str">
        <f t="shared" si="127"/>
        <v>10,000-14,999</v>
      </c>
      <c r="R2034" s="6">
        <f>IF(COUNTIF($A$2:A2034,A2034)=1,1,0)</f>
        <v>0</v>
      </c>
    </row>
    <row r="2035" spans="1:18" x14ac:dyDescent="0.25">
      <c r="A2035" s="6">
        <v>1301</v>
      </c>
      <c r="B2035" s="7">
        <v>44783</v>
      </c>
      <c r="C2035" t="s">
        <v>40</v>
      </c>
      <c r="D2035" s="6">
        <v>2015</v>
      </c>
      <c r="E2035" s="8">
        <v>6675</v>
      </c>
      <c r="F2035" s="8">
        <v>12000</v>
      </c>
      <c r="G2035" s="8">
        <f t="shared" si="124"/>
        <v>5325</v>
      </c>
      <c r="H2035" s="6">
        <v>40000</v>
      </c>
      <c r="I2035" t="s">
        <v>69</v>
      </c>
      <c r="J2035" t="s">
        <v>72</v>
      </c>
      <c r="K2035" t="s">
        <v>36</v>
      </c>
      <c r="L2035" t="s">
        <v>73</v>
      </c>
      <c r="M2035" t="s">
        <v>45</v>
      </c>
      <c r="N2035" s="6">
        <v>3</v>
      </c>
      <c r="O2035" t="str">
        <f t="shared" si="125"/>
        <v>Normal</v>
      </c>
      <c r="P2035" t="str">
        <f t="shared" si="126"/>
        <v>Duplicate ID</v>
      </c>
      <c r="Q2035" t="str">
        <f t="shared" si="127"/>
        <v>5,000-9,999</v>
      </c>
      <c r="R2035" s="6">
        <f>IF(COUNTIF($A$2:A2035,A2035)=1,1,0)</f>
        <v>0</v>
      </c>
    </row>
    <row r="2036" spans="1:18" x14ac:dyDescent="0.25">
      <c r="A2036" s="6">
        <v>1476</v>
      </c>
      <c r="B2036" s="7">
        <v>44324</v>
      </c>
      <c r="C2036" t="s">
        <v>79</v>
      </c>
      <c r="D2036" s="6">
        <v>2016</v>
      </c>
      <c r="E2036" s="8">
        <v>9034</v>
      </c>
      <c r="F2036" s="8">
        <v>12000</v>
      </c>
      <c r="G2036" s="8">
        <f t="shared" si="124"/>
        <v>2966</v>
      </c>
      <c r="H2036" s="6">
        <v>120000</v>
      </c>
      <c r="I2036" t="s">
        <v>41</v>
      </c>
      <c r="J2036" t="s">
        <v>72</v>
      </c>
      <c r="K2036" t="s">
        <v>36</v>
      </c>
      <c r="L2036" t="s">
        <v>73</v>
      </c>
      <c r="M2036" t="s">
        <v>98</v>
      </c>
      <c r="N2036" s="6">
        <v>0</v>
      </c>
      <c r="O2036" t="str">
        <f t="shared" si="125"/>
        <v>Normal</v>
      </c>
      <c r="P2036" t="str">
        <f t="shared" si="126"/>
        <v>Duplicate ID</v>
      </c>
      <c r="Q2036" t="str">
        <f t="shared" si="127"/>
        <v>5,000-9,999</v>
      </c>
      <c r="R2036" s="6">
        <f>IF(COUNTIF($A$2:A2036,A2036)=1,1,0)</f>
        <v>0</v>
      </c>
    </row>
    <row r="2037" spans="1:18" x14ac:dyDescent="0.25">
      <c r="A2037" s="6">
        <v>1254</v>
      </c>
      <c r="B2037" s="7">
        <v>44691</v>
      </c>
      <c r="C2037" t="s">
        <v>32</v>
      </c>
      <c r="D2037" s="6">
        <v>2016</v>
      </c>
      <c r="E2037" s="8">
        <v>27547</v>
      </c>
      <c r="F2037" s="8">
        <v>31000</v>
      </c>
      <c r="G2037" s="8">
        <f t="shared" si="124"/>
        <v>3453</v>
      </c>
      <c r="H2037" s="6">
        <v>120000</v>
      </c>
      <c r="I2037" t="s">
        <v>58</v>
      </c>
      <c r="J2037" t="s">
        <v>72</v>
      </c>
      <c r="K2037" t="s">
        <v>36</v>
      </c>
      <c r="L2037" t="s">
        <v>1647</v>
      </c>
      <c r="M2037" t="s">
        <v>98</v>
      </c>
      <c r="N2037" s="6">
        <v>1</v>
      </c>
      <c r="O2037" t="str">
        <f t="shared" si="125"/>
        <v>Normal</v>
      </c>
      <c r="P2037" t="str">
        <f t="shared" si="126"/>
        <v>Duplicate ID</v>
      </c>
      <c r="Q2037" t="str">
        <f t="shared" si="127"/>
        <v>25,000-30,000</v>
      </c>
      <c r="R2037" s="6">
        <f>IF(COUNTIF($A$2:A2037,A2037)=1,1,0)</f>
        <v>0</v>
      </c>
    </row>
    <row r="2038" spans="1:18" x14ac:dyDescent="0.25">
      <c r="A2038" s="6">
        <v>1064</v>
      </c>
      <c r="B2038" s="7">
        <v>44582</v>
      </c>
      <c r="C2038" t="s">
        <v>51</v>
      </c>
      <c r="D2038" s="6">
        <v>2018</v>
      </c>
      <c r="E2038" s="8">
        <v>26573</v>
      </c>
      <c r="F2038" s="8">
        <v>31000</v>
      </c>
      <c r="G2038" s="8">
        <f t="shared" si="124"/>
        <v>4427</v>
      </c>
      <c r="H2038" s="6">
        <v>40000</v>
      </c>
      <c r="I2038" t="s">
        <v>58</v>
      </c>
      <c r="J2038" t="s">
        <v>1647</v>
      </c>
      <c r="K2038" t="s">
        <v>36</v>
      </c>
      <c r="L2038" t="s">
        <v>48</v>
      </c>
      <c r="M2038" t="s">
        <v>1647</v>
      </c>
      <c r="N2038" s="6">
        <v>1</v>
      </c>
      <c r="O2038" t="str">
        <f t="shared" si="125"/>
        <v>Normal</v>
      </c>
      <c r="P2038" t="str">
        <f t="shared" si="126"/>
        <v>Duplicate ID</v>
      </c>
      <c r="Q2038" t="str">
        <f t="shared" si="127"/>
        <v>25,000-30,000</v>
      </c>
      <c r="R2038" s="6">
        <f>IF(COUNTIF($A$2:A2038,A2038)=1,1,0)</f>
        <v>0</v>
      </c>
    </row>
    <row r="2039" spans="1:18" x14ac:dyDescent="0.25">
      <c r="A2039" s="6">
        <v>1326</v>
      </c>
      <c r="B2039" s="7">
        <v>44355</v>
      </c>
      <c r="C2039" t="s">
        <v>1648</v>
      </c>
      <c r="D2039" s="6">
        <v>2022</v>
      </c>
      <c r="E2039" s="8">
        <v>2591</v>
      </c>
      <c r="F2039" s="8">
        <v>7000</v>
      </c>
      <c r="G2039" s="8">
        <f t="shared" si="124"/>
        <v>4409</v>
      </c>
      <c r="H2039" s="6">
        <v>60000</v>
      </c>
      <c r="I2039" t="s">
        <v>69</v>
      </c>
      <c r="J2039" t="s">
        <v>1647</v>
      </c>
      <c r="K2039" t="s">
        <v>96</v>
      </c>
      <c r="L2039" t="s">
        <v>48</v>
      </c>
      <c r="M2039" t="s">
        <v>90</v>
      </c>
      <c r="N2039" s="6">
        <v>2</v>
      </c>
      <c r="O2039" t="str">
        <f t="shared" si="125"/>
        <v>Normal</v>
      </c>
      <c r="P2039" t="str">
        <f t="shared" si="126"/>
        <v>Duplicate ID</v>
      </c>
      <c r="Q2039" t="str">
        <f t="shared" si="127"/>
        <v>0-4,999</v>
      </c>
      <c r="R2039" s="6">
        <f>IF(COUNTIF($A$2:A2039,A2039)=1,1,0)</f>
        <v>0</v>
      </c>
    </row>
    <row r="2040" spans="1:18" x14ac:dyDescent="0.25">
      <c r="A2040" s="6">
        <v>1169</v>
      </c>
      <c r="B2040" s="7">
        <v>44255</v>
      </c>
      <c r="C2040" t="s">
        <v>1648</v>
      </c>
      <c r="D2040" s="6">
        <v>2019</v>
      </c>
      <c r="E2040" s="8">
        <v>12717</v>
      </c>
      <c r="F2040" s="8">
        <v>18000</v>
      </c>
      <c r="G2040" s="8">
        <f t="shared" si="124"/>
        <v>5283</v>
      </c>
      <c r="H2040" s="6">
        <v>15000</v>
      </c>
      <c r="I2040" t="s">
        <v>69</v>
      </c>
      <c r="J2040" t="s">
        <v>35</v>
      </c>
      <c r="K2040" t="s">
        <v>36</v>
      </c>
      <c r="L2040" t="s">
        <v>100</v>
      </c>
      <c r="M2040" t="s">
        <v>1647</v>
      </c>
      <c r="N2040" s="6" t="s">
        <v>1647</v>
      </c>
      <c r="O2040" t="str">
        <f t="shared" si="125"/>
        <v>Normal</v>
      </c>
      <c r="P2040" t="str">
        <f t="shared" si="126"/>
        <v>Duplicate ID</v>
      </c>
      <c r="Q2040" t="str">
        <f t="shared" si="127"/>
        <v>10,000-14,999</v>
      </c>
      <c r="R2040" s="6">
        <f>IF(COUNTIF($A$2:A2040,A2040)=1,1,0)</f>
        <v>0</v>
      </c>
    </row>
    <row r="2041" spans="1:18" x14ac:dyDescent="0.25">
      <c r="A2041" s="6">
        <v>1399</v>
      </c>
      <c r="B2041" s="7">
        <v>44755</v>
      </c>
      <c r="C2041" t="s">
        <v>79</v>
      </c>
      <c r="D2041" s="6">
        <v>2020</v>
      </c>
      <c r="E2041" s="8">
        <v>975</v>
      </c>
      <c r="F2041" s="8">
        <v>7000</v>
      </c>
      <c r="G2041" s="8">
        <f t="shared" si="124"/>
        <v>6025</v>
      </c>
      <c r="H2041" s="6">
        <v>40000</v>
      </c>
      <c r="I2041" t="s">
        <v>69</v>
      </c>
      <c r="J2041" t="s">
        <v>35</v>
      </c>
      <c r="K2041" t="s">
        <v>1647</v>
      </c>
      <c r="L2041" t="s">
        <v>1647</v>
      </c>
      <c r="M2041" t="s">
        <v>90</v>
      </c>
      <c r="N2041" s="6" t="s">
        <v>1647</v>
      </c>
      <c r="O2041" t="str">
        <f t="shared" si="125"/>
        <v>Outlier</v>
      </c>
      <c r="P2041" t="str">
        <f t="shared" si="126"/>
        <v>Duplicate ID</v>
      </c>
      <c r="Q2041" t="str">
        <f t="shared" si="127"/>
        <v>0-4,999</v>
      </c>
      <c r="R2041" s="6">
        <f>IF(COUNTIF($A$2:A2041,A2041)=1,1,0)</f>
        <v>0</v>
      </c>
    </row>
    <row r="2042" spans="1:18" x14ac:dyDescent="0.25">
      <c r="A2042" s="6">
        <v>1248</v>
      </c>
      <c r="B2042" s="7">
        <v>44288</v>
      </c>
      <c r="C2042" t="s">
        <v>51</v>
      </c>
      <c r="D2042" s="6">
        <v>2021</v>
      </c>
      <c r="E2042" s="8">
        <v>4738</v>
      </c>
      <c r="F2042" s="8">
        <v>7000</v>
      </c>
      <c r="G2042" s="8">
        <f t="shared" si="124"/>
        <v>2262</v>
      </c>
      <c r="H2042" s="6">
        <v>40000</v>
      </c>
      <c r="I2042" t="s">
        <v>1647</v>
      </c>
      <c r="J2042" t="s">
        <v>35</v>
      </c>
      <c r="K2042" t="s">
        <v>36</v>
      </c>
      <c r="L2042" t="s">
        <v>100</v>
      </c>
      <c r="M2042" t="s">
        <v>90</v>
      </c>
      <c r="N2042" s="6">
        <v>0</v>
      </c>
      <c r="O2042" t="str">
        <f t="shared" si="125"/>
        <v>Normal</v>
      </c>
      <c r="P2042" t="str">
        <f t="shared" si="126"/>
        <v>Duplicate ID</v>
      </c>
      <c r="Q2042" t="str">
        <f t="shared" si="127"/>
        <v>0-4,999</v>
      </c>
      <c r="R2042" s="6">
        <f>IF(COUNTIF($A$2:A2042,A2042)=1,1,0)</f>
        <v>0</v>
      </c>
    </row>
    <row r="2043" spans="1:18" x14ac:dyDescent="0.25">
      <c r="A2043" s="6">
        <v>1129</v>
      </c>
      <c r="B2043" s="7">
        <v>44797</v>
      </c>
      <c r="C2043" t="s">
        <v>57</v>
      </c>
      <c r="D2043" s="6">
        <v>2020</v>
      </c>
      <c r="E2043" s="8">
        <v>21425</v>
      </c>
      <c r="F2043" s="8">
        <v>26000</v>
      </c>
      <c r="G2043" s="8">
        <f t="shared" si="124"/>
        <v>4575</v>
      </c>
      <c r="H2043" s="6">
        <v>80000</v>
      </c>
      <c r="I2043" t="s">
        <v>34</v>
      </c>
      <c r="J2043" t="s">
        <v>35</v>
      </c>
      <c r="K2043" t="s">
        <v>96</v>
      </c>
      <c r="L2043" t="s">
        <v>1647</v>
      </c>
      <c r="M2043" t="s">
        <v>45</v>
      </c>
      <c r="N2043" s="6">
        <v>1</v>
      </c>
      <c r="O2043" t="str">
        <f t="shared" si="125"/>
        <v>Normal</v>
      </c>
      <c r="P2043" t="str">
        <f t="shared" si="126"/>
        <v>Duplicate ID</v>
      </c>
      <c r="Q2043" t="str">
        <f t="shared" si="127"/>
        <v>20,000-24,999</v>
      </c>
      <c r="R2043" s="6">
        <f>IF(COUNTIF($A$2:A2043,A2043)=1,1,0)</f>
        <v>0</v>
      </c>
    </row>
    <row r="2044" spans="1:18" x14ac:dyDescent="0.25">
      <c r="A2044" s="6">
        <v>1249</v>
      </c>
      <c r="B2044" s="7">
        <v>44256</v>
      </c>
      <c r="C2044" t="s">
        <v>1648</v>
      </c>
      <c r="D2044" s="6">
        <v>2016</v>
      </c>
      <c r="E2044" s="8">
        <v>26898</v>
      </c>
      <c r="F2044" s="8">
        <v>31000</v>
      </c>
      <c r="G2044" s="8">
        <f t="shared" si="124"/>
        <v>4102</v>
      </c>
      <c r="H2044" s="6">
        <v>120000</v>
      </c>
      <c r="I2044" t="s">
        <v>1647</v>
      </c>
      <c r="J2044" t="s">
        <v>1647</v>
      </c>
      <c r="K2044" t="s">
        <v>36</v>
      </c>
      <c r="L2044" t="s">
        <v>54</v>
      </c>
      <c r="M2044" t="s">
        <v>98</v>
      </c>
      <c r="N2044" s="6">
        <v>0</v>
      </c>
      <c r="O2044" t="str">
        <f t="shared" si="125"/>
        <v>Normal</v>
      </c>
      <c r="P2044" t="str">
        <f t="shared" si="126"/>
        <v>Duplicate ID</v>
      </c>
      <c r="Q2044" t="str">
        <f t="shared" si="127"/>
        <v>25,000-30,000</v>
      </c>
      <c r="R2044" s="6">
        <f>IF(COUNTIF($A$2:A2044,A2044)=1,1,0)</f>
        <v>0</v>
      </c>
    </row>
    <row r="2045" spans="1:18" x14ac:dyDescent="0.25">
      <c r="A2045" s="6">
        <v>1227</v>
      </c>
      <c r="B2045" s="7">
        <v>44663</v>
      </c>
      <c r="C2045" t="s">
        <v>40</v>
      </c>
      <c r="D2045" s="6">
        <v>2020</v>
      </c>
      <c r="E2045" s="8">
        <v>6602</v>
      </c>
      <c r="F2045" s="8">
        <v>12000</v>
      </c>
      <c r="G2045" s="8">
        <f t="shared" si="124"/>
        <v>5398</v>
      </c>
      <c r="H2045" s="6">
        <v>120000</v>
      </c>
      <c r="I2045" t="s">
        <v>69</v>
      </c>
      <c r="J2045" t="s">
        <v>72</v>
      </c>
      <c r="K2045" t="s">
        <v>36</v>
      </c>
      <c r="L2045" t="s">
        <v>54</v>
      </c>
      <c r="M2045" t="s">
        <v>98</v>
      </c>
      <c r="N2045" s="6">
        <v>1</v>
      </c>
      <c r="O2045" t="str">
        <f t="shared" si="125"/>
        <v>Normal</v>
      </c>
      <c r="P2045" t="str">
        <f t="shared" si="126"/>
        <v>Duplicate ID</v>
      </c>
      <c r="Q2045" t="str">
        <f t="shared" si="127"/>
        <v>5,000-9,999</v>
      </c>
      <c r="R2045" s="6">
        <f>IF(COUNTIF($A$2:A2045,A2045)=1,1,0)</f>
        <v>0</v>
      </c>
    </row>
    <row r="2046" spans="1:18" x14ac:dyDescent="0.25">
      <c r="A2046" s="6">
        <v>1057</v>
      </c>
      <c r="B2046" s="7">
        <v>44271</v>
      </c>
      <c r="C2046" t="s">
        <v>57</v>
      </c>
      <c r="D2046" s="6">
        <v>2018</v>
      </c>
      <c r="E2046" s="8">
        <v>6907</v>
      </c>
      <c r="F2046" s="8">
        <v>12000</v>
      </c>
      <c r="G2046" s="8">
        <f t="shared" si="124"/>
        <v>5093</v>
      </c>
      <c r="H2046" s="6">
        <v>60000</v>
      </c>
      <c r="I2046" t="s">
        <v>1647</v>
      </c>
      <c r="J2046" t="s">
        <v>35</v>
      </c>
      <c r="K2046" t="s">
        <v>36</v>
      </c>
      <c r="L2046" t="s">
        <v>100</v>
      </c>
      <c r="M2046" t="s">
        <v>98</v>
      </c>
      <c r="N2046" s="6">
        <v>1</v>
      </c>
      <c r="O2046" t="str">
        <f t="shared" si="125"/>
        <v>Normal</v>
      </c>
      <c r="P2046" t="str">
        <f t="shared" si="126"/>
        <v>Duplicate ID</v>
      </c>
      <c r="Q2046" t="str">
        <f t="shared" si="127"/>
        <v>5,000-9,999</v>
      </c>
      <c r="R2046" s="6">
        <f>IF(COUNTIF($A$2:A2046,A2046)=1,1,0)</f>
        <v>0</v>
      </c>
    </row>
    <row r="2047" spans="1:18" x14ac:dyDescent="0.25">
      <c r="A2047" s="6">
        <v>1167</v>
      </c>
      <c r="B2047" s="7">
        <v>44836</v>
      </c>
      <c r="C2047" t="s">
        <v>32</v>
      </c>
      <c r="D2047" s="6">
        <v>2016</v>
      </c>
      <c r="E2047" s="8">
        <v>20815</v>
      </c>
      <c r="F2047" s="8">
        <v>22000</v>
      </c>
      <c r="G2047" s="8">
        <f t="shared" si="124"/>
        <v>1185</v>
      </c>
      <c r="H2047" s="6">
        <v>60000</v>
      </c>
      <c r="I2047" t="s">
        <v>58</v>
      </c>
      <c r="J2047" t="s">
        <v>72</v>
      </c>
      <c r="K2047" t="s">
        <v>96</v>
      </c>
      <c r="L2047" t="s">
        <v>54</v>
      </c>
      <c r="M2047" t="s">
        <v>45</v>
      </c>
      <c r="N2047" s="6">
        <v>3</v>
      </c>
      <c r="O2047" t="str">
        <f t="shared" si="125"/>
        <v>Normal</v>
      </c>
      <c r="P2047" t="str">
        <f t="shared" si="126"/>
        <v>Duplicate ID</v>
      </c>
      <c r="Q2047" t="str">
        <f t="shared" si="127"/>
        <v>20,000-24,999</v>
      </c>
      <c r="R2047" s="6">
        <f>IF(COUNTIF($A$2:A2047,A2047)=1,1,0)</f>
        <v>0</v>
      </c>
    </row>
    <row r="2048" spans="1:18" x14ac:dyDescent="0.25">
      <c r="A2048" s="6">
        <v>1300</v>
      </c>
      <c r="B2048" s="7">
        <v>44276</v>
      </c>
      <c r="C2048" t="s">
        <v>119</v>
      </c>
      <c r="D2048" s="6"/>
      <c r="E2048" s="8">
        <v>24682</v>
      </c>
      <c r="F2048" s="8">
        <v>31000</v>
      </c>
      <c r="G2048" s="8">
        <f t="shared" si="124"/>
        <v>6318</v>
      </c>
      <c r="H2048" s="6">
        <v>60000</v>
      </c>
      <c r="I2048" t="s">
        <v>41</v>
      </c>
      <c r="J2048" t="s">
        <v>72</v>
      </c>
      <c r="K2048" t="s">
        <v>1647</v>
      </c>
      <c r="L2048" t="s">
        <v>48</v>
      </c>
      <c r="M2048" t="s">
        <v>45</v>
      </c>
      <c r="N2048" s="6">
        <v>3</v>
      </c>
      <c r="O2048" t="str">
        <f t="shared" si="125"/>
        <v>Normal</v>
      </c>
      <c r="P2048" t="str">
        <f t="shared" si="126"/>
        <v>Duplicate ID</v>
      </c>
      <c r="Q2048" t="str">
        <f t="shared" si="127"/>
        <v>20,000-24,999</v>
      </c>
      <c r="R2048" s="6">
        <f>IF(COUNTIF($A$2:A2048,A2048)=1,1,0)</f>
        <v>0</v>
      </c>
    </row>
    <row r="2049" spans="1:18" x14ac:dyDescent="0.25">
      <c r="A2049" s="6">
        <v>1304</v>
      </c>
      <c r="B2049" s="7">
        <v>44217</v>
      </c>
      <c r="C2049" t="s">
        <v>1648</v>
      </c>
      <c r="D2049" s="6">
        <v>2017</v>
      </c>
      <c r="E2049" s="8">
        <v>21887</v>
      </c>
      <c r="F2049" s="8">
        <v>26000</v>
      </c>
      <c r="G2049" s="8">
        <f t="shared" si="124"/>
        <v>4113</v>
      </c>
      <c r="H2049" s="6">
        <v>40000</v>
      </c>
      <c r="I2049" t="s">
        <v>69</v>
      </c>
      <c r="J2049" t="s">
        <v>72</v>
      </c>
      <c r="K2049" t="s">
        <v>96</v>
      </c>
      <c r="L2049" t="s">
        <v>100</v>
      </c>
      <c r="M2049" t="s">
        <v>90</v>
      </c>
      <c r="N2049" s="6">
        <v>1</v>
      </c>
      <c r="O2049" t="str">
        <f t="shared" si="125"/>
        <v>Normal</v>
      </c>
      <c r="P2049" t="str">
        <f t="shared" si="126"/>
        <v>Duplicate ID</v>
      </c>
      <c r="Q2049" t="str">
        <f t="shared" si="127"/>
        <v>20,000-24,999</v>
      </c>
      <c r="R2049" s="6">
        <f>IF(COUNTIF($A$2:A2049,A2049)=1,1,0)</f>
        <v>0</v>
      </c>
    </row>
    <row r="2050" spans="1:18" x14ac:dyDescent="0.25">
      <c r="A2050" s="6">
        <v>1557</v>
      </c>
      <c r="B2050" s="7">
        <v>44777</v>
      </c>
      <c r="C2050" t="s">
        <v>57</v>
      </c>
      <c r="D2050" s="6"/>
      <c r="E2050" s="8">
        <v>6665</v>
      </c>
      <c r="F2050" s="8">
        <v>9000</v>
      </c>
      <c r="G2050" s="8">
        <f t="shared" ref="G2050:G2113" si="128">IF(OR(F2050="",E2050=""),"",F2050-E2050)</f>
        <v>2335</v>
      </c>
      <c r="H2050" s="6">
        <v>120000</v>
      </c>
      <c r="I2050" t="s">
        <v>1647</v>
      </c>
      <c r="J2050" t="s">
        <v>35</v>
      </c>
      <c r="K2050" t="s">
        <v>36</v>
      </c>
      <c r="L2050" t="s">
        <v>48</v>
      </c>
      <c r="M2050" t="s">
        <v>90</v>
      </c>
      <c r="N2050" s="6">
        <v>1</v>
      </c>
      <c r="O2050" t="str">
        <f t="shared" ref="O2050:O2113" si="129">IF(E2050&lt;1000,"Outlier","Normal")</f>
        <v>Normal</v>
      </c>
      <c r="P2050" t="str">
        <f t="shared" ref="P2050:P2113" si="130">IF(COUNTIF($A$2:$A$2501,A2050)&gt;1,"Duplicate ID","Unique ID")</f>
        <v>Duplicate ID</v>
      </c>
      <c r="Q2050" t="str">
        <f t="shared" ref="Q2050:Q2113" si="131">IF(E2050&lt;5000,"0-4,999",IF(E2050&lt;10000,"5,000-9,999",IF(E2050&lt;15000,"10,000-14,999",IF(E2050&lt;20000,"15,000-19,999",IF(E2050&lt;25000,"20,000-24,999","25,000-30,000")))))</f>
        <v>5,000-9,999</v>
      </c>
      <c r="R2050" s="6">
        <f>IF(COUNTIF($A$2:A2050,A2050)=1,1,0)</f>
        <v>0</v>
      </c>
    </row>
    <row r="2051" spans="1:18" x14ac:dyDescent="0.25">
      <c r="A2051" s="6">
        <v>1032</v>
      </c>
      <c r="B2051" s="7">
        <v>44759</v>
      </c>
      <c r="C2051" t="s">
        <v>119</v>
      </c>
      <c r="D2051" s="6">
        <v>2019</v>
      </c>
      <c r="E2051" s="8">
        <v>13546</v>
      </c>
      <c r="F2051" s="8">
        <v>18000</v>
      </c>
      <c r="G2051" s="8">
        <f t="shared" si="128"/>
        <v>4454</v>
      </c>
      <c r="H2051" s="6">
        <v>25000</v>
      </c>
      <c r="I2051" t="s">
        <v>69</v>
      </c>
      <c r="J2051" t="s">
        <v>35</v>
      </c>
      <c r="K2051" t="s">
        <v>36</v>
      </c>
      <c r="L2051" t="s">
        <v>73</v>
      </c>
      <c r="M2051" t="s">
        <v>90</v>
      </c>
      <c r="N2051" s="6">
        <v>0</v>
      </c>
      <c r="O2051" t="str">
        <f t="shared" si="129"/>
        <v>Normal</v>
      </c>
      <c r="P2051" t="str">
        <f t="shared" si="130"/>
        <v>Duplicate ID</v>
      </c>
      <c r="Q2051" t="str">
        <f t="shared" si="131"/>
        <v>10,000-14,999</v>
      </c>
      <c r="R2051" s="6">
        <f>IF(COUNTIF($A$2:A2051,A2051)=1,1,0)</f>
        <v>1</v>
      </c>
    </row>
    <row r="2052" spans="1:18" x14ac:dyDescent="0.25">
      <c r="A2052" s="6">
        <v>1516</v>
      </c>
      <c r="B2052" s="7">
        <v>44691</v>
      </c>
      <c r="C2052" t="s">
        <v>119</v>
      </c>
      <c r="D2052" s="6">
        <v>2017</v>
      </c>
      <c r="E2052" s="8">
        <v>5039</v>
      </c>
      <c r="F2052" s="8">
        <v>7000</v>
      </c>
      <c r="G2052" s="8">
        <f t="shared" si="128"/>
        <v>1961</v>
      </c>
      <c r="H2052" s="6">
        <v>120000</v>
      </c>
      <c r="I2052" t="s">
        <v>58</v>
      </c>
      <c r="J2052" t="s">
        <v>35</v>
      </c>
      <c r="K2052" t="s">
        <v>96</v>
      </c>
      <c r="L2052" t="s">
        <v>48</v>
      </c>
      <c r="M2052" t="s">
        <v>1647</v>
      </c>
      <c r="N2052" s="6" t="s">
        <v>1647</v>
      </c>
      <c r="O2052" t="str">
        <f t="shared" si="129"/>
        <v>Normal</v>
      </c>
      <c r="P2052" t="str">
        <f t="shared" si="130"/>
        <v>Duplicate ID</v>
      </c>
      <c r="Q2052" t="str">
        <f t="shared" si="131"/>
        <v>5,000-9,999</v>
      </c>
      <c r="R2052" s="6">
        <f>IF(COUNTIF($A$2:A2052,A2052)=1,1,0)</f>
        <v>0</v>
      </c>
    </row>
    <row r="2053" spans="1:18" x14ac:dyDescent="0.25">
      <c r="A2053" s="6">
        <v>1119</v>
      </c>
      <c r="B2053" s="7">
        <v>44231</v>
      </c>
      <c r="C2053" t="s">
        <v>40</v>
      </c>
      <c r="D2053" s="6">
        <v>2019</v>
      </c>
      <c r="E2053" s="8">
        <v>3570</v>
      </c>
      <c r="F2053" s="8">
        <v>9000</v>
      </c>
      <c r="G2053" s="8">
        <f t="shared" si="128"/>
        <v>5430</v>
      </c>
      <c r="H2053" s="6">
        <v>15000</v>
      </c>
      <c r="I2053" t="s">
        <v>58</v>
      </c>
      <c r="J2053" t="s">
        <v>72</v>
      </c>
      <c r="K2053" t="s">
        <v>96</v>
      </c>
      <c r="L2053" t="s">
        <v>48</v>
      </c>
      <c r="M2053" t="s">
        <v>126</v>
      </c>
      <c r="N2053" s="6">
        <v>1</v>
      </c>
      <c r="O2053" t="str">
        <f t="shared" si="129"/>
        <v>Normal</v>
      </c>
      <c r="P2053" t="str">
        <f t="shared" si="130"/>
        <v>Duplicate ID</v>
      </c>
      <c r="Q2053" t="str">
        <f t="shared" si="131"/>
        <v>0-4,999</v>
      </c>
      <c r="R2053" s="6">
        <f>IF(COUNTIF($A$2:A2053,A2053)=1,1,0)</f>
        <v>0</v>
      </c>
    </row>
    <row r="2054" spans="1:18" x14ac:dyDescent="0.25">
      <c r="A2054" s="6">
        <v>1326</v>
      </c>
      <c r="B2054" s="7">
        <v>44342</v>
      </c>
      <c r="C2054" t="s">
        <v>1648</v>
      </c>
      <c r="D2054" s="6">
        <v>2021</v>
      </c>
      <c r="E2054" s="8">
        <v>7226</v>
      </c>
      <c r="F2054" s="8">
        <v>12000</v>
      </c>
      <c r="G2054" s="8">
        <f t="shared" si="128"/>
        <v>4774</v>
      </c>
      <c r="H2054" s="6">
        <v>80000</v>
      </c>
      <c r="I2054" t="s">
        <v>69</v>
      </c>
      <c r="J2054" t="s">
        <v>72</v>
      </c>
      <c r="K2054" t="s">
        <v>1647</v>
      </c>
      <c r="L2054" t="s">
        <v>54</v>
      </c>
      <c r="M2054" t="s">
        <v>45</v>
      </c>
      <c r="N2054" s="6">
        <v>3</v>
      </c>
      <c r="O2054" t="str">
        <f t="shared" si="129"/>
        <v>Normal</v>
      </c>
      <c r="P2054" t="str">
        <f t="shared" si="130"/>
        <v>Duplicate ID</v>
      </c>
      <c r="Q2054" t="str">
        <f t="shared" si="131"/>
        <v>5,000-9,999</v>
      </c>
      <c r="R2054" s="6">
        <f>IF(COUNTIF($A$2:A2054,A2054)=1,1,0)</f>
        <v>0</v>
      </c>
    </row>
    <row r="2055" spans="1:18" x14ac:dyDescent="0.25">
      <c r="A2055" s="6">
        <v>1376</v>
      </c>
      <c r="B2055" s="7">
        <v>44956</v>
      </c>
      <c r="C2055" t="s">
        <v>51</v>
      </c>
      <c r="D2055" s="6"/>
      <c r="E2055" s="8">
        <v>16331</v>
      </c>
      <c r="F2055" s="8">
        <v>22000</v>
      </c>
      <c r="G2055" s="8">
        <f t="shared" si="128"/>
        <v>5669</v>
      </c>
      <c r="H2055" s="6">
        <v>80000</v>
      </c>
      <c r="I2055" t="s">
        <v>58</v>
      </c>
      <c r="J2055" t="s">
        <v>72</v>
      </c>
      <c r="K2055" t="s">
        <v>36</v>
      </c>
      <c r="L2055" t="s">
        <v>73</v>
      </c>
      <c r="M2055" t="s">
        <v>98</v>
      </c>
      <c r="N2055" s="6">
        <v>0</v>
      </c>
      <c r="O2055" t="str">
        <f t="shared" si="129"/>
        <v>Normal</v>
      </c>
      <c r="P2055" t="str">
        <f t="shared" si="130"/>
        <v>Duplicate ID</v>
      </c>
      <c r="Q2055" t="str">
        <f t="shared" si="131"/>
        <v>15,000-19,999</v>
      </c>
      <c r="R2055" s="6">
        <f>IF(COUNTIF($A$2:A2055,A2055)=1,1,0)</f>
        <v>0</v>
      </c>
    </row>
    <row r="2056" spans="1:18" x14ac:dyDescent="0.25">
      <c r="A2056" s="6">
        <v>1229</v>
      </c>
      <c r="B2056" s="7">
        <v>45342</v>
      </c>
      <c r="C2056" t="s">
        <v>51</v>
      </c>
      <c r="D2056" s="6">
        <v>2022</v>
      </c>
      <c r="E2056" s="8">
        <v>20392</v>
      </c>
      <c r="F2056" s="8">
        <v>22000</v>
      </c>
      <c r="G2056" s="8">
        <f t="shared" si="128"/>
        <v>1608</v>
      </c>
      <c r="H2056" s="6">
        <v>40000</v>
      </c>
      <c r="I2056" t="s">
        <v>58</v>
      </c>
      <c r="J2056" t="s">
        <v>72</v>
      </c>
      <c r="K2056" t="s">
        <v>36</v>
      </c>
      <c r="L2056" t="s">
        <v>73</v>
      </c>
      <c r="M2056" t="s">
        <v>98</v>
      </c>
      <c r="N2056" s="6" t="s">
        <v>1647</v>
      </c>
      <c r="O2056" t="str">
        <f t="shared" si="129"/>
        <v>Normal</v>
      </c>
      <c r="P2056" t="str">
        <f t="shared" si="130"/>
        <v>Duplicate ID</v>
      </c>
      <c r="Q2056" t="str">
        <f t="shared" si="131"/>
        <v>20,000-24,999</v>
      </c>
      <c r="R2056" s="6">
        <f>IF(COUNTIF($A$2:A2056,A2056)=1,1,0)</f>
        <v>0</v>
      </c>
    </row>
    <row r="2057" spans="1:18" x14ac:dyDescent="0.25">
      <c r="A2057" s="6">
        <v>1068</v>
      </c>
      <c r="B2057" s="7">
        <v>44394</v>
      </c>
      <c r="C2057" t="s">
        <v>57</v>
      </c>
      <c r="D2057" s="6">
        <v>2015</v>
      </c>
      <c r="E2057" s="8">
        <v>22434</v>
      </c>
      <c r="F2057" s="8">
        <v>26000</v>
      </c>
      <c r="G2057" s="8">
        <f t="shared" si="128"/>
        <v>3566</v>
      </c>
      <c r="H2057" s="6">
        <v>120000</v>
      </c>
      <c r="I2057" t="s">
        <v>69</v>
      </c>
      <c r="J2057" t="s">
        <v>72</v>
      </c>
      <c r="K2057" t="s">
        <v>96</v>
      </c>
      <c r="L2057" t="s">
        <v>54</v>
      </c>
      <c r="M2057" t="s">
        <v>45</v>
      </c>
      <c r="N2057" s="6">
        <v>1</v>
      </c>
      <c r="O2057" t="str">
        <f t="shared" si="129"/>
        <v>Normal</v>
      </c>
      <c r="P2057" t="str">
        <f t="shared" si="130"/>
        <v>Duplicate ID</v>
      </c>
      <c r="Q2057" t="str">
        <f t="shared" si="131"/>
        <v>20,000-24,999</v>
      </c>
      <c r="R2057" s="6">
        <f>IF(COUNTIF($A$2:A2057,A2057)=1,1,0)</f>
        <v>0</v>
      </c>
    </row>
    <row r="2058" spans="1:18" x14ac:dyDescent="0.25">
      <c r="A2058" s="6">
        <v>1394</v>
      </c>
      <c r="B2058" s="7">
        <v>45166</v>
      </c>
      <c r="C2058" t="s">
        <v>40</v>
      </c>
      <c r="D2058" s="6">
        <v>2017</v>
      </c>
      <c r="E2058" s="8">
        <v>4890</v>
      </c>
      <c r="F2058" s="8">
        <v>7000</v>
      </c>
      <c r="G2058" s="8">
        <f t="shared" si="128"/>
        <v>2110</v>
      </c>
      <c r="H2058" s="6">
        <v>120000</v>
      </c>
      <c r="I2058" t="s">
        <v>41</v>
      </c>
      <c r="J2058" t="s">
        <v>1647</v>
      </c>
      <c r="K2058" t="s">
        <v>1647</v>
      </c>
      <c r="L2058" t="s">
        <v>100</v>
      </c>
      <c r="M2058" t="s">
        <v>45</v>
      </c>
      <c r="N2058" s="6">
        <v>0</v>
      </c>
      <c r="O2058" t="str">
        <f t="shared" si="129"/>
        <v>Normal</v>
      </c>
      <c r="P2058" t="str">
        <f t="shared" si="130"/>
        <v>Duplicate ID</v>
      </c>
      <c r="Q2058" t="str">
        <f t="shared" si="131"/>
        <v>0-4,999</v>
      </c>
      <c r="R2058" s="6">
        <f>IF(COUNTIF($A$2:A2058,A2058)=1,1,0)</f>
        <v>0</v>
      </c>
    </row>
    <row r="2059" spans="1:18" x14ac:dyDescent="0.25">
      <c r="A2059" s="6">
        <v>1172</v>
      </c>
      <c r="B2059" s="7">
        <v>44384</v>
      </c>
      <c r="C2059" t="s">
        <v>57</v>
      </c>
      <c r="D2059" s="6">
        <v>2019</v>
      </c>
      <c r="E2059" s="8">
        <v>8074</v>
      </c>
      <c r="F2059" s="8">
        <v>15000</v>
      </c>
      <c r="G2059" s="8">
        <f t="shared" si="128"/>
        <v>6926</v>
      </c>
      <c r="H2059" s="6">
        <v>25000</v>
      </c>
      <c r="I2059" t="s">
        <v>41</v>
      </c>
      <c r="J2059" t="s">
        <v>35</v>
      </c>
      <c r="K2059" t="s">
        <v>1647</v>
      </c>
      <c r="L2059" t="s">
        <v>100</v>
      </c>
      <c r="M2059" t="s">
        <v>98</v>
      </c>
      <c r="N2059" s="6">
        <v>1</v>
      </c>
      <c r="O2059" t="str">
        <f t="shared" si="129"/>
        <v>Normal</v>
      </c>
      <c r="P2059" t="str">
        <f t="shared" si="130"/>
        <v>Duplicate ID</v>
      </c>
      <c r="Q2059" t="str">
        <f t="shared" si="131"/>
        <v>5,000-9,999</v>
      </c>
      <c r="R2059" s="6">
        <f>IF(COUNTIF($A$2:A2059,A2059)=1,1,0)</f>
        <v>0</v>
      </c>
    </row>
    <row r="2060" spans="1:18" x14ac:dyDescent="0.25">
      <c r="A2060" s="6">
        <v>1180</v>
      </c>
      <c r="B2060" s="7">
        <v>44381</v>
      </c>
      <c r="C2060" t="s">
        <v>51</v>
      </c>
      <c r="D2060" s="6">
        <v>2018</v>
      </c>
      <c r="E2060" s="8">
        <v>3948</v>
      </c>
      <c r="F2060" s="8">
        <v>7000</v>
      </c>
      <c r="G2060" s="8">
        <f t="shared" si="128"/>
        <v>3052</v>
      </c>
      <c r="H2060" s="6">
        <v>80000</v>
      </c>
      <c r="I2060" t="s">
        <v>41</v>
      </c>
      <c r="J2060" t="s">
        <v>72</v>
      </c>
      <c r="K2060" t="s">
        <v>36</v>
      </c>
      <c r="L2060" t="s">
        <v>54</v>
      </c>
      <c r="M2060" t="s">
        <v>98</v>
      </c>
      <c r="N2060" s="6" t="s">
        <v>1647</v>
      </c>
      <c r="O2060" t="str">
        <f t="shared" si="129"/>
        <v>Normal</v>
      </c>
      <c r="P2060" t="str">
        <f t="shared" si="130"/>
        <v>Duplicate ID</v>
      </c>
      <c r="Q2060" t="str">
        <f t="shared" si="131"/>
        <v>0-4,999</v>
      </c>
      <c r="R2060" s="6">
        <f>IF(COUNTIF($A$2:A2060,A2060)=1,1,0)</f>
        <v>0</v>
      </c>
    </row>
    <row r="2061" spans="1:18" x14ac:dyDescent="0.25">
      <c r="A2061" s="6">
        <v>1489</v>
      </c>
      <c r="B2061" s="7">
        <v>44775</v>
      </c>
      <c r="C2061" t="s">
        <v>51</v>
      </c>
      <c r="D2061" s="6"/>
      <c r="E2061" s="8">
        <v>5780</v>
      </c>
      <c r="F2061" s="8">
        <v>7000</v>
      </c>
      <c r="G2061" s="8">
        <f t="shared" si="128"/>
        <v>1220</v>
      </c>
      <c r="H2061" s="6">
        <v>120000</v>
      </c>
      <c r="I2061" t="s">
        <v>58</v>
      </c>
      <c r="J2061" t="s">
        <v>35</v>
      </c>
      <c r="K2061" t="s">
        <v>96</v>
      </c>
      <c r="L2061" t="s">
        <v>54</v>
      </c>
      <c r="M2061" t="s">
        <v>98</v>
      </c>
      <c r="N2061" s="6">
        <v>0</v>
      </c>
      <c r="O2061" t="str">
        <f t="shared" si="129"/>
        <v>Normal</v>
      </c>
      <c r="P2061" t="str">
        <f t="shared" si="130"/>
        <v>Duplicate ID</v>
      </c>
      <c r="Q2061" t="str">
        <f t="shared" si="131"/>
        <v>5,000-9,999</v>
      </c>
      <c r="R2061" s="6">
        <f>IF(COUNTIF($A$2:A2061,A2061)=1,1,0)</f>
        <v>0</v>
      </c>
    </row>
    <row r="2062" spans="1:18" x14ac:dyDescent="0.25">
      <c r="A2062" s="6">
        <v>1238</v>
      </c>
      <c r="B2062" s="7">
        <v>44816</v>
      </c>
      <c r="C2062" t="s">
        <v>40</v>
      </c>
      <c r="D2062" s="6">
        <v>2022</v>
      </c>
      <c r="E2062" s="8">
        <v>6330</v>
      </c>
      <c r="F2062" s="8">
        <v>9000</v>
      </c>
      <c r="G2062" s="8">
        <f t="shared" si="128"/>
        <v>2670</v>
      </c>
      <c r="H2062" s="6">
        <v>15000</v>
      </c>
      <c r="I2062" t="s">
        <v>41</v>
      </c>
      <c r="J2062" t="s">
        <v>35</v>
      </c>
      <c r="K2062" t="s">
        <v>36</v>
      </c>
      <c r="L2062" t="s">
        <v>48</v>
      </c>
      <c r="M2062" t="s">
        <v>90</v>
      </c>
      <c r="N2062" s="6">
        <v>3</v>
      </c>
      <c r="O2062" t="str">
        <f t="shared" si="129"/>
        <v>Normal</v>
      </c>
      <c r="P2062" t="str">
        <f t="shared" si="130"/>
        <v>Duplicate ID</v>
      </c>
      <c r="Q2062" t="str">
        <f t="shared" si="131"/>
        <v>5,000-9,999</v>
      </c>
      <c r="R2062" s="6">
        <f>IF(COUNTIF($A$2:A2062,A2062)=1,1,0)</f>
        <v>0</v>
      </c>
    </row>
    <row r="2063" spans="1:18" x14ac:dyDescent="0.25">
      <c r="A2063" s="6">
        <v>1244</v>
      </c>
      <c r="B2063" s="7">
        <v>45207</v>
      </c>
      <c r="C2063" t="s">
        <v>1648</v>
      </c>
      <c r="D2063" s="6">
        <v>2022</v>
      </c>
      <c r="E2063" s="8">
        <v>23480</v>
      </c>
      <c r="F2063" s="8">
        <v>26000</v>
      </c>
      <c r="G2063" s="8">
        <f t="shared" si="128"/>
        <v>2520</v>
      </c>
      <c r="H2063" s="6">
        <v>15000</v>
      </c>
      <c r="I2063" t="s">
        <v>58</v>
      </c>
      <c r="J2063" t="s">
        <v>35</v>
      </c>
      <c r="K2063" t="s">
        <v>36</v>
      </c>
      <c r="L2063" t="s">
        <v>73</v>
      </c>
      <c r="M2063" t="s">
        <v>90</v>
      </c>
      <c r="N2063" s="6" t="s">
        <v>1647</v>
      </c>
      <c r="O2063" t="str">
        <f t="shared" si="129"/>
        <v>Normal</v>
      </c>
      <c r="P2063" t="str">
        <f t="shared" si="130"/>
        <v>Duplicate ID</v>
      </c>
      <c r="Q2063" t="str">
        <f t="shared" si="131"/>
        <v>20,000-24,999</v>
      </c>
      <c r="R2063" s="6">
        <f>IF(COUNTIF($A$2:A2063,A2063)=1,1,0)</f>
        <v>0</v>
      </c>
    </row>
    <row r="2064" spans="1:18" x14ac:dyDescent="0.25">
      <c r="A2064" s="6">
        <v>1573</v>
      </c>
      <c r="B2064" s="7">
        <v>44822</v>
      </c>
      <c r="C2064" t="s">
        <v>40</v>
      </c>
      <c r="D2064" s="6">
        <v>2017</v>
      </c>
      <c r="E2064" s="8">
        <v>3625</v>
      </c>
      <c r="F2064" s="8">
        <v>7000</v>
      </c>
      <c r="G2064" s="8">
        <f t="shared" si="128"/>
        <v>3375</v>
      </c>
      <c r="H2064" s="6">
        <v>15000</v>
      </c>
      <c r="I2064" t="s">
        <v>41</v>
      </c>
      <c r="J2064" t="s">
        <v>1647</v>
      </c>
      <c r="K2064" t="s">
        <v>1647</v>
      </c>
      <c r="L2064" t="s">
        <v>1647</v>
      </c>
      <c r="M2064" t="s">
        <v>126</v>
      </c>
      <c r="N2064" s="6" t="s">
        <v>1647</v>
      </c>
      <c r="O2064" t="str">
        <f t="shared" si="129"/>
        <v>Normal</v>
      </c>
      <c r="P2064" t="str">
        <f t="shared" si="130"/>
        <v>Duplicate ID</v>
      </c>
      <c r="Q2064" t="str">
        <f t="shared" si="131"/>
        <v>0-4,999</v>
      </c>
      <c r="R2064" s="6">
        <f>IF(COUNTIF($A$2:A2064,A2064)=1,1,0)</f>
        <v>0</v>
      </c>
    </row>
    <row r="2065" spans="1:18" x14ac:dyDescent="0.25">
      <c r="A2065" s="6">
        <v>1192</v>
      </c>
      <c r="B2065" s="7">
        <v>44520</v>
      </c>
      <c r="C2065" t="s">
        <v>79</v>
      </c>
      <c r="D2065" s="6">
        <v>2018</v>
      </c>
      <c r="E2065" s="8">
        <v>22048</v>
      </c>
      <c r="F2065" s="8">
        <v>26000</v>
      </c>
      <c r="G2065" s="8">
        <f t="shared" si="128"/>
        <v>3952</v>
      </c>
      <c r="H2065" s="6">
        <v>40000</v>
      </c>
      <c r="I2065" t="s">
        <v>41</v>
      </c>
      <c r="J2065" t="s">
        <v>1647</v>
      </c>
      <c r="K2065" t="s">
        <v>36</v>
      </c>
      <c r="L2065" t="s">
        <v>73</v>
      </c>
      <c r="M2065" t="s">
        <v>90</v>
      </c>
      <c r="N2065" s="6">
        <v>1</v>
      </c>
      <c r="O2065" t="str">
        <f t="shared" si="129"/>
        <v>Normal</v>
      </c>
      <c r="P2065" t="str">
        <f t="shared" si="130"/>
        <v>Duplicate ID</v>
      </c>
      <c r="Q2065" t="str">
        <f t="shared" si="131"/>
        <v>20,000-24,999</v>
      </c>
      <c r="R2065" s="6">
        <f>IF(COUNTIF($A$2:A2065,A2065)=1,1,0)</f>
        <v>0</v>
      </c>
    </row>
    <row r="2066" spans="1:18" x14ac:dyDescent="0.25">
      <c r="A2066" s="6">
        <v>1239</v>
      </c>
      <c r="B2066" s="7">
        <v>44507</v>
      </c>
      <c r="C2066" t="s">
        <v>51</v>
      </c>
      <c r="D2066" s="6">
        <v>2020</v>
      </c>
      <c r="E2066" s="8">
        <v>10377</v>
      </c>
      <c r="F2066" s="8">
        <v>15000</v>
      </c>
      <c r="G2066" s="8">
        <f t="shared" si="128"/>
        <v>4623</v>
      </c>
      <c r="H2066" s="6">
        <v>15000</v>
      </c>
      <c r="I2066" t="s">
        <v>1647</v>
      </c>
      <c r="J2066" t="s">
        <v>35</v>
      </c>
      <c r="K2066" t="s">
        <v>96</v>
      </c>
      <c r="L2066" t="s">
        <v>73</v>
      </c>
      <c r="M2066" t="s">
        <v>98</v>
      </c>
      <c r="N2066" s="6">
        <v>0</v>
      </c>
      <c r="O2066" t="str">
        <f t="shared" si="129"/>
        <v>Normal</v>
      </c>
      <c r="P2066" t="str">
        <f t="shared" si="130"/>
        <v>Duplicate ID</v>
      </c>
      <c r="Q2066" t="str">
        <f t="shared" si="131"/>
        <v>10,000-14,999</v>
      </c>
      <c r="R2066" s="6">
        <f>IF(COUNTIF($A$2:A2066,A2066)=1,1,0)</f>
        <v>0</v>
      </c>
    </row>
    <row r="2067" spans="1:18" x14ac:dyDescent="0.25">
      <c r="A2067" s="6">
        <v>1094</v>
      </c>
      <c r="B2067" s="7">
        <v>45350</v>
      </c>
      <c r="C2067" t="s">
        <v>40</v>
      </c>
      <c r="D2067" s="6">
        <v>2018</v>
      </c>
      <c r="E2067" s="8">
        <v>9512</v>
      </c>
      <c r="F2067" s="8">
        <v>15000</v>
      </c>
      <c r="G2067" s="8">
        <f t="shared" si="128"/>
        <v>5488</v>
      </c>
      <c r="H2067" s="6">
        <v>120000</v>
      </c>
      <c r="I2067" t="s">
        <v>1647</v>
      </c>
      <c r="J2067" t="s">
        <v>72</v>
      </c>
      <c r="K2067" t="s">
        <v>36</v>
      </c>
      <c r="L2067" t="s">
        <v>54</v>
      </c>
      <c r="M2067" t="s">
        <v>126</v>
      </c>
      <c r="N2067" s="6">
        <v>0</v>
      </c>
      <c r="O2067" t="str">
        <f t="shared" si="129"/>
        <v>Normal</v>
      </c>
      <c r="P2067" t="str">
        <f t="shared" si="130"/>
        <v>Duplicate ID</v>
      </c>
      <c r="Q2067" t="str">
        <f t="shared" si="131"/>
        <v>5,000-9,999</v>
      </c>
      <c r="R2067" s="6">
        <f>IF(COUNTIF($A$2:A2067,A2067)=1,1,0)</f>
        <v>0</v>
      </c>
    </row>
    <row r="2068" spans="1:18" x14ac:dyDescent="0.25">
      <c r="A2068" s="6">
        <v>1269</v>
      </c>
      <c r="B2068" s="7">
        <v>44754</v>
      </c>
      <c r="C2068" t="s">
        <v>119</v>
      </c>
      <c r="D2068" s="6">
        <v>2017</v>
      </c>
      <c r="E2068" s="8">
        <v>8961</v>
      </c>
      <c r="F2068" s="8">
        <v>12000</v>
      </c>
      <c r="G2068" s="8">
        <f t="shared" si="128"/>
        <v>3039</v>
      </c>
      <c r="H2068" s="6">
        <v>15000</v>
      </c>
      <c r="I2068" t="s">
        <v>41</v>
      </c>
      <c r="J2068" t="s">
        <v>72</v>
      </c>
      <c r="K2068" t="s">
        <v>1647</v>
      </c>
      <c r="L2068" t="s">
        <v>48</v>
      </c>
      <c r="M2068" t="s">
        <v>98</v>
      </c>
      <c r="N2068" s="6">
        <v>2</v>
      </c>
      <c r="O2068" t="str">
        <f t="shared" si="129"/>
        <v>Normal</v>
      </c>
      <c r="P2068" t="str">
        <f t="shared" si="130"/>
        <v>Duplicate ID</v>
      </c>
      <c r="Q2068" t="str">
        <f t="shared" si="131"/>
        <v>5,000-9,999</v>
      </c>
      <c r="R2068" s="6">
        <f>IF(COUNTIF($A$2:A2068,A2068)=1,1,0)</f>
        <v>0</v>
      </c>
    </row>
    <row r="2069" spans="1:18" x14ac:dyDescent="0.25">
      <c r="A2069" s="6">
        <v>1366</v>
      </c>
      <c r="B2069" s="7">
        <v>44511</v>
      </c>
      <c r="C2069" t="s">
        <v>40</v>
      </c>
      <c r="D2069" s="6">
        <v>2021</v>
      </c>
      <c r="E2069" s="8">
        <v>24239</v>
      </c>
      <c r="F2069" s="8">
        <v>31000</v>
      </c>
      <c r="G2069" s="8">
        <f t="shared" si="128"/>
        <v>6761</v>
      </c>
      <c r="H2069" s="6">
        <v>40000</v>
      </c>
      <c r="I2069" t="s">
        <v>41</v>
      </c>
      <c r="J2069" t="s">
        <v>72</v>
      </c>
      <c r="K2069" t="s">
        <v>36</v>
      </c>
      <c r="L2069" t="s">
        <v>73</v>
      </c>
      <c r="M2069" t="s">
        <v>98</v>
      </c>
      <c r="N2069" s="6">
        <v>0</v>
      </c>
      <c r="O2069" t="str">
        <f t="shared" si="129"/>
        <v>Normal</v>
      </c>
      <c r="P2069" t="str">
        <f t="shared" si="130"/>
        <v>Duplicate ID</v>
      </c>
      <c r="Q2069" t="str">
        <f t="shared" si="131"/>
        <v>20,000-24,999</v>
      </c>
      <c r="R2069" s="6">
        <f>IF(COUNTIF($A$2:A2069,A2069)=1,1,0)</f>
        <v>0</v>
      </c>
    </row>
    <row r="2070" spans="1:18" x14ac:dyDescent="0.25">
      <c r="A2070" s="6">
        <v>1095</v>
      </c>
      <c r="B2070" s="7">
        <v>44354</v>
      </c>
      <c r="C2070" t="s">
        <v>57</v>
      </c>
      <c r="D2070" s="6">
        <v>2018</v>
      </c>
      <c r="E2070" s="8">
        <v>25873</v>
      </c>
      <c r="F2070" s="8">
        <v>31000</v>
      </c>
      <c r="G2070" s="8">
        <f t="shared" si="128"/>
        <v>5127</v>
      </c>
      <c r="H2070" s="6">
        <v>120000</v>
      </c>
      <c r="I2070" t="s">
        <v>41</v>
      </c>
      <c r="J2070" t="s">
        <v>72</v>
      </c>
      <c r="K2070" t="s">
        <v>96</v>
      </c>
      <c r="L2070" t="s">
        <v>73</v>
      </c>
      <c r="M2070" t="s">
        <v>90</v>
      </c>
      <c r="N2070" s="6" t="s">
        <v>1647</v>
      </c>
      <c r="O2070" t="str">
        <f t="shared" si="129"/>
        <v>Normal</v>
      </c>
      <c r="P2070" t="str">
        <f t="shared" si="130"/>
        <v>Duplicate ID</v>
      </c>
      <c r="Q2070" t="str">
        <f t="shared" si="131"/>
        <v>25,000-30,000</v>
      </c>
      <c r="R2070" s="6">
        <f>IF(COUNTIF($A$2:A2070,A2070)=1,1,0)</f>
        <v>0</v>
      </c>
    </row>
    <row r="2071" spans="1:18" x14ac:dyDescent="0.25">
      <c r="A2071" s="6">
        <v>1023</v>
      </c>
      <c r="B2071" s="7">
        <v>45142</v>
      </c>
      <c r="C2071" t="s">
        <v>79</v>
      </c>
      <c r="D2071" s="6">
        <v>2017</v>
      </c>
      <c r="E2071" s="8">
        <v>2732</v>
      </c>
      <c r="F2071" s="8">
        <v>7000</v>
      </c>
      <c r="G2071" s="8">
        <f t="shared" si="128"/>
        <v>4268</v>
      </c>
      <c r="H2071" s="6">
        <v>60000</v>
      </c>
      <c r="I2071" t="s">
        <v>34</v>
      </c>
      <c r="J2071" t="s">
        <v>72</v>
      </c>
      <c r="K2071" t="s">
        <v>1647</v>
      </c>
      <c r="L2071" t="s">
        <v>100</v>
      </c>
      <c r="M2071" t="s">
        <v>90</v>
      </c>
      <c r="N2071" s="6">
        <v>1</v>
      </c>
      <c r="O2071" t="str">
        <f t="shared" si="129"/>
        <v>Normal</v>
      </c>
      <c r="P2071" t="str">
        <f t="shared" si="130"/>
        <v>Duplicate ID</v>
      </c>
      <c r="Q2071" t="str">
        <f t="shared" si="131"/>
        <v>0-4,999</v>
      </c>
      <c r="R2071" s="6">
        <f>IF(COUNTIF($A$2:A2071,A2071)=1,1,0)</f>
        <v>0</v>
      </c>
    </row>
    <row r="2072" spans="1:18" x14ac:dyDescent="0.25">
      <c r="A2072" s="6">
        <v>1325</v>
      </c>
      <c r="B2072" s="7">
        <v>44418</v>
      </c>
      <c r="C2072" t="s">
        <v>57</v>
      </c>
      <c r="D2072" s="6">
        <v>2021</v>
      </c>
      <c r="E2072" s="8">
        <v>1961</v>
      </c>
      <c r="F2072" s="8">
        <v>7000</v>
      </c>
      <c r="G2072" s="8">
        <f t="shared" si="128"/>
        <v>5039</v>
      </c>
      <c r="H2072" s="6">
        <v>15000</v>
      </c>
      <c r="I2072" t="s">
        <v>1647</v>
      </c>
      <c r="J2072" t="s">
        <v>35</v>
      </c>
      <c r="K2072" t="s">
        <v>96</v>
      </c>
      <c r="L2072" t="s">
        <v>73</v>
      </c>
      <c r="M2072" t="s">
        <v>1647</v>
      </c>
      <c r="N2072" s="6">
        <v>3</v>
      </c>
      <c r="O2072" t="str">
        <f t="shared" si="129"/>
        <v>Normal</v>
      </c>
      <c r="P2072" t="str">
        <f t="shared" si="130"/>
        <v>Duplicate ID</v>
      </c>
      <c r="Q2072" t="str">
        <f t="shared" si="131"/>
        <v>0-4,999</v>
      </c>
      <c r="R2072" s="6">
        <f>IF(COUNTIF($A$2:A2072,A2072)=1,1,0)</f>
        <v>0</v>
      </c>
    </row>
    <row r="2073" spans="1:18" x14ac:dyDescent="0.25">
      <c r="A2073" s="6">
        <v>1031</v>
      </c>
      <c r="B2073" s="7">
        <v>44638</v>
      </c>
      <c r="C2073" t="s">
        <v>57</v>
      </c>
      <c r="D2073" s="6">
        <v>2017</v>
      </c>
      <c r="E2073" s="8">
        <v>8557</v>
      </c>
      <c r="F2073" s="8">
        <v>12000</v>
      </c>
      <c r="G2073" s="8">
        <f t="shared" si="128"/>
        <v>3443</v>
      </c>
      <c r="H2073" s="6">
        <v>25000</v>
      </c>
      <c r="I2073" t="s">
        <v>1647</v>
      </c>
      <c r="J2073" t="s">
        <v>72</v>
      </c>
      <c r="K2073" t="s">
        <v>96</v>
      </c>
      <c r="L2073" t="s">
        <v>1647</v>
      </c>
      <c r="M2073" t="s">
        <v>1647</v>
      </c>
      <c r="N2073" s="6" t="s">
        <v>1647</v>
      </c>
      <c r="O2073" t="str">
        <f t="shared" si="129"/>
        <v>Normal</v>
      </c>
      <c r="P2073" t="str">
        <f t="shared" si="130"/>
        <v>Duplicate ID</v>
      </c>
      <c r="Q2073" t="str">
        <f t="shared" si="131"/>
        <v>5,000-9,999</v>
      </c>
      <c r="R2073" s="6">
        <f>IF(COUNTIF($A$2:A2073,A2073)=1,1,0)</f>
        <v>0</v>
      </c>
    </row>
    <row r="2074" spans="1:18" x14ac:dyDescent="0.25">
      <c r="A2074" s="6">
        <v>1005</v>
      </c>
      <c r="B2074" s="7">
        <v>44883</v>
      </c>
      <c r="C2074" t="s">
        <v>57</v>
      </c>
      <c r="D2074" s="6"/>
      <c r="E2074" s="8">
        <v>7166</v>
      </c>
      <c r="F2074" s="8">
        <v>12000</v>
      </c>
      <c r="G2074" s="8">
        <f t="shared" si="128"/>
        <v>4834</v>
      </c>
      <c r="H2074" s="6">
        <v>25000</v>
      </c>
      <c r="I2074" t="s">
        <v>69</v>
      </c>
      <c r="J2074" t="s">
        <v>1647</v>
      </c>
      <c r="K2074" t="s">
        <v>36</v>
      </c>
      <c r="L2074" t="s">
        <v>54</v>
      </c>
      <c r="M2074" t="s">
        <v>1647</v>
      </c>
      <c r="N2074" s="6">
        <v>2</v>
      </c>
      <c r="O2074" t="str">
        <f t="shared" si="129"/>
        <v>Normal</v>
      </c>
      <c r="P2074" t="str">
        <f t="shared" si="130"/>
        <v>Duplicate ID</v>
      </c>
      <c r="Q2074" t="str">
        <f t="shared" si="131"/>
        <v>5,000-9,999</v>
      </c>
      <c r="R2074" s="6">
        <f>IF(COUNTIF($A$2:A2074,A2074)=1,1,0)</f>
        <v>0</v>
      </c>
    </row>
    <row r="2075" spans="1:18" x14ac:dyDescent="0.25">
      <c r="A2075" s="6">
        <v>1589</v>
      </c>
      <c r="B2075" s="7">
        <v>44431</v>
      </c>
      <c r="C2075" t="s">
        <v>119</v>
      </c>
      <c r="D2075" s="6">
        <v>2019</v>
      </c>
      <c r="E2075" s="8">
        <v>19267</v>
      </c>
      <c r="F2075" s="8">
        <v>22000</v>
      </c>
      <c r="G2075" s="8">
        <f t="shared" si="128"/>
        <v>2733</v>
      </c>
      <c r="H2075" s="6">
        <v>15000</v>
      </c>
      <c r="I2075" t="s">
        <v>69</v>
      </c>
      <c r="J2075" t="s">
        <v>1647</v>
      </c>
      <c r="K2075" t="s">
        <v>36</v>
      </c>
      <c r="L2075" t="s">
        <v>100</v>
      </c>
      <c r="M2075" t="s">
        <v>98</v>
      </c>
      <c r="N2075" s="6">
        <v>3</v>
      </c>
      <c r="O2075" t="str">
        <f t="shared" si="129"/>
        <v>Normal</v>
      </c>
      <c r="P2075" t="str">
        <f t="shared" si="130"/>
        <v>Duplicate ID</v>
      </c>
      <c r="Q2075" t="str">
        <f t="shared" si="131"/>
        <v>15,000-19,999</v>
      </c>
      <c r="R2075" s="6">
        <f>IF(COUNTIF($A$2:A2075,A2075)=1,1,0)</f>
        <v>0</v>
      </c>
    </row>
    <row r="2076" spans="1:18" x14ac:dyDescent="0.25">
      <c r="A2076" s="6">
        <v>1197</v>
      </c>
      <c r="B2076" s="7">
        <v>45349</v>
      </c>
      <c r="C2076" t="s">
        <v>57</v>
      </c>
      <c r="D2076" s="6">
        <v>2022</v>
      </c>
      <c r="E2076" s="8">
        <v>26753</v>
      </c>
      <c r="F2076" s="8">
        <v>31000</v>
      </c>
      <c r="G2076" s="8">
        <f t="shared" si="128"/>
        <v>4247</v>
      </c>
      <c r="H2076" s="6">
        <v>25000</v>
      </c>
      <c r="I2076" t="s">
        <v>69</v>
      </c>
      <c r="J2076" t="s">
        <v>35</v>
      </c>
      <c r="K2076" t="s">
        <v>96</v>
      </c>
      <c r="L2076" t="s">
        <v>54</v>
      </c>
      <c r="M2076" t="s">
        <v>98</v>
      </c>
      <c r="N2076" s="6">
        <v>2</v>
      </c>
      <c r="O2076" t="str">
        <f t="shared" si="129"/>
        <v>Normal</v>
      </c>
      <c r="P2076" t="str">
        <f t="shared" si="130"/>
        <v>Duplicate ID</v>
      </c>
      <c r="Q2076" t="str">
        <f t="shared" si="131"/>
        <v>25,000-30,000</v>
      </c>
      <c r="R2076" s="6">
        <f>IF(COUNTIF($A$2:A2076,A2076)=1,1,0)</f>
        <v>0</v>
      </c>
    </row>
    <row r="2077" spans="1:18" x14ac:dyDescent="0.25">
      <c r="A2077" s="6">
        <v>1491</v>
      </c>
      <c r="B2077" s="7">
        <v>45079</v>
      </c>
      <c r="C2077" t="s">
        <v>51</v>
      </c>
      <c r="D2077" s="6">
        <v>2020</v>
      </c>
      <c r="E2077" s="8">
        <v>20763</v>
      </c>
      <c r="F2077" s="8">
        <v>26000</v>
      </c>
      <c r="G2077" s="8">
        <f t="shared" si="128"/>
        <v>5237</v>
      </c>
      <c r="H2077" s="6">
        <v>40000</v>
      </c>
      <c r="I2077" t="s">
        <v>1647</v>
      </c>
      <c r="J2077" t="s">
        <v>35</v>
      </c>
      <c r="K2077" t="s">
        <v>36</v>
      </c>
      <c r="L2077" t="s">
        <v>73</v>
      </c>
      <c r="M2077" t="s">
        <v>98</v>
      </c>
      <c r="N2077" s="6">
        <v>1</v>
      </c>
      <c r="O2077" t="str">
        <f t="shared" si="129"/>
        <v>Normal</v>
      </c>
      <c r="P2077" t="str">
        <f t="shared" si="130"/>
        <v>Duplicate ID</v>
      </c>
      <c r="Q2077" t="str">
        <f t="shared" si="131"/>
        <v>20,000-24,999</v>
      </c>
      <c r="R2077" s="6">
        <f>IF(COUNTIF($A$2:A2077,A2077)=1,1,0)</f>
        <v>0</v>
      </c>
    </row>
    <row r="2078" spans="1:18" x14ac:dyDescent="0.25">
      <c r="A2078" s="6">
        <v>1452</v>
      </c>
      <c r="B2078" s="7">
        <v>45374</v>
      </c>
      <c r="C2078" t="s">
        <v>32</v>
      </c>
      <c r="D2078" s="6">
        <v>2021</v>
      </c>
      <c r="E2078" s="8">
        <v>19619</v>
      </c>
      <c r="F2078" s="8">
        <v>22000</v>
      </c>
      <c r="G2078" s="8">
        <f t="shared" si="128"/>
        <v>2381</v>
      </c>
      <c r="H2078" s="6">
        <v>40000</v>
      </c>
      <c r="I2078" t="s">
        <v>69</v>
      </c>
      <c r="J2078" t="s">
        <v>35</v>
      </c>
      <c r="K2078" t="s">
        <v>1647</v>
      </c>
      <c r="L2078" t="s">
        <v>73</v>
      </c>
      <c r="M2078" t="s">
        <v>126</v>
      </c>
      <c r="N2078" s="6">
        <v>2</v>
      </c>
      <c r="O2078" t="str">
        <f t="shared" si="129"/>
        <v>Normal</v>
      </c>
      <c r="P2078" t="str">
        <f t="shared" si="130"/>
        <v>Duplicate ID</v>
      </c>
      <c r="Q2078" t="str">
        <f t="shared" si="131"/>
        <v>15,000-19,999</v>
      </c>
      <c r="R2078" s="6">
        <f>IF(COUNTIF($A$2:A2078,A2078)=1,1,0)</f>
        <v>0</v>
      </c>
    </row>
    <row r="2079" spans="1:18" x14ac:dyDescent="0.25">
      <c r="A2079" s="6">
        <v>1115</v>
      </c>
      <c r="B2079" s="7">
        <v>45311</v>
      </c>
      <c r="C2079" t="s">
        <v>119</v>
      </c>
      <c r="D2079" s="6">
        <v>2015</v>
      </c>
      <c r="E2079" s="8">
        <v>19540</v>
      </c>
      <c r="F2079" s="8">
        <v>22000</v>
      </c>
      <c r="G2079" s="8">
        <f t="shared" si="128"/>
        <v>2460</v>
      </c>
      <c r="H2079" s="6">
        <v>60000</v>
      </c>
      <c r="I2079" t="s">
        <v>41</v>
      </c>
      <c r="J2079" t="s">
        <v>35</v>
      </c>
      <c r="K2079" t="s">
        <v>96</v>
      </c>
      <c r="L2079" t="s">
        <v>1647</v>
      </c>
      <c r="M2079" t="s">
        <v>98</v>
      </c>
      <c r="N2079" s="6">
        <v>0</v>
      </c>
      <c r="O2079" t="str">
        <f t="shared" si="129"/>
        <v>Normal</v>
      </c>
      <c r="P2079" t="str">
        <f t="shared" si="130"/>
        <v>Duplicate ID</v>
      </c>
      <c r="Q2079" t="str">
        <f t="shared" si="131"/>
        <v>15,000-19,999</v>
      </c>
      <c r="R2079" s="6">
        <f>IF(COUNTIF($A$2:A2079,A2079)=1,1,0)</f>
        <v>0</v>
      </c>
    </row>
    <row r="2080" spans="1:18" x14ac:dyDescent="0.25">
      <c r="A2080" s="6">
        <v>1077</v>
      </c>
      <c r="B2080" s="7">
        <v>44965</v>
      </c>
      <c r="C2080" t="s">
        <v>32</v>
      </c>
      <c r="D2080" s="6">
        <v>2018</v>
      </c>
      <c r="E2080" s="8">
        <v>23376</v>
      </c>
      <c r="F2080" s="8">
        <v>26000</v>
      </c>
      <c r="G2080" s="8">
        <f t="shared" si="128"/>
        <v>2624</v>
      </c>
      <c r="H2080" s="6">
        <v>15000</v>
      </c>
      <c r="I2080" t="s">
        <v>41</v>
      </c>
      <c r="J2080" t="s">
        <v>72</v>
      </c>
      <c r="K2080" t="s">
        <v>96</v>
      </c>
      <c r="L2080" t="s">
        <v>54</v>
      </c>
      <c r="M2080" t="s">
        <v>45</v>
      </c>
      <c r="N2080" s="6">
        <v>3</v>
      </c>
      <c r="O2080" t="str">
        <f t="shared" si="129"/>
        <v>Normal</v>
      </c>
      <c r="P2080" t="str">
        <f t="shared" si="130"/>
        <v>Duplicate ID</v>
      </c>
      <c r="Q2080" t="str">
        <f t="shared" si="131"/>
        <v>20,000-24,999</v>
      </c>
      <c r="R2080" s="6">
        <f>IF(COUNTIF($A$2:A2080,A2080)=1,1,0)</f>
        <v>0</v>
      </c>
    </row>
    <row r="2081" spans="1:18" x14ac:dyDescent="0.25">
      <c r="A2081" s="6">
        <v>1252</v>
      </c>
      <c r="B2081" s="7">
        <v>45222</v>
      </c>
      <c r="C2081" t="s">
        <v>79</v>
      </c>
      <c r="D2081" s="6">
        <v>2018</v>
      </c>
      <c r="E2081" s="8">
        <v>7738</v>
      </c>
      <c r="F2081" s="8">
        <v>12000</v>
      </c>
      <c r="G2081" s="8">
        <f t="shared" si="128"/>
        <v>4262</v>
      </c>
      <c r="H2081" s="6">
        <v>120000</v>
      </c>
      <c r="I2081" t="s">
        <v>58</v>
      </c>
      <c r="J2081" t="s">
        <v>72</v>
      </c>
      <c r="K2081" t="s">
        <v>96</v>
      </c>
      <c r="L2081" t="s">
        <v>73</v>
      </c>
      <c r="M2081" t="s">
        <v>45</v>
      </c>
      <c r="N2081" s="6">
        <v>0</v>
      </c>
      <c r="O2081" t="str">
        <f t="shared" si="129"/>
        <v>Normal</v>
      </c>
      <c r="P2081" t="str">
        <f t="shared" si="130"/>
        <v>Duplicate ID</v>
      </c>
      <c r="Q2081" t="str">
        <f t="shared" si="131"/>
        <v>5,000-9,999</v>
      </c>
      <c r="R2081" s="6">
        <f>IF(COUNTIF($A$2:A2081,A2081)=1,1,0)</f>
        <v>0</v>
      </c>
    </row>
    <row r="2082" spans="1:18" x14ac:dyDescent="0.25">
      <c r="A2082" s="6">
        <v>1287</v>
      </c>
      <c r="B2082" s="7">
        <v>44841</v>
      </c>
      <c r="C2082" t="s">
        <v>57</v>
      </c>
      <c r="D2082" s="6">
        <v>2018</v>
      </c>
      <c r="E2082" s="8">
        <v>11381</v>
      </c>
      <c r="F2082" s="8">
        <v>18000</v>
      </c>
      <c r="G2082" s="8">
        <f t="shared" si="128"/>
        <v>6619</v>
      </c>
      <c r="H2082" s="6">
        <v>120000</v>
      </c>
      <c r="I2082" t="s">
        <v>34</v>
      </c>
      <c r="J2082" t="s">
        <v>72</v>
      </c>
      <c r="K2082" t="s">
        <v>36</v>
      </c>
      <c r="L2082" t="s">
        <v>73</v>
      </c>
      <c r="M2082" t="s">
        <v>90</v>
      </c>
      <c r="N2082" s="6">
        <v>0</v>
      </c>
      <c r="O2082" t="str">
        <f t="shared" si="129"/>
        <v>Normal</v>
      </c>
      <c r="P2082" t="str">
        <f t="shared" si="130"/>
        <v>Duplicate ID</v>
      </c>
      <c r="Q2082" t="str">
        <f t="shared" si="131"/>
        <v>10,000-14,999</v>
      </c>
      <c r="R2082" s="6">
        <f>IF(COUNTIF($A$2:A2082,A2082)=1,1,0)</f>
        <v>0</v>
      </c>
    </row>
    <row r="2083" spans="1:18" x14ac:dyDescent="0.25">
      <c r="A2083" s="6">
        <v>1508</v>
      </c>
      <c r="B2083" s="7">
        <v>44508</v>
      </c>
      <c r="C2083" t="s">
        <v>40</v>
      </c>
      <c r="D2083" s="6">
        <v>2015</v>
      </c>
      <c r="E2083" s="8">
        <v>23873</v>
      </c>
      <c r="F2083" s="8">
        <v>26000</v>
      </c>
      <c r="G2083" s="8">
        <f t="shared" si="128"/>
        <v>2127</v>
      </c>
      <c r="H2083" s="6">
        <v>120000</v>
      </c>
      <c r="I2083" t="s">
        <v>34</v>
      </c>
      <c r="J2083" t="s">
        <v>1647</v>
      </c>
      <c r="K2083" t="s">
        <v>96</v>
      </c>
      <c r="L2083" t="s">
        <v>54</v>
      </c>
      <c r="M2083" t="s">
        <v>90</v>
      </c>
      <c r="N2083" s="6">
        <v>0</v>
      </c>
      <c r="O2083" t="str">
        <f t="shared" si="129"/>
        <v>Normal</v>
      </c>
      <c r="P2083" t="str">
        <f t="shared" si="130"/>
        <v>Duplicate ID</v>
      </c>
      <c r="Q2083" t="str">
        <f t="shared" si="131"/>
        <v>20,000-24,999</v>
      </c>
      <c r="R2083" s="6">
        <f>IF(COUNTIF($A$2:A2083,A2083)=1,1,0)</f>
        <v>0</v>
      </c>
    </row>
    <row r="2084" spans="1:18" x14ac:dyDescent="0.25">
      <c r="A2084" s="6">
        <v>1376</v>
      </c>
      <c r="B2084" s="7">
        <v>45292</v>
      </c>
      <c r="C2084" t="s">
        <v>1648</v>
      </c>
      <c r="D2084" s="6">
        <v>2017</v>
      </c>
      <c r="E2084" s="8">
        <v>23102</v>
      </c>
      <c r="F2084" s="8">
        <v>26000</v>
      </c>
      <c r="G2084" s="8">
        <f t="shared" si="128"/>
        <v>2898</v>
      </c>
      <c r="H2084" s="6">
        <v>80000</v>
      </c>
      <c r="I2084" t="s">
        <v>69</v>
      </c>
      <c r="J2084" t="s">
        <v>72</v>
      </c>
      <c r="K2084" t="s">
        <v>36</v>
      </c>
      <c r="L2084" t="s">
        <v>100</v>
      </c>
      <c r="M2084" t="s">
        <v>45</v>
      </c>
      <c r="N2084" s="6">
        <v>0</v>
      </c>
      <c r="O2084" t="str">
        <f t="shared" si="129"/>
        <v>Normal</v>
      </c>
      <c r="P2084" t="str">
        <f t="shared" si="130"/>
        <v>Duplicate ID</v>
      </c>
      <c r="Q2084" t="str">
        <f t="shared" si="131"/>
        <v>20,000-24,999</v>
      </c>
      <c r="R2084" s="6">
        <f>IF(COUNTIF($A$2:A2084,A2084)=1,1,0)</f>
        <v>0</v>
      </c>
    </row>
    <row r="2085" spans="1:18" x14ac:dyDescent="0.25">
      <c r="A2085" s="6">
        <v>1071</v>
      </c>
      <c r="B2085" s="7">
        <v>44429</v>
      </c>
      <c r="C2085" t="s">
        <v>40</v>
      </c>
      <c r="D2085" s="6">
        <v>2020</v>
      </c>
      <c r="E2085" s="8">
        <v>16547</v>
      </c>
      <c r="F2085" s="8">
        <v>22000</v>
      </c>
      <c r="G2085" s="8">
        <f t="shared" si="128"/>
        <v>5453</v>
      </c>
      <c r="H2085" s="6">
        <v>15000</v>
      </c>
      <c r="I2085" t="s">
        <v>41</v>
      </c>
      <c r="J2085" t="s">
        <v>35</v>
      </c>
      <c r="K2085" t="s">
        <v>96</v>
      </c>
      <c r="L2085" t="s">
        <v>1647</v>
      </c>
      <c r="M2085" t="s">
        <v>45</v>
      </c>
      <c r="N2085" s="6" t="s">
        <v>1647</v>
      </c>
      <c r="O2085" t="str">
        <f t="shared" si="129"/>
        <v>Normal</v>
      </c>
      <c r="P2085" t="str">
        <f t="shared" si="130"/>
        <v>Unique ID</v>
      </c>
      <c r="Q2085" t="str">
        <f t="shared" si="131"/>
        <v>15,000-19,999</v>
      </c>
      <c r="R2085" s="6">
        <f>IF(COUNTIF($A$2:A2085,A2085)=1,1,0)</f>
        <v>1</v>
      </c>
    </row>
    <row r="2086" spans="1:18" x14ac:dyDescent="0.25">
      <c r="A2086" s="6">
        <v>1430</v>
      </c>
      <c r="B2086" s="7">
        <v>44228</v>
      </c>
      <c r="C2086" t="s">
        <v>119</v>
      </c>
      <c r="D2086" s="6">
        <v>2017</v>
      </c>
      <c r="E2086" s="8">
        <v>29723</v>
      </c>
      <c r="F2086" s="8">
        <v>31000</v>
      </c>
      <c r="G2086" s="8">
        <f t="shared" si="128"/>
        <v>1277</v>
      </c>
      <c r="H2086" s="6">
        <v>60000</v>
      </c>
      <c r="I2086" t="s">
        <v>69</v>
      </c>
      <c r="J2086" t="s">
        <v>35</v>
      </c>
      <c r="K2086" t="s">
        <v>96</v>
      </c>
      <c r="L2086" t="s">
        <v>100</v>
      </c>
      <c r="M2086" t="s">
        <v>45</v>
      </c>
      <c r="N2086" s="6">
        <v>2</v>
      </c>
      <c r="O2086" t="str">
        <f t="shared" si="129"/>
        <v>Normal</v>
      </c>
      <c r="P2086" t="str">
        <f t="shared" si="130"/>
        <v>Duplicate ID</v>
      </c>
      <c r="Q2086" t="str">
        <f t="shared" si="131"/>
        <v>25,000-30,000</v>
      </c>
      <c r="R2086" s="6">
        <f>IF(COUNTIF($A$2:A2086,A2086)=1,1,0)</f>
        <v>0</v>
      </c>
    </row>
    <row r="2087" spans="1:18" x14ac:dyDescent="0.25">
      <c r="A2087" s="6">
        <v>1300</v>
      </c>
      <c r="B2087" s="7">
        <v>44871</v>
      </c>
      <c r="C2087" t="s">
        <v>51</v>
      </c>
      <c r="D2087" s="6"/>
      <c r="E2087" s="8">
        <v>20281</v>
      </c>
      <c r="F2087" s="8">
        <v>26000</v>
      </c>
      <c r="G2087" s="8">
        <f t="shared" si="128"/>
        <v>5719</v>
      </c>
      <c r="H2087" s="6">
        <v>60000</v>
      </c>
      <c r="I2087" t="s">
        <v>1647</v>
      </c>
      <c r="J2087" t="s">
        <v>72</v>
      </c>
      <c r="K2087" t="s">
        <v>96</v>
      </c>
      <c r="L2087" t="s">
        <v>100</v>
      </c>
      <c r="M2087" t="s">
        <v>98</v>
      </c>
      <c r="N2087" s="6">
        <v>2</v>
      </c>
      <c r="O2087" t="str">
        <f t="shared" si="129"/>
        <v>Normal</v>
      </c>
      <c r="P2087" t="str">
        <f t="shared" si="130"/>
        <v>Duplicate ID</v>
      </c>
      <c r="Q2087" t="str">
        <f t="shared" si="131"/>
        <v>20,000-24,999</v>
      </c>
      <c r="R2087" s="6">
        <f>IF(COUNTIF($A$2:A2087,A2087)=1,1,0)</f>
        <v>0</v>
      </c>
    </row>
    <row r="2088" spans="1:18" x14ac:dyDescent="0.25">
      <c r="A2088" s="6">
        <v>1068</v>
      </c>
      <c r="B2088" s="7">
        <v>45046</v>
      </c>
      <c r="C2088" t="s">
        <v>57</v>
      </c>
      <c r="D2088" s="6">
        <v>2022</v>
      </c>
      <c r="E2088" s="8">
        <v>5081</v>
      </c>
      <c r="F2088" s="8">
        <v>7000</v>
      </c>
      <c r="G2088" s="8">
        <f t="shared" si="128"/>
        <v>1919</v>
      </c>
      <c r="H2088" s="6">
        <v>15000</v>
      </c>
      <c r="I2088" t="s">
        <v>1647</v>
      </c>
      <c r="J2088" t="s">
        <v>1647</v>
      </c>
      <c r="K2088" t="s">
        <v>96</v>
      </c>
      <c r="L2088" t="s">
        <v>54</v>
      </c>
      <c r="M2088" t="s">
        <v>90</v>
      </c>
      <c r="N2088" s="6">
        <v>1</v>
      </c>
      <c r="O2088" t="str">
        <f t="shared" si="129"/>
        <v>Normal</v>
      </c>
      <c r="P2088" t="str">
        <f t="shared" si="130"/>
        <v>Duplicate ID</v>
      </c>
      <c r="Q2088" t="str">
        <f t="shared" si="131"/>
        <v>5,000-9,999</v>
      </c>
      <c r="R2088" s="6">
        <f>IF(COUNTIF($A$2:A2088,A2088)=1,1,0)</f>
        <v>0</v>
      </c>
    </row>
    <row r="2089" spans="1:18" x14ac:dyDescent="0.25">
      <c r="A2089" s="6">
        <v>1564</v>
      </c>
      <c r="B2089" s="7">
        <v>44632</v>
      </c>
      <c r="C2089" t="s">
        <v>51</v>
      </c>
      <c r="D2089" s="6">
        <v>2018</v>
      </c>
      <c r="E2089" s="8">
        <v>2171</v>
      </c>
      <c r="F2089" s="8">
        <v>9000</v>
      </c>
      <c r="G2089" s="8">
        <f t="shared" si="128"/>
        <v>6829</v>
      </c>
      <c r="H2089" s="6">
        <v>60000</v>
      </c>
      <c r="I2089" t="s">
        <v>1647</v>
      </c>
      <c r="J2089" t="s">
        <v>35</v>
      </c>
      <c r="K2089" t="s">
        <v>36</v>
      </c>
      <c r="L2089" t="s">
        <v>73</v>
      </c>
      <c r="M2089" t="s">
        <v>126</v>
      </c>
      <c r="N2089" s="6">
        <v>3</v>
      </c>
      <c r="O2089" t="str">
        <f t="shared" si="129"/>
        <v>Normal</v>
      </c>
      <c r="P2089" t="str">
        <f t="shared" si="130"/>
        <v>Duplicate ID</v>
      </c>
      <c r="Q2089" t="str">
        <f t="shared" si="131"/>
        <v>0-4,999</v>
      </c>
      <c r="R2089" s="6">
        <f>IF(COUNTIF($A$2:A2089,A2089)=1,1,0)</f>
        <v>0</v>
      </c>
    </row>
    <row r="2090" spans="1:18" x14ac:dyDescent="0.25">
      <c r="A2090" s="6">
        <v>1345</v>
      </c>
      <c r="B2090" s="7">
        <v>44778</v>
      </c>
      <c r="C2090" t="s">
        <v>40</v>
      </c>
      <c r="D2090" s="6">
        <v>2021</v>
      </c>
      <c r="E2090" s="8">
        <v>2405</v>
      </c>
      <c r="F2090" s="8">
        <v>9000</v>
      </c>
      <c r="G2090" s="8">
        <f t="shared" si="128"/>
        <v>6595</v>
      </c>
      <c r="H2090" s="6">
        <v>25000</v>
      </c>
      <c r="I2090" t="s">
        <v>58</v>
      </c>
      <c r="J2090" t="s">
        <v>35</v>
      </c>
      <c r="K2090" t="s">
        <v>96</v>
      </c>
      <c r="L2090" t="s">
        <v>54</v>
      </c>
      <c r="M2090" t="s">
        <v>1647</v>
      </c>
      <c r="N2090" s="6">
        <v>2</v>
      </c>
      <c r="O2090" t="str">
        <f t="shared" si="129"/>
        <v>Normal</v>
      </c>
      <c r="P2090" t="str">
        <f t="shared" si="130"/>
        <v>Duplicate ID</v>
      </c>
      <c r="Q2090" t="str">
        <f t="shared" si="131"/>
        <v>0-4,999</v>
      </c>
      <c r="R2090" s="6">
        <f>IF(COUNTIF($A$2:A2090,A2090)=1,1,0)</f>
        <v>0</v>
      </c>
    </row>
    <row r="2091" spans="1:18" x14ac:dyDescent="0.25">
      <c r="A2091" s="6">
        <v>1320</v>
      </c>
      <c r="B2091" s="7">
        <v>44699</v>
      </c>
      <c r="C2091" t="s">
        <v>40</v>
      </c>
      <c r="D2091" s="6">
        <v>2018</v>
      </c>
      <c r="E2091" s="8">
        <v>5220</v>
      </c>
      <c r="F2091" s="8">
        <v>12000</v>
      </c>
      <c r="G2091" s="8">
        <f t="shared" si="128"/>
        <v>6780</v>
      </c>
      <c r="H2091" s="6">
        <v>120000</v>
      </c>
      <c r="I2091" t="s">
        <v>58</v>
      </c>
      <c r="J2091" t="s">
        <v>35</v>
      </c>
      <c r="K2091" t="s">
        <v>96</v>
      </c>
      <c r="L2091" t="s">
        <v>100</v>
      </c>
      <c r="M2091" t="s">
        <v>1647</v>
      </c>
      <c r="N2091" s="6">
        <v>3</v>
      </c>
      <c r="O2091" t="str">
        <f t="shared" si="129"/>
        <v>Normal</v>
      </c>
      <c r="P2091" t="str">
        <f t="shared" si="130"/>
        <v>Duplicate ID</v>
      </c>
      <c r="Q2091" t="str">
        <f t="shared" si="131"/>
        <v>5,000-9,999</v>
      </c>
      <c r="R2091" s="6">
        <f>IF(COUNTIF($A$2:A2091,A2091)=1,1,0)</f>
        <v>0</v>
      </c>
    </row>
    <row r="2092" spans="1:18" x14ac:dyDescent="0.25">
      <c r="A2092" s="6">
        <v>1213</v>
      </c>
      <c r="B2092" s="7">
        <v>44452</v>
      </c>
      <c r="C2092" t="s">
        <v>79</v>
      </c>
      <c r="D2092" s="6">
        <v>2020</v>
      </c>
      <c r="E2092" s="8">
        <v>25456</v>
      </c>
      <c r="F2092" s="8">
        <v>31000</v>
      </c>
      <c r="G2092" s="8">
        <f t="shared" si="128"/>
        <v>5544</v>
      </c>
      <c r="H2092" s="6">
        <v>80000</v>
      </c>
      <c r="I2092" t="s">
        <v>34</v>
      </c>
      <c r="J2092" t="s">
        <v>72</v>
      </c>
      <c r="K2092" t="s">
        <v>96</v>
      </c>
      <c r="L2092" t="s">
        <v>48</v>
      </c>
      <c r="M2092" t="s">
        <v>126</v>
      </c>
      <c r="N2092" s="6">
        <v>0</v>
      </c>
      <c r="O2092" t="str">
        <f t="shared" si="129"/>
        <v>Normal</v>
      </c>
      <c r="P2092" t="str">
        <f t="shared" si="130"/>
        <v>Duplicate ID</v>
      </c>
      <c r="Q2092" t="str">
        <f t="shared" si="131"/>
        <v>25,000-30,000</v>
      </c>
      <c r="R2092" s="6">
        <f>IF(COUNTIF($A$2:A2092,A2092)=1,1,0)</f>
        <v>0</v>
      </c>
    </row>
    <row r="2093" spans="1:18" x14ac:dyDescent="0.25">
      <c r="A2093" s="6">
        <v>1537</v>
      </c>
      <c r="B2093" s="7">
        <v>44329</v>
      </c>
      <c r="C2093" t="s">
        <v>51</v>
      </c>
      <c r="D2093" s="6">
        <v>2022</v>
      </c>
      <c r="E2093" s="8">
        <v>5029</v>
      </c>
      <c r="F2093" s="8">
        <v>12000</v>
      </c>
      <c r="G2093" s="8">
        <f t="shared" si="128"/>
        <v>6971</v>
      </c>
      <c r="H2093" s="6">
        <v>120000</v>
      </c>
      <c r="I2093" t="s">
        <v>69</v>
      </c>
      <c r="J2093" t="s">
        <v>35</v>
      </c>
      <c r="K2093" t="s">
        <v>36</v>
      </c>
      <c r="L2093" t="s">
        <v>48</v>
      </c>
      <c r="M2093" t="s">
        <v>126</v>
      </c>
      <c r="N2093" s="6">
        <v>0</v>
      </c>
      <c r="O2093" t="str">
        <f t="shared" si="129"/>
        <v>Normal</v>
      </c>
      <c r="P2093" t="str">
        <f t="shared" si="130"/>
        <v>Duplicate ID</v>
      </c>
      <c r="Q2093" t="str">
        <f t="shared" si="131"/>
        <v>5,000-9,999</v>
      </c>
      <c r="R2093" s="6">
        <f>IF(COUNTIF($A$2:A2093,A2093)=1,1,0)</f>
        <v>0</v>
      </c>
    </row>
    <row r="2094" spans="1:18" x14ac:dyDescent="0.25">
      <c r="A2094" s="6">
        <v>1260</v>
      </c>
      <c r="B2094" s="7">
        <v>44724</v>
      </c>
      <c r="C2094" t="s">
        <v>1648</v>
      </c>
      <c r="D2094" s="6">
        <v>2015</v>
      </c>
      <c r="E2094" s="8">
        <v>4713</v>
      </c>
      <c r="F2094" s="8">
        <v>9000</v>
      </c>
      <c r="G2094" s="8">
        <f t="shared" si="128"/>
        <v>4287</v>
      </c>
      <c r="H2094" s="6">
        <v>40000</v>
      </c>
      <c r="I2094" t="s">
        <v>58</v>
      </c>
      <c r="J2094" t="s">
        <v>35</v>
      </c>
      <c r="K2094" t="s">
        <v>1647</v>
      </c>
      <c r="L2094" t="s">
        <v>48</v>
      </c>
      <c r="M2094" t="s">
        <v>45</v>
      </c>
      <c r="N2094" s="6">
        <v>2</v>
      </c>
      <c r="O2094" t="str">
        <f t="shared" si="129"/>
        <v>Normal</v>
      </c>
      <c r="P2094" t="str">
        <f t="shared" si="130"/>
        <v>Duplicate ID</v>
      </c>
      <c r="Q2094" t="str">
        <f t="shared" si="131"/>
        <v>0-4,999</v>
      </c>
      <c r="R2094" s="6">
        <f>IF(COUNTIF($A$2:A2094,A2094)=1,1,0)</f>
        <v>0</v>
      </c>
    </row>
    <row r="2095" spans="1:18" x14ac:dyDescent="0.25">
      <c r="A2095" s="6">
        <v>1559</v>
      </c>
      <c r="B2095" s="7">
        <v>45254</v>
      </c>
      <c r="C2095" t="s">
        <v>57</v>
      </c>
      <c r="D2095" s="6">
        <v>2018</v>
      </c>
      <c r="E2095" s="8">
        <v>24007</v>
      </c>
      <c r="F2095" s="8">
        <v>31000</v>
      </c>
      <c r="G2095" s="8">
        <f t="shared" si="128"/>
        <v>6993</v>
      </c>
      <c r="H2095" s="6">
        <v>25000</v>
      </c>
      <c r="I2095" t="s">
        <v>58</v>
      </c>
      <c r="J2095" t="s">
        <v>35</v>
      </c>
      <c r="K2095" t="s">
        <v>96</v>
      </c>
      <c r="L2095" t="s">
        <v>48</v>
      </c>
      <c r="M2095" t="s">
        <v>45</v>
      </c>
      <c r="N2095" s="6" t="s">
        <v>1647</v>
      </c>
      <c r="O2095" t="str">
        <f t="shared" si="129"/>
        <v>Normal</v>
      </c>
      <c r="P2095" t="str">
        <f t="shared" si="130"/>
        <v>Duplicate ID</v>
      </c>
      <c r="Q2095" t="str">
        <f t="shared" si="131"/>
        <v>20,000-24,999</v>
      </c>
      <c r="R2095" s="6">
        <f>IF(COUNTIF($A$2:A2095,A2095)=1,1,0)</f>
        <v>0</v>
      </c>
    </row>
    <row r="2096" spans="1:18" x14ac:dyDescent="0.25">
      <c r="A2096" s="6">
        <v>1573</v>
      </c>
      <c r="B2096" s="7">
        <v>45344</v>
      </c>
      <c r="C2096" t="s">
        <v>1648</v>
      </c>
      <c r="D2096" s="6">
        <v>2021</v>
      </c>
      <c r="E2096" s="8">
        <v>2160</v>
      </c>
      <c r="F2096" s="8">
        <v>7000</v>
      </c>
      <c r="G2096" s="8">
        <f t="shared" si="128"/>
        <v>4840</v>
      </c>
      <c r="H2096" s="6">
        <v>15000</v>
      </c>
      <c r="I2096" t="s">
        <v>58</v>
      </c>
      <c r="J2096" t="s">
        <v>72</v>
      </c>
      <c r="K2096" t="s">
        <v>36</v>
      </c>
      <c r="L2096" t="s">
        <v>100</v>
      </c>
      <c r="M2096" t="s">
        <v>126</v>
      </c>
      <c r="N2096" s="6" t="s">
        <v>1647</v>
      </c>
      <c r="O2096" t="str">
        <f t="shared" si="129"/>
        <v>Normal</v>
      </c>
      <c r="P2096" t="str">
        <f t="shared" si="130"/>
        <v>Duplicate ID</v>
      </c>
      <c r="Q2096" t="str">
        <f t="shared" si="131"/>
        <v>0-4,999</v>
      </c>
      <c r="R2096" s="6">
        <f>IF(COUNTIF($A$2:A2096,A2096)=1,1,0)</f>
        <v>0</v>
      </c>
    </row>
    <row r="2097" spans="1:18" x14ac:dyDescent="0.25">
      <c r="A2097" s="6">
        <v>1585</v>
      </c>
      <c r="B2097" s="7">
        <v>45186</v>
      </c>
      <c r="C2097" t="s">
        <v>40</v>
      </c>
      <c r="D2097" s="6">
        <v>2022</v>
      </c>
      <c r="E2097" s="8">
        <v>7673</v>
      </c>
      <c r="F2097" s="8">
        <v>12000</v>
      </c>
      <c r="G2097" s="8">
        <f t="shared" si="128"/>
        <v>4327</v>
      </c>
      <c r="H2097" s="6">
        <v>25000</v>
      </c>
      <c r="I2097" t="s">
        <v>34</v>
      </c>
      <c r="J2097" t="s">
        <v>72</v>
      </c>
      <c r="K2097" t="s">
        <v>36</v>
      </c>
      <c r="L2097" t="s">
        <v>100</v>
      </c>
      <c r="M2097" t="s">
        <v>1647</v>
      </c>
      <c r="N2097" s="6">
        <v>3</v>
      </c>
      <c r="O2097" t="str">
        <f t="shared" si="129"/>
        <v>Normal</v>
      </c>
      <c r="P2097" t="str">
        <f t="shared" si="130"/>
        <v>Duplicate ID</v>
      </c>
      <c r="Q2097" t="str">
        <f t="shared" si="131"/>
        <v>5,000-9,999</v>
      </c>
      <c r="R2097" s="6">
        <f>IF(COUNTIF($A$2:A2097,A2097)=1,1,0)</f>
        <v>0</v>
      </c>
    </row>
    <row r="2098" spans="1:18" x14ac:dyDescent="0.25">
      <c r="A2098" s="6">
        <v>1470</v>
      </c>
      <c r="B2098" s="7">
        <v>44936</v>
      </c>
      <c r="C2098" t="s">
        <v>79</v>
      </c>
      <c r="D2098" s="6">
        <v>2017</v>
      </c>
      <c r="E2098" s="8">
        <v>8704</v>
      </c>
      <c r="F2098" s="8">
        <v>15000</v>
      </c>
      <c r="G2098" s="8">
        <f t="shared" si="128"/>
        <v>6296</v>
      </c>
      <c r="H2098" s="6">
        <v>80000</v>
      </c>
      <c r="I2098" t="s">
        <v>58</v>
      </c>
      <c r="J2098" t="s">
        <v>35</v>
      </c>
      <c r="K2098" t="s">
        <v>36</v>
      </c>
      <c r="L2098" t="s">
        <v>73</v>
      </c>
      <c r="M2098" t="s">
        <v>90</v>
      </c>
      <c r="N2098" s="6">
        <v>3</v>
      </c>
      <c r="O2098" t="str">
        <f t="shared" si="129"/>
        <v>Normal</v>
      </c>
      <c r="P2098" t="str">
        <f t="shared" si="130"/>
        <v>Duplicate ID</v>
      </c>
      <c r="Q2098" t="str">
        <f t="shared" si="131"/>
        <v>5,000-9,999</v>
      </c>
      <c r="R2098" s="6">
        <f>IF(COUNTIF($A$2:A2098,A2098)=1,1,0)</f>
        <v>0</v>
      </c>
    </row>
    <row r="2099" spans="1:18" x14ac:dyDescent="0.25">
      <c r="A2099" s="6">
        <v>1499</v>
      </c>
      <c r="B2099" s="7">
        <v>44700</v>
      </c>
      <c r="C2099" t="s">
        <v>40</v>
      </c>
      <c r="D2099" s="6"/>
      <c r="E2099" s="8">
        <v>5618</v>
      </c>
      <c r="F2099" s="8">
        <v>7000</v>
      </c>
      <c r="G2099" s="8">
        <f t="shared" si="128"/>
        <v>1382</v>
      </c>
      <c r="H2099" s="6">
        <v>60000</v>
      </c>
      <c r="I2099" t="s">
        <v>34</v>
      </c>
      <c r="J2099" t="s">
        <v>72</v>
      </c>
      <c r="K2099" t="s">
        <v>1647</v>
      </c>
      <c r="L2099" t="s">
        <v>100</v>
      </c>
      <c r="M2099" t="s">
        <v>90</v>
      </c>
      <c r="N2099" s="6">
        <v>0</v>
      </c>
      <c r="O2099" t="str">
        <f t="shared" si="129"/>
        <v>Normal</v>
      </c>
      <c r="P2099" t="str">
        <f t="shared" si="130"/>
        <v>Duplicate ID</v>
      </c>
      <c r="Q2099" t="str">
        <f t="shared" si="131"/>
        <v>5,000-9,999</v>
      </c>
      <c r="R2099" s="6">
        <f>IF(COUNTIF($A$2:A2099,A2099)=1,1,0)</f>
        <v>0</v>
      </c>
    </row>
    <row r="2100" spans="1:18" x14ac:dyDescent="0.25">
      <c r="A2100" s="6">
        <v>1158</v>
      </c>
      <c r="B2100" s="7">
        <v>44752</v>
      </c>
      <c r="C2100" t="s">
        <v>1648</v>
      </c>
      <c r="D2100" s="6">
        <v>2014</v>
      </c>
      <c r="E2100" s="8">
        <v>9867</v>
      </c>
      <c r="F2100" s="8">
        <v>15000</v>
      </c>
      <c r="G2100" s="8">
        <f t="shared" si="128"/>
        <v>5133</v>
      </c>
      <c r="H2100" s="6">
        <v>40000</v>
      </c>
      <c r="I2100" t="s">
        <v>69</v>
      </c>
      <c r="J2100" t="s">
        <v>1647</v>
      </c>
      <c r="K2100" t="s">
        <v>96</v>
      </c>
      <c r="L2100" t="s">
        <v>48</v>
      </c>
      <c r="M2100" t="s">
        <v>90</v>
      </c>
      <c r="N2100" s="6" t="s">
        <v>1647</v>
      </c>
      <c r="O2100" t="str">
        <f t="shared" si="129"/>
        <v>Normal</v>
      </c>
      <c r="P2100" t="str">
        <f t="shared" si="130"/>
        <v>Duplicate ID</v>
      </c>
      <c r="Q2100" t="str">
        <f t="shared" si="131"/>
        <v>5,000-9,999</v>
      </c>
      <c r="R2100" s="6">
        <f>IF(COUNTIF($A$2:A2100,A2100)=1,1,0)</f>
        <v>0</v>
      </c>
    </row>
    <row r="2101" spans="1:18" x14ac:dyDescent="0.25">
      <c r="A2101" s="6">
        <v>1348</v>
      </c>
      <c r="B2101" s="7">
        <v>44747</v>
      </c>
      <c r="C2101" t="s">
        <v>1648</v>
      </c>
      <c r="D2101" s="6">
        <v>2019</v>
      </c>
      <c r="E2101" s="8">
        <v>3654</v>
      </c>
      <c r="F2101" s="8">
        <v>7000</v>
      </c>
      <c r="G2101" s="8">
        <f t="shared" si="128"/>
        <v>3346</v>
      </c>
      <c r="H2101" s="6">
        <v>60000</v>
      </c>
      <c r="I2101" t="s">
        <v>34</v>
      </c>
      <c r="J2101" t="s">
        <v>72</v>
      </c>
      <c r="K2101" t="s">
        <v>96</v>
      </c>
      <c r="L2101" t="s">
        <v>73</v>
      </c>
      <c r="M2101" t="s">
        <v>1647</v>
      </c>
      <c r="N2101" s="6">
        <v>1</v>
      </c>
      <c r="O2101" t="str">
        <f t="shared" si="129"/>
        <v>Normal</v>
      </c>
      <c r="P2101" t="str">
        <f t="shared" si="130"/>
        <v>Duplicate ID</v>
      </c>
      <c r="Q2101" t="str">
        <f t="shared" si="131"/>
        <v>0-4,999</v>
      </c>
      <c r="R2101" s="6">
        <f>IF(COUNTIF($A$2:A2101,A2101)=1,1,0)</f>
        <v>0</v>
      </c>
    </row>
    <row r="2102" spans="1:18" x14ac:dyDescent="0.25">
      <c r="A2102" s="6">
        <v>1358</v>
      </c>
      <c r="B2102" s="7">
        <v>45379</v>
      </c>
      <c r="C2102" t="s">
        <v>32</v>
      </c>
      <c r="D2102" s="6">
        <v>2021</v>
      </c>
      <c r="E2102" s="8">
        <v>13096</v>
      </c>
      <c r="F2102" s="8">
        <v>18000</v>
      </c>
      <c r="G2102" s="8">
        <f t="shared" si="128"/>
        <v>4904</v>
      </c>
      <c r="H2102" s="6">
        <v>60000</v>
      </c>
      <c r="I2102" t="s">
        <v>69</v>
      </c>
      <c r="J2102" t="s">
        <v>72</v>
      </c>
      <c r="K2102" t="s">
        <v>36</v>
      </c>
      <c r="L2102" t="s">
        <v>100</v>
      </c>
      <c r="M2102" t="s">
        <v>126</v>
      </c>
      <c r="N2102" s="6">
        <v>1</v>
      </c>
      <c r="O2102" t="str">
        <f t="shared" si="129"/>
        <v>Normal</v>
      </c>
      <c r="P2102" t="str">
        <f t="shared" si="130"/>
        <v>Duplicate ID</v>
      </c>
      <c r="Q2102" t="str">
        <f t="shared" si="131"/>
        <v>10,000-14,999</v>
      </c>
      <c r="R2102" s="6">
        <f>IF(COUNTIF($A$2:A2102,A2102)=1,1,0)</f>
        <v>0</v>
      </c>
    </row>
    <row r="2103" spans="1:18" x14ac:dyDescent="0.25">
      <c r="A2103" s="6">
        <v>1221</v>
      </c>
      <c r="B2103" s="7">
        <v>44316</v>
      </c>
      <c r="C2103" t="s">
        <v>1648</v>
      </c>
      <c r="D2103" s="6">
        <v>2016</v>
      </c>
      <c r="E2103" s="8">
        <v>23151</v>
      </c>
      <c r="F2103" s="8">
        <v>26000</v>
      </c>
      <c r="G2103" s="8">
        <f t="shared" si="128"/>
        <v>2849</v>
      </c>
      <c r="H2103" s="6">
        <v>80000</v>
      </c>
      <c r="I2103" t="s">
        <v>69</v>
      </c>
      <c r="J2103" t="s">
        <v>72</v>
      </c>
      <c r="K2103" t="s">
        <v>36</v>
      </c>
      <c r="L2103" t="s">
        <v>54</v>
      </c>
      <c r="M2103" t="s">
        <v>98</v>
      </c>
      <c r="N2103" s="6">
        <v>1</v>
      </c>
      <c r="O2103" t="str">
        <f t="shared" si="129"/>
        <v>Normal</v>
      </c>
      <c r="P2103" t="str">
        <f t="shared" si="130"/>
        <v>Duplicate ID</v>
      </c>
      <c r="Q2103" t="str">
        <f t="shared" si="131"/>
        <v>20,000-24,999</v>
      </c>
      <c r="R2103" s="6">
        <f>IF(COUNTIF($A$2:A2103,A2103)=1,1,0)</f>
        <v>0</v>
      </c>
    </row>
    <row r="2104" spans="1:18" x14ac:dyDescent="0.25">
      <c r="A2104" s="6">
        <v>1390</v>
      </c>
      <c r="B2104" s="7">
        <v>44277</v>
      </c>
      <c r="C2104" t="s">
        <v>119</v>
      </c>
      <c r="D2104" s="6">
        <v>2014</v>
      </c>
      <c r="E2104" s="8">
        <v>3888</v>
      </c>
      <c r="F2104" s="8">
        <v>7000</v>
      </c>
      <c r="G2104" s="8">
        <f t="shared" si="128"/>
        <v>3112</v>
      </c>
      <c r="H2104" s="6">
        <v>60000</v>
      </c>
      <c r="I2104" t="s">
        <v>58</v>
      </c>
      <c r="J2104" t="s">
        <v>35</v>
      </c>
      <c r="K2104" t="s">
        <v>96</v>
      </c>
      <c r="L2104" t="s">
        <v>48</v>
      </c>
      <c r="M2104" t="s">
        <v>98</v>
      </c>
      <c r="N2104" s="6">
        <v>3</v>
      </c>
      <c r="O2104" t="str">
        <f t="shared" si="129"/>
        <v>Normal</v>
      </c>
      <c r="P2104" t="str">
        <f t="shared" si="130"/>
        <v>Duplicate ID</v>
      </c>
      <c r="Q2104" t="str">
        <f t="shared" si="131"/>
        <v>0-4,999</v>
      </c>
      <c r="R2104" s="6">
        <f>IF(COUNTIF($A$2:A2104,A2104)=1,1,0)</f>
        <v>0</v>
      </c>
    </row>
    <row r="2105" spans="1:18" x14ac:dyDescent="0.25">
      <c r="A2105" s="6">
        <v>1204</v>
      </c>
      <c r="B2105" s="7">
        <v>45339</v>
      </c>
      <c r="C2105" t="s">
        <v>79</v>
      </c>
      <c r="D2105" s="6">
        <v>2015</v>
      </c>
      <c r="E2105" s="8">
        <v>5200</v>
      </c>
      <c r="F2105" s="8">
        <v>12000</v>
      </c>
      <c r="G2105" s="8">
        <f t="shared" si="128"/>
        <v>6800</v>
      </c>
      <c r="H2105" s="6">
        <v>40000</v>
      </c>
      <c r="I2105" t="s">
        <v>41</v>
      </c>
      <c r="J2105" t="s">
        <v>35</v>
      </c>
      <c r="K2105" t="s">
        <v>96</v>
      </c>
      <c r="L2105" t="s">
        <v>100</v>
      </c>
      <c r="M2105" t="s">
        <v>98</v>
      </c>
      <c r="N2105" s="6">
        <v>3</v>
      </c>
      <c r="O2105" t="str">
        <f t="shared" si="129"/>
        <v>Normal</v>
      </c>
      <c r="P2105" t="str">
        <f t="shared" si="130"/>
        <v>Duplicate ID</v>
      </c>
      <c r="Q2105" t="str">
        <f t="shared" si="131"/>
        <v>5,000-9,999</v>
      </c>
      <c r="R2105" s="6">
        <f>IF(COUNTIF($A$2:A2105,A2105)=1,1,0)</f>
        <v>0</v>
      </c>
    </row>
    <row r="2106" spans="1:18" x14ac:dyDescent="0.25">
      <c r="A2106" s="6">
        <v>1222</v>
      </c>
      <c r="B2106" s="7">
        <v>44669</v>
      </c>
      <c r="C2106" t="s">
        <v>57</v>
      </c>
      <c r="D2106" s="6">
        <v>2017</v>
      </c>
      <c r="E2106" s="8">
        <v>7441</v>
      </c>
      <c r="F2106" s="8">
        <v>12000</v>
      </c>
      <c r="G2106" s="8">
        <f t="shared" si="128"/>
        <v>4559</v>
      </c>
      <c r="H2106" s="6">
        <v>60000</v>
      </c>
      <c r="I2106" t="s">
        <v>69</v>
      </c>
      <c r="J2106" t="s">
        <v>72</v>
      </c>
      <c r="K2106" t="s">
        <v>36</v>
      </c>
      <c r="L2106" t="s">
        <v>1647</v>
      </c>
      <c r="M2106" t="s">
        <v>90</v>
      </c>
      <c r="N2106" s="6">
        <v>3</v>
      </c>
      <c r="O2106" t="str">
        <f t="shared" si="129"/>
        <v>Normal</v>
      </c>
      <c r="P2106" t="str">
        <f t="shared" si="130"/>
        <v>Duplicate ID</v>
      </c>
      <c r="Q2106" t="str">
        <f t="shared" si="131"/>
        <v>5,000-9,999</v>
      </c>
      <c r="R2106" s="6">
        <f>IF(COUNTIF($A$2:A2106,A2106)=1,1,0)</f>
        <v>0</v>
      </c>
    </row>
    <row r="2107" spans="1:18" x14ac:dyDescent="0.25">
      <c r="A2107" s="6">
        <v>1345</v>
      </c>
      <c r="B2107" s="7">
        <v>44578</v>
      </c>
      <c r="C2107" t="s">
        <v>32</v>
      </c>
      <c r="D2107" s="6">
        <v>2017</v>
      </c>
      <c r="E2107" s="8">
        <v>28553</v>
      </c>
      <c r="F2107" s="8">
        <v>31000</v>
      </c>
      <c r="G2107" s="8">
        <f t="shared" si="128"/>
        <v>2447</v>
      </c>
      <c r="H2107" s="6">
        <v>120000</v>
      </c>
      <c r="I2107" t="s">
        <v>58</v>
      </c>
      <c r="J2107" t="s">
        <v>72</v>
      </c>
      <c r="K2107" t="s">
        <v>36</v>
      </c>
      <c r="L2107" t="s">
        <v>73</v>
      </c>
      <c r="M2107" t="s">
        <v>1647</v>
      </c>
      <c r="N2107" s="6" t="s">
        <v>1647</v>
      </c>
      <c r="O2107" t="str">
        <f t="shared" si="129"/>
        <v>Normal</v>
      </c>
      <c r="P2107" t="str">
        <f t="shared" si="130"/>
        <v>Duplicate ID</v>
      </c>
      <c r="Q2107" t="str">
        <f t="shared" si="131"/>
        <v>25,000-30,000</v>
      </c>
      <c r="R2107" s="6">
        <f>IF(COUNTIF($A$2:A2107,A2107)=1,1,0)</f>
        <v>0</v>
      </c>
    </row>
    <row r="2108" spans="1:18" x14ac:dyDescent="0.25">
      <c r="A2108" s="6">
        <v>1456</v>
      </c>
      <c r="B2108" s="7">
        <v>44615</v>
      </c>
      <c r="C2108" t="s">
        <v>51</v>
      </c>
      <c r="D2108" s="6">
        <v>2016</v>
      </c>
      <c r="E2108" s="8">
        <v>13722</v>
      </c>
      <c r="F2108" s="8">
        <v>15000</v>
      </c>
      <c r="G2108" s="8">
        <f t="shared" si="128"/>
        <v>1278</v>
      </c>
      <c r="H2108" s="6">
        <v>40000</v>
      </c>
      <c r="I2108" t="s">
        <v>58</v>
      </c>
      <c r="J2108" t="s">
        <v>35</v>
      </c>
      <c r="K2108" t="s">
        <v>1647</v>
      </c>
      <c r="L2108" t="s">
        <v>1647</v>
      </c>
      <c r="M2108" t="s">
        <v>90</v>
      </c>
      <c r="N2108" s="6" t="s">
        <v>1647</v>
      </c>
      <c r="O2108" t="str">
        <f t="shared" si="129"/>
        <v>Normal</v>
      </c>
      <c r="P2108" t="str">
        <f t="shared" si="130"/>
        <v>Duplicate ID</v>
      </c>
      <c r="Q2108" t="str">
        <f t="shared" si="131"/>
        <v>10,000-14,999</v>
      </c>
      <c r="R2108" s="6">
        <f>IF(COUNTIF($A$2:A2108,A2108)=1,1,0)</f>
        <v>0</v>
      </c>
    </row>
    <row r="2109" spans="1:18" x14ac:dyDescent="0.25">
      <c r="A2109" s="6">
        <v>1368</v>
      </c>
      <c r="B2109" s="7">
        <v>44458</v>
      </c>
      <c r="C2109" t="s">
        <v>119</v>
      </c>
      <c r="D2109" s="6">
        <v>2019</v>
      </c>
      <c r="E2109" s="8">
        <v>24325</v>
      </c>
      <c r="F2109" s="8">
        <v>26000</v>
      </c>
      <c r="G2109" s="8">
        <f t="shared" si="128"/>
        <v>1675</v>
      </c>
      <c r="H2109" s="6">
        <v>120000</v>
      </c>
      <c r="I2109" t="s">
        <v>41</v>
      </c>
      <c r="J2109" t="s">
        <v>72</v>
      </c>
      <c r="K2109" t="s">
        <v>96</v>
      </c>
      <c r="L2109" t="s">
        <v>100</v>
      </c>
      <c r="M2109" t="s">
        <v>98</v>
      </c>
      <c r="N2109" s="6">
        <v>0</v>
      </c>
      <c r="O2109" t="str">
        <f t="shared" si="129"/>
        <v>Normal</v>
      </c>
      <c r="P2109" t="str">
        <f t="shared" si="130"/>
        <v>Duplicate ID</v>
      </c>
      <c r="Q2109" t="str">
        <f t="shared" si="131"/>
        <v>20,000-24,999</v>
      </c>
      <c r="R2109" s="6">
        <f>IF(COUNTIF($A$2:A2109,A2109)=1,1,0)</f>
        <v>0</v>
      </c>
    </row>
    <row r="2110" spans="1:18" x14ac:dyDescent="0.25">
      <c r="A2110" s="6">
        <v>1394</v>
      </c>
      <c r="B2110" s="7">
        <v>45367</v>
      </c>
      <c r="C2110" t="s">
        <v>79</v>
      </c>
      <c r="D2110" s="6">
        <v>2018</v>
      </c>
      <c r="E2110" s="8">
        <v>4552</v>
      </c>
      <c r="F2110" s="8">
        <v>9000</v>
      </c>
      <c r="G2110" s="8">
        <f t="shared" si="128"/>
        <v>4448</v>
      </c>
      <c r="H2110" s="6">
        <v>60000</v>
      </c>
      <c r="I2110" t="s">
        <v>34</v>
      </c>
      <c r="J2110" t="s">
        <v>72</v>
      </c>
      <c r="K2110" t="s">
        <v>96</v>
      </c>
      <c r="L2110" t="s">
        <v>54</v>
      </c>
      <c r="M2110" t="s">
        <v>45</v>
      </c>
      <c r="N2110" s="6">
        <v>2</v>
      </c>
      <c r="O2110" t="str">
        <f t="shared" si="129"/>
        <v>Normal</v>
      </c>
      <c r="P2110" t="str">
        <f t="shared" si="130"/>
        <v>Duplicate ID</v>
      </c>
      <c r="Q2110" t="str">
        <f t="shared" si="131"/>
        <v>0-4,999</v>
      </c>
      <c r="R2110" s="6">
        <f>IF(COUNTIF($A$2:A2110,A2110)=1,1,0)</f>
        <v>0</v>
      </c>
    </row>
    <row r="2111" spans="1:18" x14ac:dyDescent="0.25">
      <c r="A2111" s="6">
        <v>1227</v>
      </c>
      <c r="B2111" s="7">
        <v>45301</v>
      </c>
      <c r="C2111" t="s">
        <v>32</v>
      </c>
      <c r="D2111" s="6">
        <v>2015</v>
      </c>
      <c r="E2111" s="8">
        <v>15547</v>
      </c>
      <c r="F2111" s="8">
        <v>22000</v>
      </c>
      <c r="G2111" s="8">
        <f t="shared" si="128"/>
        <v>6453</v>
      </c>
      <c r="H2111" s="6">
        <v>60000</v>
      </c>
      <c r="I2111" t="s">
        <v>41</v>
      </c>
      <c r="J2111" t="s">
        <v>72</v>
      </c>
      <c r="K2111" t="s">
        <v>36</v>
      </c>
      <c r="L2111" t="s">
        <v>100</v>
      </c>
      <c r="M2111" t="s">
        <v>98</v>
      </c>
      <c r="N2111" s="6">
        <v>1</v>
      </c>
      <c r="O2111" t="str">
        <f t="shared" si="129"/>
        <v>Normal</v>
      </c>
      <c r="P2111" t="str">
        <f t="shared" si="130"/>
        <v>Duplicate ID</v>
      </c>
      <c r="Q2111" t="str">
        <f t="shared" si="131"/>
        <v>15,000-19,999</v>
      </c>
      <c r="R2111" s="6">
        <f>IF(COUNTIF($A$2:A2111,A2111)=1,1,0)</f>
        <v>0</v>
      </c>
    </row>
    <row r="2112" spans="1:18" x14ac:dyDescent="0.25">
      <c r="A2112" s="6">
        <v>1135</v>
      </c>
      <c r="B2112" s="7">
        <v>44735</v>
      </c>
      <c r="C2112" t="s">
        <v>1648</v>
      </c>
      <c r="D2112" s="6">
        <v>2022</v>
      </c>
      <c r="E2112" s="8">
        <v>19328</v>
      </c>
      <c r="F2112" s="8">
        <v>22000</v>
      </c>
      <c r="G2112" s="8">
        <f t="shared" si="128"/>
        <v>2672</v>
      </c>
      <c r="H2112" s="6">
        <v>80000</v>
      </c>
      <c r="I2112" t="s">
        <v>41</v>
      </c>
      <c r="J2112" t="s">
        <v>35</v>
      </c>
      <c r="K2112" t="s">
        <v>1647</v>
      </c>
      <c r="L2112" t="s">
        <v>48</v>
      </c>
      <c r="M2112" t="s">
        <v>98</v>
      </c>
      <c r="N2112" s="6" t="s">
        <v>1647</v>
      </c>
      <c r="O2112" t="str">
        <f t="shared" si="129"/>
        <v>Normal</v>
      </c>
      <c r="P2112" t="str">
        <f t="shared" si="130"/>
        <v>Duplicate ID</v>
      </c>
      <c r="Q2112" t="str">
        <f t="shared" si="131"/>
        <v>15,000-19,999</v>
      </c>
      <c r="R2112" s="6">
        <f>IF(COUNTIF($A$2:A2112,A2112)=1,1,0)</f>
        <v>0</v>
      </c>
    </row>
    <row r="2113" spans="1:18" x14ac:dyDescent="0.25">
      <c r="A2113" s="6">
        <v>1023</v>
      </c>
      <c r="B2113" s="7">
        <v>44959</v>
      </c>
      <c r="C2113" t="s">
        <v>57</v>
      </c>
      <c r="D2113" s="6">
        <v>2018</v>
      </c>
      <c r="E2113" s="8">
        <v>8320</v>
      </c>
      <c r="F2113" s="8">
        <v>15000</v>
      </c>
      <c r="G2113" s="8">
        <f t="shared" si="128"/>
        <v>6680</v>
      </c>
      <c r="H2113" s="6">
        <v>15000</v>
      </c>
      <c r="I2113" t="s">
        <v>34</v>
      </c>
      <c r="J2113" t="s">
        <v>72</v>
      </c>
      <c r="K2113" t="s">
        <v>96</v>
      </c>
      <c r="L2113" t="s">
        <v>73</v>
      </c>
      <c r="M2113" t="s">
        <v>126</v>
      </c>
      <c r="N2113" s="6">
        <v>1</v>
      </c>
      <c r="O2113" t="str">
        <f t="shared" si="129"/>
        <v>Normal</v>
      </c>
      <c r="P2113" t="str">
        <f t="shared" si="130"/>
        <v>Duplicate ID</v>
      </c>
      <c r="Q2113" t="str">
        <f t="shared" si="131"/>
        <v>5,000-9,999</v>
      </c>
      <c r="R2113" s="6">
        <f>IF(COUNTIF($A$2:A2113,A2113)=1,1,0)</f>
        <v>0</v>
      </c>
    </row>
    <row r="2114" spans="1:18" x14ac:dyDescent="0.25">
      <c r="A2114" s="6">
        <v>1414</v>
      </c>
      <c r="B2114" s="7">
        <v>45270</v>
      </c>
      <c r="C2114" t="s">
        <v>51</v>
      </c>
      <c r="D2114" s="6">
        <v>2014</v>
      </c>
      <c r="E2114" s="8">
        <v>21442</v>
      </c>
      <c r="F2114" s="8">
        <v>26000</v>
      </c>
      <c r="G2114" s="8">
        <f t="shared" ref="G2114:G2177" si="132">IF(OR(F2114="",E2114=""),"",F2114-E2114)</f>
        <v>4558</v>
      </c>
      <c r="H2114" s="6">
        <v>60000</v>
      </c>
      <c r="I2114" t="s">
        <v>1647</v>
      </c>
      <c r="J2114" t="s">
        <v>35</v>
      </c>
      <c r="K2114" t="s">
        <v>96</v>
      </c>
      <c r="L2114" t="s">
        <v>48</v>
      </c>
      <c r="M2114" t="s">
        <v>98</v>
      </c>
      <c r="N2114" s="6">
        <v>3</v>
      </c>
      <c r="O2114" t="str">
        <f t="shared" ref="O2114:O2177" si="133">IF(E2114&lt;1000,"Outlier","Normal")</f>
        <v>Normal</v>
      </c>
      <c r="P2114" t="str">
        <f t="shared" ref="P2114:P2177" si="134">IF(COUNTIF($A$2:$A$2501,A2114)&gt;1,"Duplicate ID","Unique ID")</f>
        <v>Duplicate ID</v>
      </c>
      <c r="Q2114" t="str">
        <f t="shared" ref="Q2114:Q2177" si="135">IF(E2114&lt;5000,"0-4,999",IF(E2114&lt;10000,"5,000-9,999",IF(E2114&lt;15000,"10,000-14,999",IF(E2114&lt;20000,"15,000-19,999",IF(E2114&lt;25000,"20,000-24,999","25,000-30,000")))))</f>
        <v>20,000-24,999</v>
      </c>
      <c r="R2114" s="6">
        <f>IF(COUNTIF($A$2:A2114,A2114)=1,1,0)</f>
        <v>0</v>
      </c>
    </row>
    <row r="2115" spans="1:18" x14ac:dyDescent="0.25">
      <c r="A2115" s="6">
        <v>1597</v>
      </c>
      <c r="B2115" s="7">
        <v>45342</v>
      </c>
      <c r="C2115" t="s">
        <v>40</v>
      </c>
      <c r="D2115" s="6">
        <v>2018</v>
      </c>
      <c r="E2115" s="8">
        <v>23835</v>
      </c>
      <c r="F2115" s="8">
        <v>26000</v>
      </c>
      <c r="G2115" s="8">
        <f t="shared" si="132"/>
        <v>2165</v>
      </c>
      <c r="H2115" s="6">
        <v>25000</v>
      </c>
      <c r="I2115" t="s">
        <v>41</v>
      </c>
      <c r="J2115" t="s">
        <v>35</v>
      </c>
      <c r="K2115" t="s">
        <v>1647</v>
      </c>
      <c r="L2115" t="s">
        <v>54</v>
      </c>
      <c r="M2115" t="s">
        <v>90</v>
      </c>
      <c r="N2115" s="6">
        <v>2</v>
      </c>
      <c r="O2115" t="str">
        <f t="shared" si="133"/>
        <v>Normal</v>
      </c>
      <c r="P2115" t="str">
        <f t="shared" si="134"/>
        <v>Duplicate ID</v>
      </c>
      <c r="Q2115" t="str">
        <f t="shared" si="135"/>
        <v>20,000-24,999</v>
      </c>
      <c r="R2115" s="6">
        <f>IF(COUNTIF($A$2:A2115,A2115)=1,1,0)</f>
        <v>0</v>
      </c>
    </row>
    <row r="2116" spans="1:18" x14ac:dyDescent="0.25">
      <c r="A2116" s="6">
        <v>1333</v>
      </c>
      <c r="B2116" s="7">
        <v>44408</v>
      </c>
      <c r="C2116" t="s">
        <v>32</v>
      </c>
      <c r="D2116" s="6">
        <v>2021</v>
      </c>
      <c r="E2116" s="8">
        <v>23750</v>
      </c>
      <c r="F2116" s="8">
        <v>26000</v>
      </c>
      <c r="G2116" s="8">
        <f t="shared" si="132"/>
        <v>2250</v>
      </c>
      <c r="H2116" s="6">
        <v>25000</v>
      </c>
      <c r="I2116" t="s">
        <v>1647</v>
      </c>
      <c r="J2116" t="s">
        <v>72</v>
      </c>
      <c r="K2116" t="s">
        <v>36</v>
      </c>
      <c r="L2116" t="s">
        <v>48</v>
      </c>
      <c r="M2116" t="s">
        <v>90</v>
      </c>
      <c r="N2116" s="6" t="s">
        <v>1647</v>
      </c>
      <c r="O2116" t="str">
        <f t="shared" si="133"/>
        <v>Normal</v>
      </c>
      <c r="P2116" t="str">
        <f t="shared" si="134"/>
        <v>Duplicate ID</v>
      </c>
      <c r="Q2116" t="str">
        <f t="shared" si="135"/>
        <v>20,000-24,999</v>
      </c>
      <c r="R2116" s="6">
        <f>IF(COUNTIF($A$2:A2116,A2116)=1,1,0)</f>
        <v>0</v>
      </c>
    </row>
    <row r="2117" spans="1:18" x14ac:dyDescent="0.25">
      <c r="A2117" s="6">
        <v>1205</v>
      </c>
      <c r="B2117" s="7">
        <v>44211</v>
      </c>
      <c r="C2117" t="s">
        <v>119</v>
      </c>
      <c r="D2117" s="6"/>
      <c r="E2117" s="8">
        <v>18633</v>
      </c>
      <c r="F2117" s="8">
        <v>22000</v>
      </c>
      <c r="G2117" s="8">
        <f t="shared" si="132"/>
        <v>3367</v>
      </c>
      <c r="H2117" s="6">
        <v>80000</v>
      </c>
      <c r="I2117" t="s">
        <v>69</v>
      </c>
      <c r="J2117" t="s">
        <v>72</v>
      </c>
      <c r="K2117" t="s">
        <v>96</v>
      </c>
      <c r="L2117" t="s">
        <v>48</v>
      </c>
      <c r="M2117" t="s">
        <v>45</v>
      </c>
      <c r="N2117" s="6">
        <v>1</v>
      </c>
      <c r="O2117" t="str">
        <f t="shared" si="133"/>
        <v>Normal</v>
      </c>
      <c r="P2117" t="str">
        <f t="shared" si="134"/>
        <v>Duplicate ID</v>
      </c>
      <c r="Q2117" t="str">
        <f t="shared" si="135"/>
        <v>15,000-19,999</v>
      </c>
      <c r="R2117" s="6">
        <f>IF(COUNTIF($A$2:A2117,A2117)=1,1,0)</f>
        <v>0</v>
      </c>
    </row>
    <row r="2118" spans="1:18" x14ac:dyDescent="0.25">
      <c r="A2118" s="6">
        <v>1032</v>
      </c>
      <c r="B2118" s="7">
        <v>44641</v>
      </c>
      <c r="C2118" t="s">
        <v>40</v>
      </c>
      <c r="D2118" s="6">
        <v>2021</v>
      </c>
      <c r="E2118" s="8">
        <v>1982</v>
      </c>
      <c r="F2118" s="8">
        <v>7000</v>
      </c>
      <c r="G2118" s="8">
        <f t="shared" si="132"/>
        <v>5018</v>
      </c>
      <c r="H2118" s="6">
        <v>80000</v>
      </c>
      <c r="I2118" t="s">
        <v>58</v>
      </c>
      <c r="J2118" t="s">
        <v>72</v>
      </c>
      <c r="K2118" t="s">
        <v>36</v>
      </c>
      <c r="L2118" t="s">
        <v>48</v>
      </c>
      <c r="M2118" t="s">
        <v>98</v>
      </c>
      <c r="N2118" s="6">
        <v>1</v>
      </c>
      <c r="O2118" t="str">
        <f t="shared" si="133"/>
        <v>Normal</v>
      </c>
      <c r="P2118" t="str">
        <f t="shared" si="134"/>
        <v>Duplicate ID</v>
      </c>
      <c r="Q2118" t="str">
        <f t="shared" si="135"/>
        <v>0-4,999</v>
      </c>
      <c r="R2118" s="6">
        <f>IF(COUNTIF($A$2:A2118,A2118)=1,1,0)</f>
        <v>0</v>
      </c>
    </row>
    <row r="2119" spans="1:18" x14ac:dyDescent="0.25">
      <c r="A2119" s="6">
        <v>1190</v>
      </c>
      <c r="B2119" s="7">
        <v>44616</v>
      </c>
      <c r="C2119" t="s">
        <v>57</v>
      </c>
      <c r="D2119" s="6">
        <v>2019</v>
      </c>
      <c r="E2119" s="8">
        <v>21222</v>
      </c>
      <c r="F2119" s="8">
        <v>26000</v>
      </c>
      <c r="G2119" s="8">
        <f t="shared" si="132"/>
        <v>4778</v>
      </c>
      <c r="H2119" s="6">
        <v>120000</v>
      </c>
      <c r="I2119" t="s">
        <v>1647</v>
      </c>
      <c r="J2119" t="s">
        <v>72</v>
      </c>
      <c r="K2119" t="s">
        <v>1647</v>
      </c>
      <c r="L2119" t="s">
        <v>100</v>
      </c>
      <c r="M2119" t="s">
        <v>126</v>
      </c>
      <c r="N2119" s="6">
        <v>3</v>
      </c>
      <c r="O2119" t="str">
        <f t="shared" si="133"/>
        <v>Normal</v>
      </c>
      <c r="P2119" t="str">
        <f t="shared" si="134"/>
        <v>Duplicate ID</v>
      </c>
      <c r="Q2119" t="str">
        <f t="shared" si="135"/>
        <v>20,000-24,999</v>
      </c>
      <c r="R2119" s="6">
        <f>IF(COUNTIF($A$2:A2119,A2119)=1,1,0)</f>
        <v>0</v>
      </c>
    </row>
    <row r="2120" spans="1:18" x14ac:dyDescent="0.25">
      <c r="A2120" s="6">
        <v>1010</v>
      </c>
      <c r="B2120" s="7">
        <v>44265</v>
      </c>
      <c r="C2120" t="s">
        <v>79</v>
      </c>
      <c r="D2120" s="6">
        <v>2014</v>
      </c>
      <c r="E2120" s="8">
        <v>6986</v>
      </c>
      <c r="F2120" s="8">
        <v>9000</v>
      </c>
      <c r="G2120" s="8">
        <f t="shared" si="132"/>
        <v>2014</v>
      </c>
      <c r="H2120" s="6">
        <v>80000</v>
      </c>
      <c r="I2120" t="s">
        <v>41</v>
      </c>
      <c r="J2120" t="s">
        <v>72</v>
      </c>
      <c r="K2120" t="s">
        <v>36</v>
      </c>
      <c r="L2120" t="s">
        <v>100</v>
      </c>
      <c r="M2120" t="s">
        <v>98</v>
      </c>
      <c r="N2120" s="6">
        <v>2</v>
      </c>
      <c r="O2120" t="str">
        <f t="shared" si="133"/>
        <v>Normal</v>
      </c>
      <c r="P2120" t="str">
        <f t="shared" si="134"/>
        <v>Duplicate ID</v>
      </c>
      <c r="Q2120" t="str">
        <f t="shared" si="135"/>
        <v>5,000-9,999</v>
      </c>
      <c r="R2120" s="6">
        <f>IF(COUNTIF($A$2:A2120,A2120)=1,1,0)</f>
        <v>0</v>
      </c>
    </row>
    <row r="2121" spans="1:18" x14ac:dyDescent="0.25">
      <c r="A2121" s="6">
        <v>1365</v>
      </c>
      <c r="B2121" s="7">
        <v>45249</v>
      </c>
      <c r="C2121" t="s">
        <v>51</v>
      </c>
      <c r="D2121" s="6">
        <v>2021</v>
      </c>
      <c r="E2121" s="8">
        <v>10158</v>
      </c>
      <c r="F2121" s="8">
        <v>15000</v>
      </c>
      <c r="G2121" s="8">
        <f t="shared" si="132"/>
        <v>4842</v>
      </c>
      <c r="H2121" s="6">
        <v>120000</v>
      </c>
      <c r="I2121" t="s">
        <v>1647</v>
      </c>
      <c r="J2121" t="s">
        <v>72</v>
      </c>
      <c r="K2121" t="s">
        <v>36</v>
      </c>
      <c r="L2121" t="s">
        <v>73</v>
      </c>
      <c r="M2121" t="s">
        <v>90</v>
      </c>
      <c r="N2121" s="6">
        <v>3</v>
      </c>
      <c r="O2121" t="str">
        <f t="shared" si="133"/>
        <v>Normal</v>
      </c>
      <c r="P2121" t="str">
        <f t="shared" si="134"/>
        <v>Duplicate ID</v>
      </c>
      <c r="Q2121" t="str">
        <f t="shared" si="135"/>
        <v>10,000-14,999</v>
      </c>
      <c r="R2121" s="6">
        <f>IF(COUNTIF($A$2:A2121,A2121)=1,1,0)</f>
        <v>0</v>
      </c>
    </row>
    <row r="2122" spans="1:18" x14ac:dyDescent="0.25">
      <c r="A2122" s="6">
        <v>1572</v>
      </c>
      <c r="B2122" s="7">
        <v>44946</v>
      </c>
      <c r="C2122" t="s">
        <v>32</v>
      </c>
      <c r="D2122" s="6">
        <v>2020</v>
      </c>
      <c r="E2122" s="8">
        <v>11619</v>
      </c>
      <c r="F2122" s="8">
        <v>18000</v>
      </c>
      <c r="G2122" s="8">
        <f t="shared" si="132"/>
        <v>6381</v>
      </c>
      <c r="H2122" s="6">
        <v>120000</v>
      </c>
      <c r="I2122" t="s">
        <v>58</v>
      </c>
      <c r="J2122" t="s">
        <v>72</v>
      </c>
      <c r="K2122" t="s">
        <v>96</v>
      </c>
      <c r="L2122" t="s">
        <v>48</v>
      </c>
      <c r="M2122" t="s">
        <v>45</v>
      </c>
      <c r="N2122" s="6">
        <v>2</v>
      </c>
      <c r="O2122" t="str">
        <f t="shared" si="133"/>
        <v>Normal</v>
      </c>
      <c r="P2122" t="str">
        <f t="shared" si="134"/>
        <v>Duplicate ID</v>
      </c>
      <c r="Q2122" t="str">
        <f t="shared" si="135"/>
        <v>10,000-14,999</v>
      </c>
      <c r="R2122" s="6">
        <f>IF(COUNTIF($A$2:A2122,A2122)=1,1,0)</f>
        <v>0</v>
      </c>
    </row>
    <row r="2123" spans="1:18" x14ac:dyDescent="0.25">
      <c r="A2123" s="6">
        <v>1058</v>
      </c>
      <c r="B2123" s="7">
        <v>45321</v>
      </c>
      <c r="C2123" t="s">
        <v>1648</v>
      </c>
      <c r="D2123" s="6">
        <v>2017</v>
      </c>
      <c r="E2123" s="8">
        <v>10392</v>
      </c>
      <c r="F2123" s="8">
        <v>15000</v>
      </c>
      <c r="G2123" s="8">
        <f t="shared" si="132"/>
        <v>4608</v>
      </c>
      <c r="H2123" s="6">
        <v>80000</v>
      </c>
      <c r="I2123" t="s">
        <v>69</v>
      </c>
      <c r="J2123" t="s">
        <v>35</v>
      </c>
      <c r="K2123" t="s">
        <v>1647</v>
      </c>
      <c r="L2123" t="s">
        <v>73</v>
      </c>
      <c r="M2123" t="s">
        <v>45</v>
      </c>
      <c r="N2123" s="6">
        <v>3</v>
      </c>
      <c r="O2123" t="str">
        <f t="shared" si="133"/>
        <v>Normal</v>
      </c>
      <c r="P2123" t="str">
        <f t="shared" si="134"/>
        <v>Duplicate ID</v>
      </c>
      <c r="Q2123" t="str">
        <f t="shared" si="135"/>
        <v>10,000-14,999</v>
      </c>
      <c r="R2123" s="6">
        <f>IF(COUNTIF($A$2:A2123,A2123)=1,1,0)</f>
        <v>0</v>
      </c>
    </row>
    <row r="2124" spans="1:18" x14ac:dyDescent="0.25">
      <c r="A2124" s="6">
        <v>1555</v>
      </c>
      <c r="B2124" s="7">
        <v>45103</v>
      </c>
      <c r="C2124" t="s">
        <v>1648</v>
      </c>
      <c r="D2124" s="6">
        <v>2019</v>
      </c>
      <c r="E2124" s="8">
        <v>6433</v>
      </c>
      <c r="F2124" s="8">
        <v>9000</v>
      </c>
      <c r="G2124" s="8">
        <f t="shared" si="132"/>
        <v>2567</v>
      </c>
      <c r="H2124" s="6">
        <v>80000</v>
      </c>
      <c r="I2124" t="s">
        <v>41</v>
      </c>
      <c r="J2124" t="s">
        <v>1647</v>
      </c>
      <c r="K2124" t="s">
        <v>1647</v>
      </c>
      <c r="L2124" t="s">
        <v>1647</v>
      </c>
      <c r="M2124" t="s">
        <v>1647</v>
      </c>
      <c r="N2124" s="6">
        <v>1</v>
      </c>
      <c r="O2124" t="str">
        <f t="shared" si="133"/>
        <v>Normal</v>
      </c>
      <c r="P2124" t="str">
        <f t="shared" si="134"/>
        <v>Duplicate ID</v>
      </c>
      <c r="Q2124" t="str">
        <f t="shared" si="135"/>
        <v>5,000-9,999</v>
      </c>
      <c r="R2124" s="6">
        <f>IF(COUNTIF($A$2:A2124,A2124)=1,1,0)</f>
        <v>0</v>
      </c>
    </row>
    <row r="2125" spans="1:18" x14ac:dyDescent="0.25">
      <c r="A2125" s="6">
        <v>1412</v>
      </c>
      <c r="B2125" s="7">
        <v>44285</v>
      </c>
      <c r="C2125" t="s">
        <v>1648</v>
      </c>
      <c r="D2125" s="6">
        <v>2018</v>
      </c>
      <c r="E2125" s="8">
        <v>11094</v>
      </c>
      <c r="F2125" s="8">
        <v>15000</v>
      </c>
      <c r="G2125" s="8">
        <f t="shared" si="132"/>
        <v>3906</v>
      </c>
      <c r="H2125" s="6">
        <v>40000</v>
      </c>
      <c r="I2125" t="s">
        <v>34</v>
      </c>
      <c r="J2125" t="s">
        <v>35</v>
      </c>
      <c r="K2125" t="s">
        <v>96</v>
      </c>
      <c r="L2125" t="s">
        <v>73</v>
      </c>
      <c r="M2125" t="s">
        <v>90</v>
      </c>
      <c r="N2125" s="6">
        <v>1</v>
      </c>
      <c r="O2125" t="str">
        <f t="shared" si="133"/>
        <v>Normal</v>
      </c>
      <c r="P2125" t="str">
        <f t="shared" si="134"/>
        <v>Duplicate ID</v>
      </c>
      <c r="Q2125" t="str">
        <f t="shared" si="135"/>
        <v>10,000-14,999</v>
      </c>
      <c r="R2125" s="6">
        <f>IF(COUNTIF($A$2:A2125,A2125)=1,1,0)</f>
        <v>0</v>
      </c>
    </row>
    <row r="2126" spans="1:18" x14ac:dyDescent="0.25">
      <c r="A2126" s="6">
        <v>1271</v>
      </c>
      <c r="B2126" s="7">
        <v>44535</v>
      </c>
      <c r="C2126" t="s">
        <v>40</v>
      </c>
      <c r="D2126" s="6">
        <v>2022</v>
      </c>
      <c r="E2126" s="8">
        <v>21779</v>
      </c>
      <c r="F2126" s="8">
        <v>26000</v>
      </c>
      <c r="G2126" s="8">
        <f t="shared" si="132"/>
        <v>4221</v>
      </c>
      <c r="H2126" s="6">
        <v>40000</v>
      </c>
      <c r="I2126" t="s">
        <v>69</v>
      </c>
      <c r="J2126" t="s">
        <v>72</v>
      </c>
      <c r="K2126" t="s">
        <v>1647</v>
      </c>
      <c r="L2126" t="s">
        <v>48</v>
      </c>
      <c r="M2126" t="s">
        <v>45</v>
      </c>
      <c r="N2126" s="6">
        <v>1</v>
      </c>
      <c r="O2126" t="str">
        <f t="shared" si="133"/>
        <v>Normal</v>
      </c>
      <c r="P2126" t="str">
        <f t="shared" si="134"/>
        <v>Duplicate ID</v>
      </c>
      <c r="Q2126" t="str">
        <f t="shared" si="135"/>
        <v>20,000-24,999</v>
      </c>
      <c r="R2126" s="6">
        <f>IF(COUNTIF($A$2:A2126,A2126)=1,1,0)</f>
        <v>0</v>
      </c>
    </row>
    <row r="2127" spans="1:18" x14ac:dyDescent="0.25">
      <c r="A2127" s="6">
        <v>1032</v>
      </c>
      <c r="B2127" s="7">
        <v>44993</v>
      </c>
      <c r="C2127" t="s">
        <v>32</v>
      </c>
      <c r="D2127" s="6">
        <v>2016</v>
      </c>
      <c r="E2127" s="8">
        <v>5087</v>
      </c>
      <c r="F2127" s="8">
        <v>9000</v>
      </c>
      <c r="G2127" s="8">
        <f t="shared" si="132"/>
        <v>3913</v>
      </c>
      <c r="H2127" s="6">
        <v>120000</v>
      </c>
      <c r="I2127" t="s">
        <v>41</v>
      </c>
      <c r="J2127" t="s">
        <v>35</v>
      </c>
      <c r="K2127" t="s">
        <v>96</v>
      </c>
      <c r="L2127" t="s">
        <v>54</v>
      </c>
      <c r="M2127" t="s">
        <v>98</v>
      </c>
      <c r="N2127" s="6" t="s">
        <v>1647</v>
      </c>
      <c r="O2127" t="str">
        <f t="shared" si="133"/>
        <v>Normal</v>
      </c>
      <c r="P2127" t="str">
        <f t="shared" si="134"/>
        <v>Duplicate ID</v>
      </c>
      <c r="Q2127" t="str">
        <f t="shared" si="135"/>
        <v>5,000-9,999</v>
      </c>
      <c r="R2127" s="6">
        <f>IF(COUNTIF($A$2:A2127,A2127)=1,1,0)</f>
        <v>0</v>
      </c>
    </row>
    <row r="2128" spans="1:18" x14ac:dyDescent="0.25">
      <c r="A2128" s="6">
        <v>1217</v>
      </c>
      <c r="B2128" s="7">
        <v>44317</v>
      </c>
      <c r="C2128" t="s">
        <v>51</v>
      </c>
      <c r="D2128" s="6">
        <v>2020</v>
      </c>
      <c r="E2128" s="8">
        <v>22546</v>
      </c>
      <c r="F2128" s="8">
        <v>26000</v>
      </c>
      <c r="G2128" s="8">
        <f t="shared" si="132"/>
        <v>3454</v>
      </c>
      <c r="H2128" s="6">
        <v>15000</v>
      </c>
      <c r="I2128" t="s">
        <v>34</v>
      </c>
      <c r="J2128" t="s">
        <v>1647</v>
      </c>
      <c r="K2128" t="s">
        <v>36</v>
      </c>
      <c r="L2128" t="s">
        <v>73</v>
      </c>
      <c r="M2128" t="s">
        <v>98</v>
      </c>
      <c r="N2128" s="6">
        <v>0</v>
      </c>
      <c r="O2128" t="str">
        <f t="shared" si="133"/>
        <v>Normal</v>
      </c>
      <c r="P2128" t="str">
        <f t="shared" si="134"/>
        <v>Duplicate ID</v>
      </c>
      <c r="Q2128" t="str">
        <f t="shared" si="135"/>
        <v>20,000-24,999</v>
      </c>
      <c r="R2128" s="6">
        <f>IF(COUNTIF($A$2:A2128,A2128)=1,1,0)</f>
        <v>0</v>
      </c>
    </row>
    <row r="2129" spans="1:18" x14ac:dyDescent="0.25">
      <c r="A2129" s="6">
        <v>1588</v>
      </c>
      <c r="B2129" s="7">
        <v>44683</v>
      </c>
      <c r="C2129" t="s">
        <v>57</v>
      </c>
      <c r="D2129" s="6">
        <v>2016</v>
      </c>
      <c r="E2129" s="8">
        <v>7638</v>
      </c>
      <c r="F2129" s="8">
        <v>9000</v>
      </c>
      <c r="G2129" s="8">
        <f t="shared" si="132"/>
        <v>1362</v>
      </c>
      <c r="H2129" s="6">
        <v>40000</v>
      </c>
      <c r="I2129" t="s">
        <v>69</v>
      </c>
      <c r="J2129" t="s">
        <v>1647</v>
      </c>
      <c r="K2129" t="s">
        <v>96</v>
      </c>
      <c r="L2129" t="s">
        <v>1647</v>
      </c>
      <c r="M2129" t="s">
        <v>126</v>
      </c>
      <c r="N2129" s="6" t="s">
        <v>1647</v>
      </c>
      <c r="O2129" t="str">
        <f t="shared" si="133"/>
        <v>Normal</v>
      </c>
      <c r="P2129" t="str">
        <f t="shared" si="134"/>
        <v>Duplicate ID</v>
      </c>
      <c r="Q2129" t="str">
        <f t="shared" si="135"/>
        <v>5,000-9,999</v>
      </c>
      <c r="R2129" s="6">
        <f>IF(COUNTIF($A$2:A2129,A2129)=1,1,0)</f>
        <v>0</v>
      </c>
    </row>
    <row r="2130" spans="1:18" x14ac:dyDescent="0.25">
      <c r="A2130" s="6">
        <v>1226</v>
      </c>
      <c r="B2130" s="7">
        <v>45264</v>
      </c>
      <c r="C2130" t="s">
        <v>40</v>
      </c>
      <c r="D2130" s="6">
        <v>2014</v>
      </c>
      <c r="E2130" s="8">
        <v>14429</v>
      </c>
      <c r="F2130" s="8">
        <v>18000</v>
      </c>
      <c r="G2130" s="8">
        <f t="shared" si="132"/>
        <v>3571</v>
      </c>
      <c r="H2130" s="6">
        <v>15000</v>
      </c>
      <c r="I2130" t="s">
        <v>34</v>
      </c>
      <c r="J2130" t="s">
        <v>72</v>
      </c>
      <c r="K2130" t="s">
        <v>36</v>
      </c>
      <c r="L2130" t="s">
        <v>73</v>
      </c>
      <c r="M2130" t="s">
        <v>90</v>
      </c>
      <c r="N2130" s="6" t="s">
        <v>1647</v>
      </c>
      <c r="O2130" t="str">
        <f t="shared" si="133"/>
        <v>Normal</v>
      </c>
      <c r="P2130" t="str">
        <f t="shared" si="134"/>
        <v>Duplicate ID</v>
      </c>
      <c r="Q2130" t="str">
        <f t="shared" si="135"/>
        <v>10,000-14,999</v>
      </c>
      <c r="R2130" s="6">
        <f>IF(COUNTIF($A$2:A2130,A2130)=1,1,0)</f>
        <v>0</v>
      </c>
    </row>
    <row r="2131" spans="1:18" x14ac:dyDescent="0.25">
      <c r="A2131" s="6">
        <v>1346</v>
      </c>
      <c r="B2131" s="7">
        <v>45397</v>
      </c>
      <c r="C2131" t="s">
        <v>51</v>
      </c>
      <c r="D2131" s="6">
        <v>2019</v>
      </c>
      <c r="E2131" s="8">
        <v>4630</v>
      </c>
      <c r="F2131" s="8">
        <v>7000</v>
      </c>
      <c r="G2131" s="8">
        <f t="shared" si="132"/>
        <v>2370</v>
      </c>
      <c r="H2131" s="6">
        <v>15000</v>
      </c>
      <c r="I2131" t="s">
        <v>41</v>
      </c>
      <c r="J2131" t="s">
        <v>35</v>
      </c>
      <c r="K2131" t="s">
        <v>36</v>
      </c>
      <c r="L2131" t="s">
        <v>73</v>
      </c>
      <c r="M2131" t="s">
        <v>90</v>
      </c>
      <c r="N2131" s="6">
        <v>2</v>
      </c>
      <c r="O2131" t="str">
        <f t="shared" si="133"/>
        <v>Normal</v>
      </c>
      <c r="P2131" t="str">
        <f t="shared" si="134"/>
        <v>Duplicate ID</v>
      </c>
      <c r="Q2131" t="str">
        <f t="shared" si="135"/>
        <v>0-4,999</v>
      </c>
      <c r="R2131" s="6">
        <f>IF(COUNTIF($A$2:A2131,A2131)=1,1,0)</f>
        <v>0</v>
      </c>
    </row>
    <row r="2132" spans="1:18" x14ac:dyDescent="0.25">
      <c r="A2132" s="6">
        <v>1572</v>
      </c>
      <c r="B2132" s="7">
        <v>44964</v>
      </c>
      <c r="C2132" t="s">
        <v>79</v>
      </c>
      <c r="D2132" s="6">
        <v>2021</v>
      </c>
      <c r="E2132" s="8">
        <v>7242</v>
      </c>
      <c r="F2132" s="8">
        <v>9000</v>
      </c>
      <c r="G2132" s="8">
        <f t="shared" si="132"/>
        <v>1758</v>
      </c>
      <c r="H2132" s="6">
        <v>80000</v>
      </c>
      <c r="I2132" t="s">
        <v>41</v>
      </c>
      <c r="J2132" t="s">
        <v>1647</v>
      </c>
      <c r="K2132" t="s">
        <v>96</v>
      </c>
      <c r="L2132" t="s">
        <v>73</v>
      </c>
      <c r="M2132" t="s">
        <v>90</v>
      </c>
      <c r="N2132" s="6">
        <v>3</v>
      </c>
      <c r="O2132" t="str">
        <f t="shared" si="133"/>
        <v>Normal</v>
      </c>
      <c r="P2132" t="str">
        <f t="shared" si="134"/>
        <v>Duplicate ID</v>
      </c>
      <c r="Q2132" t="str">
        <f t="shared" si="135"/>
        <v>5,000-9,999</v>
      </c>
      <c r="R2132" s="6">
        <f>IF(COUNTIF($A$2:A2132,A2132)=1,1,0)</f>
        <v>0</v>
      </c>
    </row>
    <row r="2133" spans="1:18" x14ac:dyDescent="0.25">
      <c r="A2133" s="6">
        <v>1097</v>
      </c>
      <c r="B2133" s="7">
        <v>45375</v>
      </c>
      <c r="C2133" t="s">
        <v>79</v>
      </c>
      <c r="D2133" s="6">
        <v>2014</v>
      </c>
      <c r="E2133" s="8">
        <v>20011</v>
      </c>
      <c r="F2133" s="8">
        <v>22000</v>
      </c>
      <c r="G2133" s="8">
        <f t="shared" si="132"/>
        <v>1989</v>
      </c>
      <c r="H2133" s="6">
        <v>40000</v>
      </c>
      <c r="I2133" t="s">
        <v>34</v>
      </c>
      <c r="J2133" t="s">
        <v>1647</v>
      </c>
      <c r="K2133" t="s">
        <v>96</v>
      </c>
      <c r="L2133" t="s">
        <v>73</v>
      </c>
      <c r="M2133" t="s">
        <v>1647</v>
      </c>
      <c r="N2133" s="6">
        <v>3</v>
      </c>
      <c r="O2133" t="str">
        <f t="shared" si="133"/>
        <v>Normal</v>
      </c>
      <c r="P2133" t="str">
        <f t="shared" si="134"/>
        <v>Duplicate ID</v>
      </c>
      <c r="Q2133" t="str">
        <f t="shared" si="135"/>
        <v>20,000-24,999</v>
      </c>
      <c r="R2133" s="6">
        <f>IF(COUNTIF($A$2:A2133,A2133)=1,1,0)</f>
        <v>0</v>
      </c>
    </row>
    <row r="2134" spans="1:18" x14ac:dyDescent="0.25">
      <c r="A2134" s="6">
        <v>1318</v>
      </c>
      <c r="B2134" s="7">
        <v>44220</v>
      </c>
      <c r="C2134" t="s">
        <v>1648</v>
      </c>
      <c r="D2134" s="6">
        <v>2015</v>
      </c>
      <c r="E2134" s="8">
        <v>25607</v>
      </c>
      <c r="F2134" s="8">
        <v>31000</v>
      </c>
      <c r="G2134" s="8">
        <f t="shared" si="132"/>
        <v>5393</v>
      </c>
      <c r="H2134" s="6">
        <v>15000</v>
      </c>
      <c r="I2134" t="s">
        <v>58</v>
      </c>
      <c r="J2134" t="s">
        <v>1647</v>
      </c>
      <c r="K2134" t="s">
        <v>96</v>
      </c>
      <c r="L2134" t="s">
        <v>73</v>
      </c>
      <c r="M2134" t="s">
        <v>98</v>
      </c>
      <c r="N2134" s="6">
        <v>0</v>
      </c>
      <c r="O2134" t="str">
        <f t="shared" si="133"/>
        <v>Normal</v>
      </c>
      <c r="P2134" t="str">
        <f t="shared" si="134"/>
        <v>Duplicate ID</v>
      </c>
      <c r="Q2134" t="str">
        <f t="shared" si="135"/>
        <v>25,000-30,000</v>
      </c>
      <c r="R2134" s="6">
        <f>IF(COUNTIF($A$2:A2134,A2134)=1,1,0)</f>
        <v>0</v>
      </c>
    </row>
    <row r="2135" spans="1:18" x14ac:dyDescent="0.25">
      <c r="A2135" s="6">
        <v>1143</v>
      </c>
      <c r="B2135" s="7">
        <v>44622</v>
      </c>
      <c r="C2135" t="s">
        <v>1648</v>
      </c>
      <c r="D2135" s="6">
        <v>2015</v>
      </c>
      <c r="E2135" s="8">
        <v>9198</v>
      </c>
      <c r="F2135" s="8">
        <v>12000</v>
      </c>
      <c r="G2135" s="8">
        <f t="shared" si="132"/>
        <v>2802</v>
      </c>
      <c r="H2135" s="6">
        <v>80000</v>
      </c>
      <c r="I2135" t="s">
        <v>58</v>
      </c>
      <c r="J2135" t="s">
        <v>35</v>
      </c>
      <c r="K2135" t="s">
        <v>36</v>
      </c>
      <c r="L2135" t="s">
        <v>54</v>
      </c>
      <c r="M2135" t="s">
        <v>126</v>
      </c>
      <c r="N2135" s="6">
        <v>0</v>
      </c>
      <c r="O2135" t="str">
        <f t="shared" si="133"/>
        <v>Normal</v>
      </c>
      <c r="P2135" t="str">
        <f t="shared" si="134"/>
        <v>Duplicate ID</v>
      </c>
      <c r="Q2135" t="str">
        <f t="shared" si="135"/>
        <v>5,000-9,999</v>
      </c>
      <c r="R2135" s="6">
        <f>IF(COUNTIF($A$2:A2135,A2135)=1,1,0)</f>
        <v>0</v>
      </c>
    </row>
    <row r="2136" spans="1:18" x14ac:dyDescent="0.25">
      <c r="A2136" s="6">
        <v>1534</v>
      </c>
      <c r="B2136" s="7">
        <v>44940</v>
      </c>
      <c r="C2136" t="s">
        <v>57</v>
      </c>
      <c r="D2136" s="6">
        <v>2021</v>
      </c>
      <c r="E2136" s="8">
        <v>3937</v>
      </c>
      <c r="F2136" s="8">
        <v>9000</v>
      </c>
      <c r="G2136" s="8">
        <f t="shared" si="132"/>
        <v>5063</v>
      </c>
      <c r="H2136" s="6">
        <v>60000</v>
      </c>
      <c r="I2136" t="s">
        <v>69</v>
      </c>
      <c r="J2136" t="s">
        <v>1647</v>
      </c>
      <c r="K2136" t="s">
        <v>36</v>
      </c>
      <c r="L2136" t="s">
        <v>48</v>
      </c>
      <c r="M2136" t="s">
        <v>98</v>
      </c>
      <c r="N2136" s="6">
        <v>0</v>
      </c>
      <c r="O2136" t="str">
        <f t="shared" si="133"/>
        <v>Normal</v>
      </c>
      <c r="P2136" t="str">
        <f t="shared" si="134"/>
        <v>Unique ID</v>
      </c>
      <c r="Q2136" t="str">
        <f t="shared" si="135"/>
        <v>0-4,999</v>
      </c>
      <c r="R2136" s="6">
        <f>IF(COUNTIF($A$2:A2136,A2136)=1,1,0)</f>
        <v>1</v>
      </c>
    </row>
    <row r="2137" spans="1:18" x14ac:dyDescent="0.25">
      <c r="A2137" s="6">
        <v>1235</v>
      </c>
      <c r="B2137" s="7">
        <v>44264</v>
      </c>
      <c r="C2137" t="s">
        <v>40</v>
      </c>
      <c r="D2137" s="6">
        <v>2016</v>
      </c>
      <c r="E2137" s="8">
        <v>23925</v>
      </c>
      <c r="F2137" s="8">
        <v>26000</v>
      </c>
      <c r="G2137" s="8">
        <f t="shared" si="132"/>
        <v>2075</v>
      </c>
      <c r="H2137" s="6">
        <v>120000</v>
      </c>
      <c r="I2137" t="s">
        <v>69</v>
      </c>
      <c r="J2137" t="s">
        <v>35</v>
      </c>
      <c r="K2137" t="s">
        <v>96</v>
      </c>
      <c r="L2137" t="s">
        <v>54</v>
      </c>
      <c r="M2137" t="s">
        <v>98</v>
      </c>
      <c r="N2137" s="6">
        <v>0</v>
      </c>
      <c r="O2137" t="str">
        <f t="shared" si="133"/>
        <v>Normal</v>
      </c>
      <c r="P2137" t="str">
        <f t="shared" si="134"/>
        <v>Duplicate ID</v>
      </c>
      <c r="Q2137" t="str">
        <f t="shared" si="135"/>
        <v>20,000-24,999</v>
      </c>
      <c r="R2137" s="6">
        <f>IF(COUNTIF($A$2:A2137,A2137)=1,1,0)</f>
        <v>0</v>
      </c>
    </row>
    <row r="2138" spans="1:18" x14ac:dyDescent="0.25">
      <c r="A2138" s="6">
        <v>1064</v>
      </c>
      <c r="B2138" s="7">
        <v>44295</v>
      </c>
      <c r="C2138" t="s">
        <v>57</v>
      </c>
      <c r="D2138" s="6">
        <v>2015</v>
      </c>
      <c r="E2138" s="8">
        <v>4465</v>
      </c>
      <c r="F2138" s="8">
        <v>9000</v>
      </c>
      <c r="G2138" s="8">
        <f t="shared" si="132"/>
        <v>4535</v>
      </c>
      <c r="H2138" s="6">
        <v>80000</v>
      </c>
      <c r="I2138" t="s">
        <v>58</v>
      </c>
      <c r="J2138" t="s">
        <v>35</v>
      </c>
      <c r="K2138" t="s">
        <v>1647</v>
      </c>
      <c r="L2138" t="s">
        <v>100</v>
      </c>
      <c r="M2138" t="s">
        <v>90</v>
      </c>
      <c r="N2138" s="6">
        <v>0</v>
      </c>
      <c r="O2138" t="str">
        <f t="shared" si="133"/>
        <v>Normal</v>
      </c>
      <c r="P2138" t="str">
        <f t="shared" si="134"/>
        <v>Duplicate ID</v>
      </c>
      <c r="Q2138" t="str">
        <f t="shared" si="135"/>
        <v>0-4,999</v>
      </c>
      <c r="R2138" s="6">
        <f>IF(COUNTIF($A$2:A2138,A2138)=1,1,0)</f>
        <v>0</v>
      </c>
    </row>
    <row r="2139" spans="1:18" x14ac:dyDescent="0.25">
      <c r="A2139" s="6">
        <v>1594</v>
      </c>
      <c r="B2139" s="7">
        <v>45211</v>
      </c>
      <c r="C2139" t="s">
        <v>57</v>
      </c>
      <c r="D2139" s="6">
        <v>2019</v>
      </c>
      <c r="E2139" s="8">
        <v>16839</v>
      </c>
      <c r="F2139" s="8">
        <v>22000</v>
      </c>
      <c r="G2139" s="8">
        <f t="shared" si="132"/>
        <v>5161</v>
      </c>
      <c r="H2139" s="6">
        <v>80000</v>
      </c>
      <c r="I2139" t="s">
        <v>58</v>
      </c>
      <c r="J2139" t="s">
        <v>35</v>
      </c>
      <c r="K2139" t="s">
        <v>36</v>
      </c>
      <c r="L2139" t="s">
        <v>54</v>
      </c>
      <c r="M2139" t="s">
        <v>45</v>
      </c>
      <c r="N2139" s="6" t="s">
        <v>1647</v>
      </c>
      <c r="O2139" t="str">
        <f t="shared" si="133"/>
        <v>Normal</v>
      </c>
      <c r="P2139" t="str">
        <f t="shared" si="134"/>
        <v>Duplicate ID</v>
      </c>
      <c r="Q2139" t="str">
        <f t="shared" si="135"/>
        <v>15,000-19,999</v>
      </c>
      <c r="R2139" s="6">
        <f>IF(COUNTIF($A$2:A2139,A2139)=1,1,0)</f>
        <v>0</v>
      </c>
    </row>
    <row r="2140" spans="1:18" x14ac:dyDescent="0.25">
      <c r="A2140" s="6">
        <v>1110</v>
      </c>
      <c r="B2140" s="7">
        <v>44989</v>
      </c>
      <c r="C2140" t="s">
        <v>1648</v>
      </c>
      <c r="D2140" s="6">
        <v>2022</v>
      </c>
      <c r="E2140" s="8">
        <v>3227</v>
      </c>
      <c r="F2140" s="8">
        <v>9000</v>
      </c>
      <c r="G2140" s="8">
        <f t="shared" si="132"/>
        <v>5773</v>
      </c>
      <c r="H2140" s="6">
        <v>15000</v>
      </c>
      <c r="I2140" t="s">
        <v>69</v>
      </c>
      <c r="J2140" t="s">
        <v>72</v>
      </c>
      <c r="K2140" t="s">
        <v>36</v>
      </c>
      <c r="L2140" t="s">
        <v>54</v>
      </c>
      <c r="M2140" t="s">
        <v>90</v>
      </c>
      <c r="N2140" s="6">
        <v>0</v>
      </c>
      <c r="O2140" t="str">
        <f t="shared" si="133"/>
        <v>Normal</v>
      </c>
      <c r="P2140" t="str">
        <f t="shared" si="134"/>
        <v>Duplicate ID</v>
      </c>
      <c r="Q2140" t="str">
        <f t="shared" si="135"/>
        <v>0-4,999</v>
      </c>
      <c r="R2140" s="6">
        <f>IF(COUNTIF($A$2:A2140,A2140)=1,1,0)</f>
        <v>0</v>
      </c>
    </row>
    <row r="2141" spans="1:18" x14ac:dyDescent="0.25">
      <c r="A2141" s="6">
        <v>1531</v>
      </c>
      <c r="B2141" s="7">
        <v>44209</v>
      </c>
      <c r="C2141" t="s">
        <v>40</v>
      </c>
      <c r="D2141" s="6">
        <v>2016</v>
      </c>
      <c r="E2141" s="8">
        <v>2542</v>
      </c>
      <c r="F2141" s="8">
        <v>7000</v>
      </c>
      <c r="G2141" s="8">
        <f t="shared" si="132"/>
        <v>4458</v>
      </c>
      <c r="H2141" s="6">
        <v>25000</v>
      </c>
      <c r="I2141" t="s">
        <v>41</v>
      </c>
      <c r="J2141" t="s">
        <v>72</v>
      </c>
      <c r="K2141" t="s">
        <v>96</v>
      </c>
      <c r="L2141" t="s">
        <v>48</v>
      </c>
      <c r="M2141" t="s">
        <v>126</v>
      </c>
      <c r="N2141" s="6" t="s">
        <v>1647</v>
      </c>
      <c r="O2141" t="str">
        <f t="shared" si="133"/>
        <v>Normal</v>
      </c>
      <c r="P2141" t="str">
        <f t="shared" si="134"/>
        <v>Duplicate ID</v>
      </c>
      <c r="Q2141" t="str">
        <f t="shared" si="135"/>
        <v>0-4,999</v>
      </c>
      <c r="R2141" s="6">
        <f>IF(COUNTIF($A$2:A2141,A2141)=1,1,0)</f>
        <v>0</v>
      </c>
    </row>
    <row r="2142" spans="1:18" x14ac:dyDescent="0.25">
      <c r="A2142" s="6">
        <v>1565</v>
      </c>
      <c r="B2142" s="7">
        <v>44275</v>
      </c>
      <c r="C2142" t="s">
        <v>40</v>
      </c>
      <c r="D2142" s="6"/>
      <c r="E2142" s="8">
        <v>27898</v>
      </c>
      <c r="F2142" s="8">
        <v>31000</v>
      </c>
      <c r="G2142" s="8">
        <f t="shared" si="132"/>
        <v>3102</v>
      </c>
      <c r="H2142" s="6">
        <v>15000</v>
      </c>
      <c r="I2142" t="s">
        <v>69</v>
      </c>
      <c r="J2142" t="s">
        <v>72</v>
      </c>
      <c r="K2142" t="s">
        <v>1647</v>
      </c>
      <c r="L2142" t="s">
        <v>54</v>
      </c>
      <c r="M2142" t="s">
        <v>126</v>
      </c>
      <c r="N2142" s="6">
        <v>3</v>
      </c>
      <c r="O2142" t="str">
        <f t="shared" si="133"/>
        <v>Normal</v>
      </c>
      <c r="P2142" t="str">
        <f t="shared" si="134"/>
        <v>Duplicate ID</v>
      </c>
      <c r="Q2142" t="str">
        <f t="shared" si="135"/>
        <v>25,000-30,000</v>
      </c>
      <c r="R2142" s="6">
        <f>IF(COUNTIF($A$2:A2142,A2142)=1,1,0)</f>
        <v>0</v>
      </c>
    </row>
    <row r="2143" spans="1:18" x14ac:dyDescent="0.25">
      <c r="A2143" s="6">
        <v>1134</v>
      </c>
      <c r="B2143" s="7">
        <v>45044</v>
      </c>
      <c r="C2143" t="s">
        <v>40</v>
      </c>
      <c r="D2143" s="6"/>
      <c r="E2143" s="8">
        <v>20716</v>
      </c>
      <c r="F2143" s="8">
        <v>22000</v>
      </c>
      <c r="G2143" s="8">
        <f t="shared" si="132"/>
        <v>1284</v>
      </c>
      <c r="H2143" s="6">
        <v>80000</v>
      </c>
      <c r="I2143" t="s">
        <v>34</v>
      </c>
      <c r="J2143" t="s">
        <v>1647</v>
      </c>
      <c r="K2143" t="s">
        <v>1647</v>
      </c>
      <c r="L2143" t="s">
        <v>100</v>
      </c>
      <c r="M2143" t="s">
        <v>1647</v>
      </c>
      <c r="N2143" s="6">
        <v>2</v>
      </c>
      <c r="O2143" t="str">
        <f t="shared" si="133"/>
        <v>Normal</v>
      </c>
      <c r="P2143" t="str">
        <f t="shared" si="134"/>
        <v>Duplicate ID</v>
      </c>
      <c r="Q2143" t="str">
        <f t="shared" si="135"/>
        <v>20,000-24,999</v>
      </c>
      <c r="R2143" s="6">
        <f>IF(COUNTIF($A$2:A2143,A2143)=1,1,0)</f>
        <v>0</v>
      </c>
    </row>
    <row r="2144" spans="1:18" x14ac:dyDescent="0.25">
      <c r="A2144" s="6">
        <v>1080</v>
      </c>
      <c r="B2144" s="7">
        <v>44758</v>
      </c>
      <c r="C2144" t="s">
        <v>40</v>
      </c>
      <c r="D2144" s="6">
        <v>2021</v>
      </c>
      <c r="E2144" s="8">
        <v>12017</v>
      </c>
      <c r="F2144" s="8">
        <v>18000</v>
      </c>
      <c r="G2144" s="8">
        <f t="shared" si="132"/>
        <v>5983</v>
      </c>
      <c r="H2144" s="6">
        <v>25000</v>
      </c>
      <c r="I2144" t="s">
        <v>69</v>
      </c>
      <c r="J2144" t="s">
        <v>1647</v>
      </c>
      <c r="K2144" t="s">
        <v>96</v>
      </c>
      <c r="L2144" t="s">
        <v>48</v>
      </c>
      <c r="M2144" t="s">
        <v>98</v>
      </c>
      <c r="N2144" s="6">
        <v>3</v>
      </c>
      <c r="O2144" t="str">
        <f t="shared" si="133"/>
        <v>Normal</v>
      </c>
      <c r="P2144" t="str">
        <f t="shared" si="134"/>
        <v>Duplicate ID</v>
      </c>
      <c r="Q2144" t="str">
        <f t="shared" si="135"/>
        <v>10,000-14,999</v>
      </c>
      <c r="R2144" s="6">
        <f>IF(COUNTIF($A$2:A2144,A2144)=1,1,0)</f>
        <v>0</v>
      </c>
    </row>
    <row r="2145" spans="1:18" x14ac:dyDescent="0.25">
      <c r="A2145" s="6">
        <v>1294</v>
      </c>
      <c r="B2145" s="7">
        <v>45289</v>
      </c>
      <c r="C2145" t="s">
        <v>57</v>
      </c>
      <c r="D2145" s="6">
        <v>2019</v>
      </c>
      <c r="E2145" s="8">
        <v>8863</v>
      </c>
      <c r="F2145" s="8">
        <v>15000</v>
      </c>
      <c r="G2145" s="8">
        <f t="shared" si="132"/>
        <v>6137</v>
      </c>
      <c r="H2145" s="6">
        <v>120000</v>
      </c>
      <c r="I2145" t="s">
        <v>69</v>
      </c>
      <c r="J2145" t="s">
        <v>35</v>
      </c>
      <c r="K2145" t="s">
        <v>36</v>
      </c>
      <c r="L2145" t="s">
        <v>73</v>
      </c>
      <c r="M2145" t="s">
        <v>98</v>
      </c>
      <c r="N2145" s="6">
        <v>2</v>
      </c>
      <c r="O2145" t="str">
        <f t="shared" si="133"/>
        <v>Normal</v>
      </c>
      <c r="P2145" t="str">
        <f t="shared" si="134"/>
        <v>Duplicate ID</v>
      </c>
      <c r="Q2145" t="str">
        <f t="shared" si="135"/>
        <v>5,000-9,999</v>
      </c>
      <c r="R2145" s="6">
        <f>IF(COUNTIF($A$2:A2145,A2145)=1,1,0)</f>
        <v>0</v>
      </c>
    </row>
    <row r="2146" spans="1:18" x14ac:dyDescent="0.25">
      <c r="A2146" s="6">
        <v>1384</v>
      </c>
      <c r="B2146" s="7">
        <v>44798</v>
      </c>
      <c r="C2146" t="s">
        <v>1648</v>
      </c>
      <c r="D2146" s="6">
        <v>2016</v>
      </c>
      <c r="E2146" s="8">
        <v>21155</v>
      </c>
      <c r="F2146" s="8">
        <v>26000</v>
      </c>
      <c r="G2146" s="8">
        <f t="shared" si="132"/>
        <v>4845</v>
      </c>
      <c r="H2146" s="6">
        <v>15000</v>
      </c>
      <c r="I2146" t="s">
        <v>58</v>
      </c>
      <c r="J2146" t="s">
        <v>72</v>
      </c>
      <c r="K2146" t="s">
        <v>36</v>
      </c>
      <c r="L2146" t="s">
        <v>48</v>
      </c>
      <c r="M2146" t="s">
        <v>98</v>
      </c>
      <c r="N2146" s="6">
        <v>0</v>
      </c>
      <c r="O2146" t="str">
        <f t="shared" si="133"/>
        <v>Normal</v>
      </c>
      <c r="P2146" t="str">
        <f t="shared" si="134"/>
        <v>Duplicate ID</v>
      </c>
      <c r="Q2146" t="str">
        <f t="shared" si="135"/>
        <v>20,000-24,999</v>
      </c>
      <c r="R2146" s="6">
        <f>IF(COUNTIF($A$2:A2146,A2146)=1,1,0)</f>
        <v>0</v>
      </c>
    </row>
    <row r="2147" spans="1:18" x14ac:dyDescent="0.25">
      <c r="A2147" s="6">
        <v>1408</v>
      </c>
      <c r="B2147" s="7">
        <v>45303</v>
      </c>
      <c r="C2147" t="s">
        <v>32</v>
      </c>
      <c r="D2147" s="6">
        <v>2020</v>
      </c>
      <c r="E2147" s="8">
        <v>19109</v>
      </c>
      <c r="F2147" s="8">
        <v>26000</v>
      </c>
      <c r="G2147" s="8">
        <f t="shared" si="132"/>
        <v>6891</v>
      </c>
      <c r="H2147" s="6">
        <v>25000</v>
      </c>
      <c r="I2147" t="s">
        <v>58</v>
      </c>
      <c r="J2147" t="s">
        <v>72</v>
      </c>
      <c r="K2147" t="s">
        <v>96</v>
      </c>
      <c r="L2147" t="s">
        <v>1647</v>
      </c>
      <c r="M2147" t="s">
        <v>98</v>
      </c>
      <c r="N2147" s="6">
        <v>3</v>
      </c>
      <c r="O2147" t="str">
        <f t="shared" si="133"/>
        <v>Normal</v>
      </c>
      <c r="P2147" t="str">
        <f t="shared" si="134"/>
        <v>Duplicate ID</v>
      </c>
      <c r="Q2147" t="str">
        <f t="shared" si="135"/>
        <v>15,000-19,999</v>
      </c>
      <c r="R2147" s="6">
        <f>IF(COUNTIF($A$2:A2147,A2147)=1,1,0)</f>
        <v>0</v>
      </c>
    </row>
    <row r="2148" spans="1:18" x14ac:dyDescent="0.25">
      <c r="A2148" s="6">
        <v>1509</v>
      </c>
      <c r="B2148" s="7">
        <v>44519</v>
      </c>
      <c r="C2148" t="s">
        <v>40</v>
      </c>
      <c r="D2148" s="6">
        <v>2015</v>
      </c>
      <c r="E2148" s="8">
        <v>21900</v>
      </c>
      <c r="F2148" s="8">
        <v>26000</v>
      </c>
      <c r="G2148" s="8">
        <f t="shared" si="132"/>
        <v>4100</v>
      </c>
      <c r="H2148" s="6">
        <v>40000</v>
      </c>
      <c r="I2148" t="s">
        <v>58</v>
      </c>
      <c r="J2148" t="s">
        <v>35</v>
      </c>
      <c r="K2148" t="s">
        <v>96</v>
      </c>
      <c r="L2148" t="s">
        <v>48</v>
      </c>
      <c r="M2148" t="s">
        <v>90</v>
      </c>
      <c r="N2148" s="6">
        <v>1</v>
      </c>
      <c r="O2148" t="str">
        <f t="shared" si="133"/>
        <v>Normal</v>
      </c>
      <c r="P2148" t="str">
        <f t="shared" si="134"/>
        <v>Duplicate ID</v>
      </c>
      <c r="Q2148" t="str">
        <f t="shared" si="135"/>
        <v>20,000-24,999</v>
      </c>
      <c r="R2148" s="6">
        <f>IF(COUNTIF($A$2:A2148,A2148)=1,1,0)</f>
        <v>0</v>
      </c>
    </row>
    <row r="2149" spans="1:18" x14ac:dyDescent="0.25">
      <c r="A2149" s="6">
        <v>1207</v>
      </c>
      <c r="B2149" s="7">
        <v>44564</v>
      </c>
      <c r="C2149" t="s">
        <v>40</v>
      </c>
      <c r="D2149" s="6">
        <v>2016</v>
      </c>
      <c r="E2149" s="8">
        <v>18760</v>
      </c>
      <c r="F2149" s="8">
        <v>22000</v>
      </c>
      <c r="G2149" s="8">
        <f t="shared" si="132"/>
        <v>3240</v>
      </c>
      <c r="H2149" s="6">
        <v>25000</v>
      </c>
      <c r="I2149" t="s">
        <v>41</v>
      </c>
      <c r="J2149" t="s">
        <v>35</v>
      </c>
      <c r="K2149" t="s">
        <v>1647</v>
      </c>
      <c r="L2149" t="s">
        <v>54</v>
      </c>
      <c r="M2149" t="s">
        <v>1647</v>
      </c>
      <c r="N2149" s="6" t="s">
        <v>1647</v>
      </c>
      <c r="O2149" t="str">
        <f t="shared" si="133"/>
        <v>Normal</v>
      </c>
      <c r="P2149" t="str">
        <f t="shared" si="134"/>
        <v>Duplicate ID</v>
      </c>
      <c r="Q2149" t="str">
        <f t="shared" si="135"/>
        <v>15,000-19,999</v>
      </c>
      <c r="R2149" s="6">
        <f>IF(COUNTIF($A$2:A2149,A2149)=1,1,0)</f>
        <v>0</v>
      </c>
    </row>
    <row r="2150" spans="1:18" x14ac:dyDescent="0.25">
      <c r="A2150" s="6">
        <v>1110</v>
      </c>
      <c r="B2150" s="7">
        <v>44565</v>
      </c>
      <c r="C2150" t="s">
        <v>51</v>
      </c>
      <c r="D2150" s="6"/>
      <c r="E2150" s="8">
        <v>21293</v>
      </c>
      <c r="F2150" s="8">
        <v>26000</v>
      </c>
      <c r="G2150" s="8">
        <f t="shared" si="132"/>
        <v>4707</v>
      </c>
      <c r="H2150" s="6">
        <v>15000</v>
      </c>
      <c r="I2150" t="s">
        <v>58</v>
      </c>
      <c r="J2150" t="s">
        <v>35</v>
      </c>
      <c r="K2150" t="s">
        <v>96</v>
      </c>
      <c r="L2150" t="s">
        <v>100</v>
      </c>
      <c r="M2150" t="s">
        <v>45</v>
      </c>
      <c r="N2150" s="6">
        <v>1</v>
      </c>
      <c r="O2150" t="str">
        <f t="shared" si="133"/>
        <v>Normal</v>
      </c>
      <c r="P2150" t="str">
        <f t="shared" si="134"/>
        <v>Duplicate ID</v>
      </c>
      <c r="Q2150" t="str">
        <f t="shared" si="135"/>
        <v>20,000-24,999</v>
      </c>
      <c r="R2150" s="6">
        <f>IF(COUNTIF($A$2:A2150,A2150)=1,1,0)</f>
        <v>0</v>
      </c>
    </row>
    <row r="2151" spans="1:18" x14ac:dyDescent="0.25">
      <c r="A2151" s="6">
        <v>1423</v>
      </c>
      <c r="B2151" s="7">
        <v>44957</v>
      </c>
      <c r="C2151" t="s">
        <v>40</v>
      </c>
      <c r="D2151" s="6">
        <v>2017</v>
      </c>
      <c r="E2151" s="8">
        <v>5771</v>
      </c>
      <c r="F2151" s="8">
        <v>9000</v>
      </c>
      <c r="G2151" s="8">
        <f t="shared" si="132"/>
        <v>3229</v>
      </c>
      <c r="H2151" s="6">
        <v>80000</v>
      </c>
      <c r="I2151" t="s">
        <v>58</v>
      </c>
      <c r="J2151" t="s">
        <v>72</v>
      </c>
      <c r="K2151" t="s">
        <v>36</v>
      </c>
      <c r="L2151" t="s">
        <v>100</v>
      </c>
      <c r="M2151" t="s">
        <v>90</v>
      </c>
      <c r="N2151" s="6">
        <v>1</v>
      </c>
      <c r="O2151" t="str">
        <f t="shared" si="133"/>
        <v>Normal</v>
      </c>
      <c r="P2151" t="str">
        <f t="shared" si="134"/>
        <v>Duplicate ID</v>
      </c>
      <c r="Q2151" t="str">
        <f t="shared" si="135"/>
        <v>5,000-9,999</v>
      </c>
      <c r="R2151" s="6">
        <f>IF(COUNTIF($A$2:A2151,A2151)=1,1,0)</f>
        <v>0</v>
      </c>
    </row>
    <row r="2152" spans="1:18" x14ac:dyDescent="0.25">
      <c r="A2152" s="6">
        <v>1264</v>
      </c>
      <c r="B2152" s="7">
        <v>44751</v>
      </c>
      <c r="C2152" t="s">
        <v>32</v>
      </c>
      <c r="D2152" s="6">
        <v>2014</v>
      </c>
      <c r="E2152" s="8">
        <v>3260</v>
      </c>
      <c r="F2152" s="8">
        <v>9000</v>
      </c>
      <c r="G2152" s="8">
        <f t="shared" si="132"/>
        <v>5740</v>
      </c>
      <c r="H2152" s="6">
        <v>25000</v>
      </c>
      <c r="I2152" t="s">
        <v>69</v>
      </c>
      <c r="J2152" t="s">
        <v>35</v>
      </c>
      <c r="K2152" t="s">
        <v>96</v>
      </c>
      <c r="L2152" t="s">
        <v>73</v>
      </c>
      <c r="M2152" t="s">
        <v>1647</v>
      </c>
      <c r="N2152" s="6">
        <v>3</v>
      </c>
      <c r="O2152" t="str">
        <f t="shared" si="133"/>
        <v>Normal</v>
      </c>
      <c r="P2152" t="str">
        <f t="shared" si="134"/>
        <v>Duplicate ID</v>
      </c>
      <c r="Q2152" t="str">
        <f t="shared" si="135"/>
        <v>0-4,999</v>
      </c>
      <c r="R2152" s="6">
        <f>IF(COUNTIF($A$2:A2152,A2152)=1,1,0)</f>
        <v>0</v>
      </c>
    </row>
    <row r="2153" spans="1:18" x14ac:dyDescent="0.25">
      <c r="A2153" s="6">
        <v>1493</v>
      </c>
      <c r="B2153" s="7">
        <v>45150</v>
      </c>
      <c r="C2153" t="s">
        <v>119</v>
      </c>
      <c r="D2153" s="6">
        <v>2018</v>
      </c>
      <c r="E2153" s="8">
        <v>8797</v>
      </c>
      <c r="F2153" s="8">
        <v>15000</v>
      </c>
      <c r="G2153" s="8">
        <f t="shared" si="132"/>
        <v>6203</v>
      </c>
      <c r="H2153" s="6">
        <v>120000</v>
      </c>
      <c r="I2153" t="s">
        <v>69</v>
      </c>
      <c r="J2153" t="s">
        <v>35</v>
      </c>
      <c r="K2153" t="s">
        <v>36</v>
      </c>
      <c r="L2153" t="s">
        <v>73</v>
      </c>
      <c r="M2153" t="s">
        <v>126</v>
      </c>
      <c r="N2153" s="6">
        <v>3</v>
      </c>
      <c r="O2153" t="str">
        <f t="shared" si="133"/>
        <v>Normal</v>
      </c>
      <c r="P2153" t="str">
        <f t="shared" si="134"/>
        <v>Duplicate ID</v>
      </c>
      <c r="Q2153" t="str">
        <f t="shared" si="135"/>
        <v>5,000-9,999</v>
      </c>
      <c r="R2153" s="6">
        <f>IF(COUNTIF($A$2:A2153,A2153)=1,1,0)</f>
        <v>0</v>
      </c>
    </row>
    <row r="2154" spans="1:18" x14ac:dyDescent="0.25">
      <c r="A2154" s="6">
        <v>1529</v>
      </c>
      <c r="B2154" s="7">
        <v>45355</v>
      </c>
      <c r="C2154" t="s">
        <v>32</v>
      </c>
      <c r="D2154" s="6">
        <v>2017</v>
      </c>
      <c r="E2154" s="8">
        <v>3969</v>
      </c>
      <c r="F2154" s="8">
        <v>9000</v>
      </c>
      <c r="G2154" s="8">
        <f t="shared" si="132"/>
        <v>5031</v>
      </c>
      <c r="H2154" s="6">
        <v>25000</v>
      </c>
      <c r="I2154" t="s">
        <v>41</v>
      </c>
      <c r="J2154" t="s">
        <v>1647</v>
      </c>
      <c r="K2154" t="s">
        <v>96</v>
      </c>
      <c r="L2154" t="s">
        <v>100</v>
      </c>
      <c r="M2154" t="s">
        <v>45</v>
      </c>
      <c r="N2154" s="6">
        <v>1</v>
      </c>
      <c r="O2154" t="str">
        <f t="shared" si="133"/>
        <v>Normal</v>
      </c>
      <c r="P2154" t="str">
        <f t="shared" si="134"/>
        <v>Duplicate ID</v>
      </c>
      <c r="Q2154" t="str">
        <f t="shared" si="135"/>
        <v>0-4,999</v>
      </c>
      <c r="R2154" s="6">
        <f>IF(COUNTIF($A$2:A2154,A2154)=1,1,0)</f>
        <v>0</v>
      </c>
    </row>
    <row r="2155" spans="1:18" x14ac:dyDescent="0.25">
      <c r="A2155" s="6">
        <v>1222</v>
      </c>
      <c r="B2155" s="7">
        <v>45088</v>
      </c>
      <c r="C2155" t="s">
        <v>1648</v>
      </c>
      <c r="D2155" s="6">
        <v>2019</v>
      </c>
      <c r="E2155" s="8">
        <v>24950</v>
      </c>
      <c r="F2155" s="8">
        <v>31000</v>
      </c>
      <c r="G2155" s="8">
        <f t="shared" si="132"/>
        <v>6050</v>
      </c>
      <c r="H2155" s="6">
        <v>80000</v>
      </c>
      <c r="I2155" t="s">
        <v>69</v>
      </c>
      <c r="J2155" t="s">
        <v>72</v>
      </c>
      <c r="K2155" t="s">
        <v>36</v>
      </c>
      <c r="L2155" t="s">
        <v>48</v>
      </c>
      <c r="M2155" t="s">
        <v>90</v>
      </c>
      <c r="N2155" s="6">
        <v>2</v>
      </c>
      <c r="O2155" t="str">
        <f t="shared" si="133"/>
        <v>Normal</v>
      </c>
      <c r="P2155" t="str">
        <f t="shared" si="134"/>
        <v>Duplicate ID</v>
      </c>
      <c r="Q2155" t="str">
        <f t="shared" si="135"/>
        <v>20,000-24,999</v>
      </c>
      <c r="R2155" s="6">
        <f>IF(COUNTIF($A$2:A2155,A2155)=1,1,0)</f>
        <v>0</v>
      </c>
    </row>
    <row r="2156" spans="1:18" x14ac:dyDescent="0.25">
      <c r="A2156" s="6">
        <v>1318</v>
      </c>
      <c r="B2156" s="7">
        <v>44841</v>
      </c>
      <c r="C2156" t="s">
        <v>32</v>
      </c>
      <c r="D2156" s="6">
        <v>2017</v>
      </c>
      <c r="E2156" s="8">
        <v>28779</v>
      </c>
      <c r="F2156" s="8">
        <v>31000</v>
      </c>
      <c r="G2156" s="8">
        <f t="shared" si="132"/>
        <v>2221</v>
      </c>
      <c r="H2156" s="6">
        <v>120000</v>
      </c>
      <c r="I2156" t="s">
        <v>58</v>
      </c>
      <c r="J2156" t="s">
        <v>72</v>
      </c>
      <c r="K2156" t="s">
        <v>36</v>
      </c>
      <c r="L2156" t="s">
        <v>73</v>
      </c>
      <c r="M2156" t="s">
        <v>98</v>
      </c>
      <c r="N2156" s="6" t="s">
        <v>1647</v>
      </c>
      <c r="O2156" t="str">
        <f t="shared" si="133"/>
        <v>Normal</v>
      </c>
      <c r="P2156" t="str">
        <f t="shared" si="134"/>
        <v>Duplicate ID</v>
      </c>
      <c r="Q2156" t="str">
        <f t="shared" si="135"/>
        <v>25,000-30,000</v>
      </c>
      <c r="R2156" s="6">
        <f>IF(COUNTIF($A$2:A2156,A2156)=1,1,0)</f>
        <v>0</v>
      </c>
    </row>
    <row r="2157" spans="1:18" x14ac:dyDescent="0.25">
      <c r="A2157" s="6">
        <v>1257</v>
      </c>
      <c r="B2157" s="7">
        <v>44708</v>
      </c>
      <c r="C2157" t="s">
        <v>57</v>
      </c>
      <c r="D2157" s="6">
        <v>2022</v>
      </c>
      <c r="E2157" s="8">
        <v>5623</v>
      </c>
      <c r="F2157" s="8">
        <v>7000</v>
      </c>
      <c r="G2157" s="8">
        <f t="shared" si="132"/>
        <v>1377</v>
      </c>
      <c r="H2157" s="6">
        <v>40000</v>
      </c>
      <c r="I2157" t="s">
        <v>58</v>
      </c>
      <c r="J2157" t="s">
        <v>1647</v>
      </c>
      <c r="K2157" t="s">
        <v>96</v>
      </c>
      <c r="L2157" t="s">
        <v>100</v>
      </c>
      <c r="M2157" t="s">
        <v>126</v>
      </c>
      <c r="N2157" s="6">
        <v>2</v>
      </c>
      <c r="O2157" t="str">
        <f t="shared" si="133"/>
        <v>Normal</v>
      </c>
      <c r="P2157" t="str">
        <f t="shared" si="134"/>
        <v>Duplicate ID</v>
      </c>
      <c r="Q2157" t="str">
        <f t="shared" si="135"/>
        <v>5,000-9,999</v>
      </c>
      <c r="R2157" s="6">
        <f>IF(COUNTIF($A$2:A2157,A2157)=1,1,0)</f>
        <v>0</v>
      </c>
    </row>
    <row r="2158" spans="1:18" x14ac:dyDescent="0.25">
      <c r="A2158" s="6">
        <v>1045</v>
      </c>
      <c r="B2158" s="7">
        <v>44972</v>
      </c>
      <c r="C2158" t="s">
        <v>1648</v>
      </c>
      <c r="D2158" s="6">
        <v>2020</v>
      </c>
      <c r="E2158" s="8">
        <v>26890</v>
      </c>
      <c r="F2158" s="8">
        <v>31000</v>
      </c>
      <c r="G2158" s="8">
        <f t="shared" si="132"/>
        <v>4110</v>
      </c>
      <c r="H2158" s="6">
        <v>60000</v>
      </c>
      <c r="I2158" t="s">
        <v>69</v>
      </c>
      <c r="J2158" t="s">
        <v>72</v>
      </c>
      <c r="K2158" t="s">
        <v>1647</v>
      </c>
      <c r="L2158" t="s">
        <v>48</v>
      </c>
      <c r="M2158" t="s">
        <v>126</v>
      </c>
      <c r="N2158" s="6">
        <v>1</v>
      </c>
      <c r="O2158" t="str">
        <f t="shared" si="133"/>
        <v>Normal</v>
      </c>
      <c r="P2158" t="str">
        <f t="shared" si="134"/>
        <v>Duplicate ID</v>
      </c>
      <c r="Q2158" t="str">
        <f t="shared" si="135"/>
        <v>25,000-30,000</v>
      </c>
      <c r="R2158" s="6">
        <f>IF(COUNTIF($A$2:A2158,A2158)=1,1,0)</f>
        <v>0</v>
      </c>
    </row>
    <row r="2159" spans="1:18" x14ac:dyDescent="0.25">
      <c r="A2159" s="6">
        <v>1220</v>
      </c>
      <c r="B2159" s="7">
        <v>44344</v>
      </c>
      <c r="C2159" t="s">
        <v>40</v>
      </c>
      <c r="D2159" s="6">
        <v>2018</v>
      </c>
      <c r="E2159" s="8">
        <v>28300</v>
      </c>
      <c r="F2159" s="8">
        <v>31000</v>
      </c>
      <c r="G2159" s="8">
        <f t="shared" si="132"/>
        <v>2700</v>
      </c>
      <c r="H2159" s="6">
        <v>40000</v>
      </c>
      <c r="I2159" t="s">
        <v>58</v>
      </c>
      <c r="J2159" t="s">
        <v>35</v>
      </c>
      <c r="K2159" t="s">
        <v>96</v>
      </c>
      <c r="L2159" t="s">
        <v>100</v>
      </c>
      <c r="M2159" t="s">
        <v>98</v>
      </c>
      <c r="N2159" s="6">
        <v>1</v>
      </c>
      <c r="O2159" t="str">
        <f t="shared" si="133"/>
        <v>Normal</v>
      </c>
      <c r="P2159" t="str">
        <f t="shared" si="134"/>
        <v>Duplicate ID</v>
      </c>
      <c r="Q2159" t="str">
        <f t="shared" si="135"/>
        <v>25,000-30,000</v>
      </c>
      <c r="R2159" s="6">
        <f>IF(COUNTIF($A$2:A2159,A2159)=1,1,0)</f>
        <v>0</v>
      </c>
    </row>
    <row r="2160" spans="1:18" x14ac:dyDescent="0.25">
      <c r="A2160" s="6">
        <v>1263</v>
      </c>
      <c r="B2160" s="7">
        <v>44365</v>
      </c>
      <c r="C2160" t="s">
        <v>32</v>
      </c>
      <c r="D2160" s="6">
        <v>2018</v>
      </c>
      <c r="E2160" s="8">
        <v>3579</v>
      </c>
      <c r="F2160" s="8">
        <v>7000</v>
      </c>
      <c r="G2160" s="8">
        <f t="shared" si="132"/>
        <v>3421</v>
      </c>
      <c r="H2160" s="6">
        <v>60000</v>
      </c>
      <c r="I2160" t="s">
        <v>41</v>
      </c>
      <c r="J2160" t="s">
        <v>35</v>
      </c>
      <c r="K2160" t="s">
        <v>96</v>
      </c>
      <c r="L2160" t="s">
        <v>73</v>
      </c>
      <c r="M2160" t="s">
        <v>45</v>
      </c>
      <c r="N2160" s="6">
        <v>2</v>
      </c>
      <c r="O2160" t="str">
        <f t="shared" si="133"/>
        <v>Normal</v>
      </c>
      <c r="P2160" t="str">
        <f t="shared" si="134"/>
        <v>Duplicate ID</v>
      </c>
      <c r="Q2160" t="str">
        <f t="shared" si="135"/>
        <v>0-4,999</v>
      </c>
      <c r="R2160" s="6">
        <f>IF(COUNTIF($A$2:A2160,A2160)=1,1,0)</f>
        <v>0</v>
      </c>
    </row>
    <row r="2161" spans="1:18" x14ac:dyDescent="0.25">
      <c r="A2161" s="6">
        <v>1319</v>
      </c>
      <c r="B2161" s="7">
        <v>45141</v>
      </c>
      <c r="C2161" t="s">
        <v>79</v>
      </c>
      <c r="D2161" s="6">
        <v>2016</v>
      </c>
      <c r="E2161" s="8">
        <v>22113</v>
      </c>
      <c r="F2161" s="8">
        <v>26000</v>
      </c>
      <c r="G2161" s="8">
        <f t="shared" si="132"/>
        <v>3887</v>
      </c>
      <c r="H2161" s="6">
        <v>40000</v>
      </c>
      <c r="I2161" t="s">
        <v>1647</v>
      </c>
      <c r="J2161" t="s">
        <v>35</v>
      </c>
      <c r="K2161" t="s">
        <v>36</v>
      </c>
      <c r="L2161" t="s">
        <v>54</v>
      </c>
      <c r="M2161" t="s">
        <v>90</v>
      </c>
      <c r="N2161" s="6">
        <v>1</v>
      </c>
      <c r="O2161" t="str">
        <f t="shared" si="133"/>
        <v>Normal</v>
      </c>
      <c r="P2161" t="str">
        <f t="shared" si="134"/>
        <v>Duplicate ID</v>
      </c>
      <c r="Q2161" t="str">
        <f t="shared" si="135"/>
        <v>20,000-24,999</v>
      </c>
      <c r="R2161" s="6">
        <f>IF(COUNTIF($A$2:A2161,A2161)=1,1,0)</f>
        <v>0</v>
      </c>
    </row>
    <row r="2162" spans="1:18" x14ac:dyDescent="0.25">
      <c r="A2162" s="6">
        <v>1478</v>
      </c>
      <c r="B2162" s="7">
        <v>45082</v>
      </c>
      <c r="C2162" t="s">
        <v>119</v>
      </c>
      <c r="D2162" s="6">
        <v>2018</v>
      </c>
      <c r="E2162" s="8">
        <v>24903</v>
      </c>
      <c r="F2162" s="8">
        <v>31000</v>
      </c>
      <c r="G2162" s="8">
        <f t="shared" si="132"/>
        <v>6097</v>
      </c>
      <c r="H2162" s="6">
        <v>25000</v>
      </c>
      <c r="I2162" t="s">
        <v>58</v>
      </c>
      <c r="J2162" t="s">
        <v>72</v>
      </c>
      <c r="K2162" t="s">
        <v>36</v>
      </c>
      <c r="L2162" t="s">
        <v>54</v>
      </c>
      <c r="M2162" t="s">
        <v>45</v>
      </c>
      <c r="N2162" s="6" t="s">
        <v>1647</v>
      </c>
      <c r="O2162" t="str">
        <f t="shared" si="133"/>
        <v>Normal</v>
      </c>
      <c r="P2162" t="str">
        <f t="shared" si="134"/>
        <v>Duplicate ID</v>
      </c>
      <c r="Q2162" t="str">
        <f t="shared" si="135"/>
        <v>20,000-24,999</v>
      </c>
      <c r="R2162" s="6">
        <f>IF(COUNTIF($A$2:A2162,A2162)=1,1,0)</f>
        <v>0</v>
      </c>
    </row>
    <row r="2163" spans="1:18" x14ac:dyDescent="0.25">
      <c r="A2163" s="6">
        <v>1070</v>
      </c>
      <c r="B2163" s="7">
        <v>45043</v>
      </c>
      <c r="C2163" t="s">
        <v>1648</v>
      </c>
      <c r="D2163" s="6">
        <v>2019</v>
      </c>
      <c r="E2163" s="8">
        <v>15127</v>
      </c>
      <c r="F2163" s="8">
        <v>22000</v>
      </c>
      <c r="G2163" s="8">
        <f t="shared" si="132"/>
        <v>6873</v>
      </c>
      <c r="H2163" s="6">
        <v>80000</v>
      </c>
      <c r="I2163" t="s">
        <v>1647</v>
      </c>
      <c r="J2163" t="s">
        <v>1647</v>
      </c>
      <c r="K2163" t="s">
        <v>96</v>
      </c>
      <c r="L2163" t="s">
        <v>73</v>
      </c>
      <c r="M2163" t="s">
        <v>90</v>
      </c>
      <c r="N2163" s="6">
        <v>0</v>
      </c>
      <c r="O2163" t="str">
        <f t="shared" si="133"/>
        <v>Normal</v>
      </c>
      <c r="P2163" t="str">
        <f t="shared" si="134"/>
        <v>Duplicate ID</v>
      </c>
      <c r="Q2163" t="str">
        <f t="shared" si="135"/>
        <v>15,000-19,999</v>
      </c>
      <c r="R2163" s="6">
        <f>IF(COUNTIF($A$2:A2163,A2163)=1,1,0)</f>
        <v>0</v>
      </c>
    </row>
    <row r="2164" spans="1:18" x14ac:dyDescent="0.25">
      <c r="A2164" s="6">
        <v>1222</v>
      </c>
      <c r="B2164" s="7">
        <v>44719</v>
      </c>
      <c r="C2164" t="s">
        <v>79</v>
      </c>
      <c r="D2164" s="6"/>
      <c r="E2164" s="8">
        <v>6028</v>
      </c>
      <c r="F2164" s="8">
        <v>12000</v>
      </c>
      <c r="G2164" s="8">
        <f t="shared" si="132"/>
        <v>5972</v>
      </c>
      <c r="H2164" s="6">
        <v>60000</v>
      </c>
      <c r="I2164" t="s">
        <v>58</v>
      </c>
      <c r="J2164" t="s">
        <v>72</v>
      </c>
      <c r="K2164" t="s">
        <v>96</v>
      </c>
      <c r="L2164" t="s">
        <v>73</v>
      </c>
      <c r="M2164" t="s">
        <v>90</v>
      </c>
      <c r="N2164" s="6">
        <v>1</v>
      </c>
      <c r="O2164" t="str">
        <f t="shared" si="133"/>
        <v>Normal</v>
      </c>
      <c r="P2164" t="str">
        <f t="shared" si="134"/>
        <v>Duplicate ID</v>
      </c>
      <c r="Q2164" t="str">
        <f t="shared" si="135"/>
        <v>5,000-9,999</v>
      </c>
      <c r="R2164" s="6">
        <f>IF(COUNTIF($A$2:A2164,A2164)=1,1,0)</f>
        <v>0</v>
      </c>
    </row>
    <row r="2165" spans="1:18" x14ac:dyDescent="0.25">
      <c r="A2165" s="6">
        <v>1270</v>
      </c>
      <c r="B2165" s="7">
        <v>44855</v>
      </c>
      <c r="C2165" t="s">
        <v>32</v>
      </c>
      <c r="D2165" s="6">
        <v>2016</v>
      </c>
      <c r="E2165" s="8">
        <v>9124</v>
      </c>
      <c r="F2165" s="8">
        <v>12000</v>
      </c>
      <c r="G2165" s="8">
        <f t="shared" si="132"/>
        <v>2876</v>
      </c>
      <c r="H2165" s="6">
        <v>25000</v>
      </c>
      <c r="I2165" t="s">
        <v>69</v>
      </c>
      <c r="J2165" t="s">
        <v>72</v>
      </c>
      <c r="K2165" t="s">
        <v>36</v>
      </c>
      <c r="L2165" t="s">
        <v>73</v>
      </c>
      <c r="M2165" t="s">
        <v>45</v>
      </c>
      <c r="N2165" s="6" t="s">
        <v>1647</v>
      </c>
      <c r="O2165" t="str">
        <f t="shared" si="133"/>
        <v>Normal</v>
      </c>
      <c r="P2165" t="str">
        <f t="shared" si="134"/>
        <v>Duplicate ID</v>
      </c>
      <c r="Q2165" t="str">
        <f t="shared" si="135"/>
        <v>5,000-9,999</v>
      </c>
      <c r="R2165" s="6">
        <f>IF(COUNTIF($A$2:A2165,A2165)=1,1,0)</f>
        <v>0</v>
      </c>
    </row>
    <row r="2166" spans="1:18" x14ac:dyDescent="0.25">
      <c r="A2166" s="6">
        <v>1508</v>
      </c>
      <c r="B2166" s="7">
        <v>45162</v>
      </c>
      <c r="C2166" t="s">
        <v>57</v>
      </c>
      <c r="D2166" s="6">
        <v>2020</v>
      </c>
      <c r="E2166" s="8">
        <v>26234</v>
      </c>
      <c r="F2166" s="8">
        <v>31000</v>
      </c>
      <c r="G2166" s="8">
        <f t="shared" si="132"/>
        <v>4766</v>
      </c>
      <c r="H2166" s="6">
        <v>40000</v>
      </c>
      <c r="I2166" t="s">
        <v>34</v>
      </c>
      <c r="J2166" t="s">
        <v>72</v>
      </c>
      <c r="K2166" t="s">
        <v>96</v>
      </c>
      <c r="L2166" t="s">
        <v>48</v>
      </c>
      <c r="M2166" t="s">
        <v>126</v>
      </c>
      <c r="N2166" s="6">
        <v>0</v>
      </c>
      <c r="O2166" t="str">
        <f t="shared" si="133"/>
        <v>Normal</v>
      </c>
      <c r="P2166" t="str">
        <f t="shared" si="134"/>
        <v>Duplicate ID</v>
      </c>
      <c r="Q2166" t="str">
        <f t="shared" si="135"/>
        <v>25,000-30,000</v>
      </c>
      <c r="R2166" s="6">
        <f>IF(COUNTIF($A$2:A2166,A2166)=1,1,0)</f>
        <v>0</v>
      </c>
    </row>
    <row r="2167" spans="1:18" x14ac:dyDescent="0.25">
      <c r="A2167" s="6">
        <v>1123</v>
      </c>
      <c r="B2167" s="7">
        <v>44513</v>
      </c>
      <c r="C2167" t="s">
        <v>1648</v>
      </c>
      <c r="D2167" s="6">
        <v>2020</v>
      </c>
      <c r="E2167" s="8">
        <v>6498</v>
      </c>
      <c r="F2167" s="8">
        <v>12000</v>
      </c>
      <c r="G2167" s="8">
        <f t="shared" si="132"/>
        <v>5502</v>
      </c>
      <c r="H2167" s="6">
        <v>25000</v>
      </c>
      <c r="I2167" t="s">
        <v>58</v>
      </c>
      <c r="J2167" t="s">
        <v>35</v>
      </c>
      <c r="K2167" t="s">
        <v>1647</v>
      </c>
      <c r="L2167" t="s">
        <v>100</v>
      </c>
      <c r="M2167" t="s">
        <v>1647</v>
      </c>
      <c r="N2167" s="6">
        <v>3</v>
      </c>
      <c r="O2167" t="str">
        <f t="shared" si="133"/>
        <v>Normal</v>
      </c>
      <c r="P2167" t="str">
        <f t="shared" si="134"/>
        <v>Duplicate ID</v>
      </c>
      <c r="Q2167" t="str">
        <f t="shared" si="135"/>
        <v>5,000-9,999</v>
      </c>
      <c r="R2167" s="6">
        <f>IF(COUNTIF($A$2:A2167,A2167)=1,1,0)</f>
        <v>0</v>
      </c>
    </row>
    <row r="2168" spans="1:18" x14ac:dyDescent="0.25">
      <c r="A2168" s="6">
        <v>1267</v>
      </c>
      <c r="B2168" s="7">
        <v>45070</v>
      </c>
      <c r="C2168" t="s">
        <v>57</v>
      </c>
      <c r="D2168" s="6">
        <v>2021</v>
      </c>
      <c r="E2168" s="8">
        <v>15906</v>
      </c>
      <c r="F2168" s="8">
        <v>18000</v>
      </c>
      <c r="G2168" s="8">
        <f t="shared" si="132"/>
        <v>2094</v>
      </c>
      <c r="H2168" s="6">
        <v>60000</v>
      </c>
      <c r="I2168" t="s">
        <v>41</v>
      </c>
      <c r="J2168" t="s">
        <v>72</v>
      </c>
      <c r="K2168" t="s">
        <v>96</v>
      </c>
      <c r="L2168" t="s">
        <v>48</v>
      </c>
      <c r="M2168" t="s">
        <v>90</v>
      </c>
      <c r="N2168" s="6">
        <v>0</v>
      </c>
      <c r="O2168" t="str">
        <f t="shared" si="133"/>
        <v>Normal</v>
      </c>
      <c r="P2168" t="str">
        <f t="shared" si="134"/>
        <v>Duplicate ID</v>
      </c>
      <c r="Q2168" t="str">
        <f t="shared" si="135"/>
        <v>15,000-19,999</v>
      </c>
      <c r="R2168" s="6">
        <f>IF(COUNTIF($A$2:A2168,A2168)=1,1,0)</f>
        <v>0</v>
      </c>
    </row>
    <row r="2169" spans="1:18" x14ac:dyDescent="0.25">
      <c r="A2169" s="6">
        <v>1360</v>
      </c>
      <c r="B2169" s="7">
        <v>45309</v>
      </c>
      <c r="C2169" t="s">
        <v>79</v>
      </c>
      <c r="D2169" s="6">
        <v>2020</v>
      </c>
      <c r="E2169" s="8">
        <v>22763</v>
      </c>
      <c r="F2169" s="8">
        <v>26000</v>
      </c>
      <c r="G2169" s="8">
        <f t="shared" si="132"/>
        <v>3237</v>
      </c>
      <c r="H2169" s="6">
        <v>15000</v>
      </c>
      <c r="I2169" t="s">
        <v>69</v>
      </c>
      <c r="J2169" t="s">
        <v>35</v>
      </c>
      <c r="K2169" t="s">
        <v>96</v>
      </c>
      <c r="L2169" t="s">
        <v>1647</v>
      </c>
      <c r="M2169" t="s">
        <v>45</v>
      </c>
      <c r="N2169" s="6" t="s">
        <v>1647</v>
      </c>
      <c r="O2169" t="str">
        <f t="shared" si="133"/>
        <v>Normal</v>
      </c>
      <c r="P2169" t="str">
        <f t="shared" si="134"/>
        <v>Duplicate ID</v>
      </c>
      <c r="Q2169" t="str">
        <f t="shared" si="135"/>
        <v>20,000-24,999</v>
      </c>
      <c r="R2169" s="6">
        <f>IF(COUNTIF($A$2:A2169,A2169)=1,1,0)</f>
        <v>0</v>
      </c>
    </row>
    <row r="2170" spans="1:18" x14ac:dyDescent="0.25">
      <c r="A2170" s="6">
        <v>1157</v>
      </c>
      <c r="B2170" s="7">
        <v>44397</v>
      </c>
      <c r="C2170" t="s">
        <v>40</v>
      </c>
      <c r="D2170" s="6">
        <v>2015</v>
      </c>
      <c r="E2170" s="8">
        <v>14121</v>
      </c>
      <c r="F2170" s="8">
        <v>18000</v>
      </c>
      <c r="G2170" s="8">
        <f t="shared" si="132"/>
        <v>3879</v>
      </c>
      <c r="H2170" s="6">
        <v>60000</v>
      </c>
      <c r="I2170" t="s">
        <v>34</v>
      </c>
      <c r="J2170" t="s">
        <v>35</v>
      </c>
      <c r="K2170" t="s">
        <v>96</v>
      </c>
      <c r="L2170" t="s">
        <v>1647</v>
      </c>
      <c r="M2170" t="s">
        <v>126</v>
      </c>
      <c r="N2170" s="6">
        <v>3</v>
      </c>
      <c r="O2170" t="str">
        <f t="shared" si="133"/>
        <v>Normal</v>
      </c>
      <c r="P2170" t="str">
        <f t="shared" si="134"/>
        <v>Duplicate ID</v>
      </c>
      <c r="Q2170" t="str">
        <f t="shared" si="135"/>
        <v>10,000-14,999</v>
      </c>
      <c r="R2170" s="6">
        <f>IF(COUNTIF($A$2:A2170,A2170)=1,1,0)</f>
        <v>0</v>
      </c>
    </row>
    <row r="2171" spans="1:18" x14ac:dyDescent="0.25">
      <c r="A2171" s="6">
        <v>1097</v>
      </c>
      <c r="B2171" s="7">
        <v>45280</v>
      </c>
      <c r="C2171" t="s">
        <v>40</v>
      </c>
      <c r="D2171" s="6">
        <v>2018</v>
      </c>
      <c r="E2171" s="8">
        <v>11933</v>
      </c>
      <c r="F2171" s="8">
        <v>15000</v>
      </c>
      <c r="G2171" s="8">
        <f t="shared" si="132"/>
        <v>3067</v>
      </c>
      <c r="H2171" s="6">
        <v>60000</v>
      </c>
      <c r="I2171" t="s">
        <v>69</v>
      </c>
      <c r="J2171" t="s">
        <v>72</v>
      </c>
      <c r="K2171" t="s">
        <v>1647</v>
      </c>
      <c r="L2171" t="s">
        <v>54</v>
      </c>
      <c r="M2171" t="s">
        <v>45</v>
      </c>
      <c r="N2171" s="6">
        <v>1</v>
      </c>
      <c r="O2171" t="str">
        <f t="shared" si="133"/>
        <v>Normal</v>
      </c>
      <c r="P2171" t="str">
        <f t="shared" si="134"/>
        <v>Duplicate ID</v>
      </c>
      <c r="Q2171" t="str">
        <f t="shared" si="135"/>
        <v>10,000-14,999</v>
      </c>
      <c r="R2171" s="6">
        <f>IF(COUNTIF($A$2:A2171,A2171)=1,1,0)</f>
        <v>0</v>
      </c>
    </row>
    <row r="2172" spans="1:18" x14ac:dyDescent="0.25">
      <c r="A2172" s="6">
        <v>1106</v>
      </c>
      <c r="B2172" s="7">
        <v>44601</v>
      </c>
      <c r="C2172" t="s">
        <v>40</v>
      </c>
      <c r="D2172" s="6"/>
      <c r="E2172" s="8">
        <v>9300</v>
      </c>
      <c r="F2172" s="8">
        <v>15000</v>
      </c>
      <c r="G2172" s="8">
        <f t="shared" si="132"/>
        <v>5700</v>
      </c>
      <c r="H2172" s="6">
        <v>60000</v>
      </c>
      <c r="I2172" t="s">
        <v>34</v>
      </c>
      <c r="J2172" t="s">
        <v>72</v>
      </c>
      <c r="K2172" t="s">
        <v>1647</v>
      </c>
      <c r="L2172" t="s">
        <v>48</v>
      </c>
      <c r="M2172" t="s">
        <v>90</v>
      </c>
      <c r="N2172" s="6">
        <v>3</v>
      </c>
      <c r="O2172" t="str">
        <f t="shared" si="133"/>
        <v>Normal</v>
      </c>
      <c r="P2172" t="str">
        <f t="shared" si="134"/>
        <v>Duplicate ID</v>
      </c>
      <c r="Q2172" t="str">
        <f t="shared" si="135"/>
        <v>5,000-9,999</v>
      </c>
      <c r="R2172" s="6">
        <f>IF(COUNTIF($A$2:A2172,A2172)=1,1,0)</f>
        <v>0</v>
      </c>
    </row>
    <row r="2173" spans="1:18" x14ac:dyDescent="0.25">
      <c r="A2173" s="6">
        <v>1499</v>
      </c>
      <c r="B2173" s="7">
        <v>45172</v>
      </c>
      <c r="C2173" t="s">
        <v>79</v>
      </c>
      <c r="D2173" s="6">
        <v>2021</v>
      </c>
      <c r="E2173" s="8">
        <v>20967</v>
      </c>
      <c r="F2173" s="8">
        <v>26000</v>
      </c>
      <c r="G2173" s="8">
        <f t="shared" si="132"/>
        <v>5033</v>
      </c>
      <c r="H2173" s="6">
        <v>80000</v>
      </c>
      <c r="I2173" t="s">
        <v>34</v>
      </c>
      <c r="J2173" t="s">
        <v>35</v>
      </c>
      <c r="K2173" t="s">
        <v>36</v>
      </c>
      <c r="L2173" t="s">
        <v>54</v>
      </c>
      <c r="M2173" t="s">
        <v>126</v>
      </c>
      <c r="N2173" s="6">
        <v>3</v>
      </c>
      <c r="O2173" t="str">
        <f t="shared" si="133"/>
        <v>Normal</v>
      </c>
      <c r="P2173" t="str">
        <f t="shared" si="134"/>
        <v>Duplicate ID</v>
      </c>
      <c r="Q2173" t="str">
        <f t="shared" si="135"/>
        <v>20,000-24,999</v>
      </c>
      <c r="R2173" s="6">
        <f>IF(COUNTIF($A$2:A2173,A2173)=1,1,0)</f>
        <v>0</v>
      </c>
    </row>
    <row r="2174" spans="1:18" x14ac:dyDescent="0.25">
      <c r="A2174" s="6">
        <v>1568</v>
      </c>
      <c r="B2174" s="7">
        <v>44647</v>
      </c>
      <c r="C2174" t="s">
        <v>119</v>
      </c>
      <c r="D2174" s="6"/>
      <c r="E2174" s="8">
        <v>5166</v>
      </c>
      <c r="F2174" s="8">
        <v>9000</v>
      </c>
      <c r="G2174" s="8">
        <f t="shared" si="132"/>
        <v>3834</v>
      </c>
      <c r="H2174" s="6">
        <v>80000</v>
      </c>
      <c r="I2174" t="s">
        <v>69</v>
      </c>
      <c r="J2174" t="s">
        <v>35</v>
      </c>
      <c r="K2174" t="s">
        <v>96</v>
      </c>
      <c r="L2174" t="s">
        <v>48</v>
      </c>
      <c r="M2174" t="s">
        <v>90</v>
      </c>
      <c r="N2174" s="6">
        <v>1</v>
      </c>
      <c r="O2174" t="str">
        <f t="shared" si="133"/>
        <v>Normal</v>
      </c>
      <c r="P2174" t="str">
        <f t="shared" si="134"/>
        <v>Duplicate ID</v>
      </c>
      <c r="Q2174" t="str">
        <f t="shared" si="135"/>
        <v>5,000-9,999</v>
      </c>
      <c r="R2174" s="6">
        <f>IF(COUNTIF($A$2:A2174,A2174)=1,1,0)</f>
        <v>0</v>
      </c>
    </row>
    <row r="2175" spans="1:18" x14ac:dyDescent="0.25">
      <c r="A2175" s="6">
        <v>1117</v>
      </c>
      <c r="B2175" s="7">
        <v>45028</v>
      </c>
      <c r="C2175" t="s">
        <v>57</v>
      </c>
      <c r="D2175" s="6"/>
      <c r="E2175" s="8">
        <v>1986</v>
      </c>
      <c r="F2175" s="8">
        <v>7000</v>
      </c>
      <c r="G2175" s="8">
        <f t="shared" si="132"/>
        <v>5014</v>
      </c>
      <c r="H2175" s="6">
        <v>120000</v>
      </c>
      <c r="I2175" t="s">
        <v>41</v>
      </c>
      <c r="J2175" t="s">
        <v>35</v>
      </c>
      <c r="K2175" t="s">
        <v>1647</v>
      </c>
      <c r="L2175" t="s">
        <v>73</v>
      </c>
      <c r="M2175" t="s">
        <v>45</v>
      </c>
      <c r="N2175" s="6">
        <v>2</v>
      </c>
      <c r="O2175" t="str">
        <f t="shared" si="133"/>
        <v>Normal</v>
      </c>
      <c r="P2175" t="str">
        <f t="shared" si="134"/>
        <v>Duplicate ID</v>
      </c>
      <c r="Q2175" t="str">
        <f t="shared" si="135"/>
        <v>0-4,999</v>
      </c>
      <c r="R2175" s="6">
        <f>IF(COUNTIF($A$2:A2175,A2175)=1,1,0)</f>
        <v>0</v>
      </c>
    </row>
    <row r="2176" spans="1:18" x14ac:dyDescent="0.25">
      <c r="A2176" s="6">
        <v>1257</v>
      </c>
      <c r="B2176" s="7">
        <v>45042</v>
      </c>
      <c r="C2176" t="s">
        <v>40</v>
      </c>
      <c r="D2176" s="6">
        <v>2018</v>
      </c>
      <c r="E2176" s="8">
        <v>15372</v>
      </c>
      <c r="F2176" s="8">
        <v>18000</v>
      </c>
      <c r="G2176" s="8">
        <f t="shared" si="132"/>
        <v>2628</v>
      </c>
      <c r="H2176" s="6">
        <v>25000</v>
      </c>
      <c r="I2176" t="s">
        <v>41</v>
      </c>
      <c r="J2176" t="s">
        <v>35</v>
      </c>
      <c r="K2176" t="s">
        <v>36</v>
      </c>
      <c r="L2176" t="s">
        <v>1647</v>
      </c>
      <c r="M2176" t="s">
        <v>98</v>
      </c>
      <c r="N2176" s="6">
        <v>0</v>
      </c>
      <c r="O2176" t="str">
        <f t="shared" si="133"/>
        <v>Normal</v>
      </c>
      <c r="P2176" t="str">
        <f t="shared" si="134"/>
        <v>Duplicate ID</v>
      </c>
      <c r="Q2176" t="str">
        <f t="shared" si="135"/>
        <v>15,000-19,999</v>
      </c>
      <c r="R2176" s="6">
        <f>IF(COUNTIF($A$2:A2176,A2176)=1,1,0)</f>
        <v>0</v>
      </c>
    </row>
    <row r="2177" spans="1:18" x14ac:dyDescent="0.25">
      <c r="A2177" s="6">
        <v>1319</v>
      </c>
      <c r="B2177" s="7">
        <v>44234</v>
      </c>
      <c r="C2177" t="s">
        <v>79</v>
      </c>
      <c r="D2177" s="6">
        <v>2018</v>
      </c>
      <c r="E2177" s="8">
        <v>25039</v>
      </c>
      <c r="F2177" s="8">
        <v>31000</v>
      </c>
      <c r="G2177" s="8">
        <f t="shared" si="132"/>
        <v>5961</v>
      </c>
      <c r="H2177" s="6">
        <v>120000</v>
      </c>
      <c r="I2177" t="s">
        <v>41</v>
      </c>
      <c r="J2177" t="s">
        <v>72</v>
      </c>
      <c r="K2177" t="s">
        <v>96</v>
      </c>
      <c r="L2177" t="s">
        <v>100</v>
      </c>
      <c r="M2177" t="s">
        <v>1647</v>
      </c>
      <c r="N2177" s="6">
        <v>0</v>
      </c>
      <c r="O2177" t="str">
        <f t="shared" si="133"/>
        <v>Normal</v>
      </c>
      <c r="P2177" t="str">
        <f t="shared" si="134"/>
        <v>Duplicate ID</v>
      </c>
      <c r="Q2177" t="str">
        <f t="shared" si="135"/>
        <v>25,000-30,000</v>
      </c>
      <c r="R2177" s="6">
        <f>IF(COUNTIF($A$2:A2177,A2177)=1,1,0)</f>
        <v>0</v>
      </c>
    </row>
    <row r="2178" spans="1:18" x14ac:dyDescent="0.25">
      <c r="A2178" s="6">
        <v>1396</v>
      </c>
      <c r="B2178" s="7">
        <v>44670</v>
      </c>
      <c r="C2178" t="s">
        <v>79</v>
      </c>
      <c r="D2178" s="6">
        <v>2021</v>
      </c>
      <c r="E2178" s="8">
        <v>19542</v>
      </c>
      <c r="F2178" s="8">
        <v>26000</v>
      </c>
      <c r="G2178" s="8">
        <f t="shared" ref="G2178:G2241" si="136">IF(OR(F2178="",E2178=""),"",F2178-E2178)</f>
        <v>6458</v>
      </c>
      <c r="H2178" s="6">
        <v>60000</v>
      </c>
      <c r="I2178" t="s">
        <v>34</v>
      </c>
      <c r="J2178" t="s">
        <v>35</v>
      </c>
      <c r="K2178" t="s">
        <v>36</v>
      </c>
      <c r="L2178" t="s">
        <v>100</v>
      </c>
      <c r="M2178" t="s">
        <v>90</v>
      </c>
      <c r="N2178" s="6">
        <v>3</v>
      </c>
      <c r="O2178" t="str">
        <f t="shared" ref="O2178:O2241" si="137">IF(E2178&lt;1000,"Outlier","Normal")</f>
        <v>Normal</v>
      </c>
      <c r="P2178" t="str">
        <f t="shared" ref="P2178:P2241" si="138">IF(COUNTIF($A$2:$A$2501,A2178)&gt;1,"Duplicate ID","Unique ID")</f>
        <v>Duplicate ID</v>
      </c>
      <c r="Q2178" t="str">
        <f t="shared" ref="Q2178:Q2241" si="139">IF(E2178&lt;5000,"0-4,999",IF(E2178&lt;10000,"5,000-9,999",IF(E2178&lt;15000,"10,000-14,999",IF(E2178&lt;20000,"15,000-19,999",IF(E2178&lt;25000,"20,000-24,999","25,000-30,000")))))</f>
        <v>15,000-19,999</v>
      </c>
      <c r="R2178" s="6">
        <f>IF(COUNTIF($A$2:A2178,A2178)=1,1,0)</f>
        <v>0</v>
      </c>
    </row>
    <row r="2179" spans="1:18" x14ac:dyDescent="0.25">
      <c r="A2179" s="6">
        <v>1058</v>
      </c>
      <c r="B2179" s="7">
        <v>44552</v>
      </c>
      <c r="C2179" t="s">
        <v>57</v>
      </c>
      <c r="D2179" s="6">
        <v>2020</v>
      </c>
      <c r="E2179" s="8">
        <v>11474</v>
      </c>
      <c r="F2179" s="8">
        <v>18000</v>
      </c>
      <c r="G2179" s="8">
        <f t="shared" si="136"/>
        <v>6526</v>
      </c>
      <c r="H2179" s="6">
        <v>25000</v>
      </c>
      <c r="I2179" t="s">
        <v>1647</v>
      </c>
      <c r="J2179" t="s">
        <v>35</v>
      </c>
      <c r="K2179" t="s">
        <v>96</v>
      </c>
      <c r="L2179" t="s">
        <v>54</v>
      </c>
      <c r="M2179" t="s">
        <v>98</v>
      </c>
      <c r="N2179" s="6">
        <v>0</v>
      </c>
      <c r="O2179" t="str">
        <f t="shared" si="137"/>
        <v>Normal</v>
      </c>
      <c r="P2179" t="str">
        <f t="shared" si="138"/>
        <v>Duplicate ID</v>
      </c>
      <c r="Q2179" t="str">
        <f t="shared" si="139"/>
        <v>10,000-14,999</v>
      </c>
      <c r="R2179" s="6">
        <f>IF(COUNTIF($A$2:A2179,A2179)=1,1,0)</f>
        <v>0</v>
      </c>
    </row>
    <row r="2180" spans="1:18" x14ac:dyDescent="0.25">
      <c r="A2180" s="6">
        <v>1500</v>
      </c>
      <c r="B2180" s="7">
        <v>44518</v>
      </c>
      <c r="C2180" t="s">
        <v>79</v>
      </c>
      <c r="D2180" s="6">
        <v>2019</v>
      </c>
      <c r="E2180" s="8">
        <v>28399</v>
      </c>
      <c r="F2180" s="8">
        <v>31000</v>
      </c>
      <c r="G2180" s="8">
        <f t="shared" si="136"/>
        <v>2601</v>
      </c>
      <c r="H2180" s="6">
        <v>80000</v>
      </c>
      <c r="I2180" t="s">
        <v>69</v>
      </c>
      <c r="J2180" t="s">
        <v>1647</v>
      </c>
      <c r="K2180" t="s">
        <v>36</v>
      </c>
      <c r="L2180" t="s">
        <v>48</v>
      </c>
      <c r="M2180" t="s">
        <v>98</v>
      </c>
      <c r="N2180" s="6">
        <v>1</v>
      </c>
      <c r="O2180" t="str">
        <f t="shared" si="137"/>
        <v>Normal</v>
      </c>
      <c r="P2180" t="str">
        <f t="shared" si="138"/>
        <v>Duplicate ID</v>
      </c>
      <c r="Q2180" t="str">
        <f t="shared" si="139"/>
        <v>25,000-30,000</v>
      </c>
      <c r="R2180" s="6">
        <f>IF(COUNTIF($A$2:A2180,A2180)=1,1,0)</f>
        <v>0</v>
      </c>
    </row>
    <row r="2181" spans="1:18" x14ac:dyDescent="0.25">
      <c r="A2181" s="6">
        <v>1348</v>
      </c>
      <c r="B2181" s="7">
        <v>45237</v>
      </c>
      <c r="C2181" t="s">
        <v>57</v>
      </c>
      <c r="D2181" s="6">
        <v>2020</v>
      </c>
      <c r="E2181" s="8">
        <v>2527</v>
      </c>
      <c r="F2181" s="8">
        <v>7000</v>
      </c>
      <c r="G2181" s="8">
        <f t="shared" si="136"/>
        <v>4473</v>
      </c>
      <c r="H2181" s="6">
        <v>80000</v>
      </c>
      <c r="I2181" t="s">
        <v>34</v>
      </c>
      <c r="J2181" t="s">
        <v>35</v>
      </c>
      <c r="K2181" t="s">
        <v>36</v>
      </c>
      <c r="L2181" t="s">
        <v>1647</v>
      </c>
      <c r="M2181" t="s">
        <v>45</v>
      </c>
      <c r="N2181" s="6" t="s">
        <v>1647</v>
      </c>
      <c r="O2181" t="str">
        <f t="shared" si="137"/>
        <v>Normal</v>
      </c>
      <c r="P2181" t="str">
        <f t="shared" si="138"/>
        <v>Duplicate ID</v>
      </c>
      <c r="Q2181" t="str">
        <f t="shared" si="139"/>
        <v>0-4,999</v>
      </c>
      <c r="R2181" s="6">
        <f>IF(COUNTIF($A$2:A2181,A2181)=1,1,0)</f>
        <v>0</v>
      </c>
    </row>
    <row r="2182" spans="1:18" x14ac:dyDescent="0.25">
      <c r="A2182" s="6">
        <v>1300</v>
      </c>
      <c r="B2182" s="7">
        <v>45177</v>
      </c>
      <c r="C2182" t="s">
        <v>1648</v>
      </c>
      <c r="D2182" s="6">
        <v>2017</v>
      </c>
      <c r="E2182" s="8">
        <v>17900</v>
      </c>
      <c r="F2182" s="8">
        <v>22000</v>
      </c>
      <c r="G2182" s="8">
        <f t="shared" si="136"/>
        <v>4100</v>
      </c>
      <c r="H2182" s="6">
        <v>80000</v>
      </c>
      <c r="I2182" t="s">
        <v>34</v>
      </c>
      <c r="J2182" t="s">
        <v>72</v>
      </c>
      <c r="K2182" t="s">
        <v>96</v>
      </c>
      <c r="L2182" t="s">
        <v>48</v>
      </c>
      <c r="M2182" t="s">
        <v>126</v>
      </c>
      <c r="N2182" s="6">
        <v>1</v>
      </c>
      <c r="O2182" t="str">
        <f t="shared" si="137"/>
        <v>Normal</v>
      </c>
      <c r="P2182" t="str">
        <f t="shared" si="138"/>
        <v>Duplicate ID</v>
      </c>
      <c r="Q2182" t="str">
        <f t="shared" si="139"/>
        <v>15,000-19,999</v>
      </c>
      <c r="R2182" s="6">
        <f>IF(COUNTIF($A$2:A2182,A2182)=1,1,0)</f>
        <v>0</v>
      </c>
    </row>
    <row r="2183" spans="1:18" x14ac:dyDescent="0.25">
      <c r="A2183" s="6">
        <v>1434</v>
      </c>
      <c r="B2183" s="7">
        <v>45206</v>
      </c>
      <c r="C2183" t="s">
        <v>79</v>
      </c>
      <c r="D2183" s="6">
        <v>2017</v>
      </c>
      <c r="E2183" s="8">
        <v>7760</v>
      </c>
      <c r="F2183" s="8">
        <v>12000</v>
      </c>
      <c r="G2183" s="8">
        <f t="shared" si="136"/>
        <v>4240</v>
      </c>
      <c r="H2183" s="6">
        <v>60000</v>
      </c>
      <c r="I2183" t="s">
        <v>34</v>
      </c>
      <c r="J2183" t="s">
        <v>72</v>
      </c>
      <c r="K2183" t="s">
        <v>96</v>
      </c>
      <c r="L2183" t="s">
        <v>1647</v>
      </c>
      <c r="M2183" t="s">
        <v>98</v>
      </c>
      <c r="N2183" s="6">
        <v>3</v>
      </c>
      <c r="O2183" t="str">
        <f t="shared" si="137"/>
        <v>Normal</v>
      </c>
      <c r="P2183" t="str">
        <f t="shared" si="138"/>
        <v>Duplicate ID</v>
      </c>
      <c r="Q2183" t="str">
        <f t="shared" si="139"/>
        <v>5,000-9,999</v>
      </c>
      <c r="R2183" s="6">
        <f>IF(COUNTIF($A$2:A2183,A2183)=1,1,0)</f>
        <v>0</v>
      </c>
    </row>
    <row r="2184" spans="1:18" x14ac:dyDescent="0.25">
      <c r="A2184" s="6">
        <v>1453</v>
      </c>
      <c r="B2184" s="7">
        <v>44739</v>
      </c>
      <c r="C2184" t="s">
        <v>79</v>
      </c>
      <c r="D2184" s="6"/>
      <c r="E2184" s="8">
        <v>11815</v>
      </c>
      <c r="F2184" s="8">
        <v>18000</v>
      </c>
      <c r="G2184" s="8">
        <f t="shared" si="136"/>
        <v>6185</v>
      </c>
      <c r="H2184" s="6">
        <v>80000</v>
      </c>
      <c r="I2184" t="s">
        <v>58</v>
      </c>
      <c r="J2184" t="s">
        <v>72</v>
      </c>
      <c r="K2184" t="s">
        <v>96</v>
      </c>
      <c r="L2184" t="s">
        <v>54</v>
      </c>
      <c r="M2184" t="s">
        <v>45</v>
      </c>
      <c r="N2184" s="6">
        <v>0</v>
      </c>
      <c r="O2184" t="str">
        <f t="shared" si="137"/>
        <v>Normal</v>
      </c>
      <c r="P2184" t="str">
        <f t="shared" si="138"/>
        <v>Duplicate ID</v>
      </c>
      <c r="Q2184" t="str">
        <f t="shared" si="139"/>
        <v>10,000-14,999</v>
      </c>
      <c r="R2184" s="6">
        <f>IF(COUNTIF($A$2:A2184,A2184)=1,1,0)</f>
        <v>0</v>
      </c>
    </row>
    <row r="2185" spans="1:18" x14ac:dyDescent="0.25">
      <c r="A2185" s="6">
        <v>1507</v>
      </c>
      <c r="B2185" s="7">
        <v>45103</v>
      </c>
      <c r="C2185" t="s">
        <v>32</v>
      </c>
      <c r="D2185" s="6">
        <v>2018</v>
      </c>
      <c r="E2185" s="8">
        <v>4023</v>
      </c>
      <c r="F2185" s="8">
        <v>7000</v>
      </c>
      <c r="G2185" s="8">
        <f t="shared" si="136"/>
        <v>2977</v>
      </c>
      <c r="H2185" s="6">
        <v>40000</v>
      </c>
      <c r="I2185" t="s">
        <v>69</v>
      </c>
      <c r="J2185" t="s">
        <v>1647</v>
      </c>
      <c r="K2185" t="s">
        <v>1647</v>
      </c>
      <c r="L2185" t="s">
        <v>48</v>
      </c>
      <c r="M2185" t="s">
        <v>45</v>
      </c>
      <c r="N2185" s="6">
        <v>1</v>
      </c>
      <c r="O2185" t="str">
        <f t="shared" si="137"/>
        <v>Normal</v>
      </c>
      <c r="P2185" t="str">
        <f t="shared" si="138"/>
        <v>Duplicate ID</v>
      </c>
      <c r="Q2185" t="str">
        <f t="shared" si="139"/>
        <v>0-4,999</v>
      </c>
      <c r="R2185" s="6">
        <f>IF(COUNTIF($A$2:A2185,A2185)=1,1,0)</f>
        <v>0</v>
      </c>
    </row>
    <row r="2186" spans="1:18" x14ac:dyDescent="0.25">
      <c r="A2186" s="6">
        <v>1286</v>
      </c>
      <c r="B2186" s="7">
        <v>44912</v>
      </c>
      <c r="C2186" t="s">
        <v>119</v>
      </c>
      <c r="D2186" s="6">
        <v>2019</v>
      </c>
      <c r="E2186" s="8">
        <v>2388</v>
      </c>
      <c r="F2186" s="8">
        <v>7000</v>
      </c>
      <c r="G2186" s="8">
        <f t="shared" si="136"/>
        <v>4612</v>
      </c>
      <c r="H2186" s="6">
        <v>25000</v>
      </c>
      <c r="I2186" t="s">
        <v>1647</v>
      </c>
      <c r="J2186" t="s">
        <v>1647</v>
      </c>
      <c r="K2186" t="s">
        <v>36</v>
      </c>
      <c r="L2186" t="s">
        <v>54</v>
      </c>
      <c r="M2186" t="s">
        <v>90</v>
      </c>
      <c r="N2186" s="6" t="s">
        <v>1647</v>
      </c>
      <c r="O2186" t="str">
        <f t="shared" si="137"/>
        <v>Normal</v>
      </c>
      <c r="P2186" t="str">
        <f t="shared" si="138"/>
        <v>Duplicate ID</v>
      </c>
      <c r="Q2186" t="str">
        <f t="shared" si="139"/>
        <v>0-4,999</v>
      </c>
      <c r="R2186" s="6">
        <f>IF(COUNTIF($A$2:A2186,A2186)=1,1,0)</f>
        <v>0</v>
      </c>
    </row>
    <row r="2187" spans="1:18" x14ac:dyDescent="0.25">
      <c r="A2187" s="6">
        <v>1191</v>
      </c>
      <c r="B2187" s="7">
        <v>44583</v>
      </c>
      <c r="C2187" t="s">
        <v>57</v>
      </c>
      <c r="D2187" s="6">
        <v>2017</v>
      </c>
      <c r="E2187" s="8">
        <v>16246</v>
      </c>
      <c r="F2187" s="8">
        <v>22000</v>
      </c>
      <c r="G2187" s="8">
        <f t="shared" si="136"/>
        <v>5754</v>
      </c>
      <c r="H2187" s="6">
        <v>60000</v>
      </c>
      <c r="I2187" t="s">
        <v>34</v>
      </c>
      <c r="J2187" t="s">
        <v>72</v>
      </c>
      <c r="K2187" t="s">
        <v>1647</v>
      </c>
      <c r="L2187" t="s">
        <v>73</v>
      </c>
      <c r="M2187" t="s">
        <v>45</v>
      </c>
      <c r="N2187" s="6">
        <v>0</v>
      </c>
      <c r="O2187" t="str">
        <f t="shared" si="137"/>
        <v>Normal</v>
      </c>
      <c r="P2187" t="str">
        <f t="shared" si="138"/>
        <v>Duplicate ID</v>
      </c>
      <c r="Q2187" t="str">
        <f t="shared" si="139"/>
        <v>15,000-19,999</v>
      </c>
      <c r="R2187" s="6">
        <f>IF(COUNTIF($A$2:A2187,A2187)=1,1,0)</f>
        <v>0</v>
      </c>
    </row>
    <row r="2188" spans="1:18" x14ac:dyDescent="0.25">
      <c r="A2188" s="6">
        <v>1089</v>
      </c>
      <c r="B2188" s="7">
        <v>44759</v>
      </c>
      <c r="C2188" t="s">
        <v>1648</v>
      </c>
      <c r="D2188" s="6">
        <v>2017</v>
      </c>
      <c r="E2188" s="8">
        <v>29547</v>
      </c>
      <c r="F2188" s="8">
        <v>31000</v>
      </c>
      <c r="G2188" s="8">
        <f t="shared" si="136"/>
        <v>1453</v>
      </c>
      <c r="H2188" s="6">
        <v>25000</v>
      </c>
      <c r="I2188" t="s">
        <v>58</v>
      </c>
      <c r="J2188" t="s">
        <v>72</v>
      </c>
      <c r="K2188" t="s">
        <v>36</v>
      </c>
      <c r="L2188" t="s">
        <v>54</v>
      </c>
      <c r="M2188" t="s">
        <v>126</v>
      </c>
      <c r="N2188" s="6">
        <v>0</v>
      </c>
      <c r="O2188" t="str">
        <f t="shared" si="137"/>
        <v>Normal</v>
      </c>
      <c r="P2188" t="str">
        <f t="shared" si="138"/>
        <v>Duplicate ID</v>
      </c>
      <c r="Q2188" t="str">
        <f t="shared" si="139"/>
        <v>25,000-30,000</v>
      </c>
      <c r="R2188" s="6">
        <f>IF(COUNTIF($A$2:A2188,A2188)=1,1,0)</f>
        <v>0</v>
      </c>
    </row>
    <row r="2189" spans="1:18" x14ac:dyDescent="0.25">
      <c r="A2189" s="6">
        <v>1462</v>
      </c>
      <c r="B2189" s="7">
        <v>45288</v>
      </c>
      <c r="C2189" t="s">
        <v>32</v>
      </c>
      <c r="D2189" s="6">
        <v>2020</v>
      </c>
      <c r="E2189" s="8">
        <v>19113</v>
      </c>
      <c r="F2189" s="8">
        <v>22000</v>
      </c>
      <c r="G2189" s="8">
        <f t="shared" si="136"/>
        <v>2887</v>
      </c>
      <c r="H2189" s="6">
        <v>80000</v>
      </c>
      <c r="I2189" t="s">
        <v>69</v>
      </c>
      <c r="J2189" t="s">
        <v>72</v>
      </c>
      <c r="K2189" t="s">
        <v>96</v>
      </c>
      <c r="L2189" t="s">
        <v>54</v>
      </c>
      <c r="M2189" t="s">
        <v>98</v>
      </c>
      <c r="N2189" s="6">
        <v>2</v>
      </c>
      <c r="O2189" t="str">
        <f t="shared" si="137"/>
        <v>Normal</v>
      </c>
      <c r="P2189" t="str">
        <f t="shared" si="138"/>
        <v>Duplicate ID</v>
      </c>
      <c r="Q2189" t="str">
        <f t="shared" si="139"/>
        <v>15,000-19,999</v>
      </c>
      <c r="R2189" s="6">
        <f>IF(COUNTIF($A$2:A2189,A2189)=1,1,0)</f>
        <v>0</v>
      </c>
    </row>
    <row r="2190" spans="1:18" x14ac:dyDescent="0.25">
      <c r="A2190" s="6">
        <v>1497</v>
      </c>
      <c r="B2190" s="7">
        <v>44476</v>
      </c>
      <c r="C2190" t="s">
        <v>79</v>
      </c>
      <c r="D2190" s="6">
        <v>2020</v>
      </c>
      <c r="E2190" s="8">
        <v>4211</v>
      </c>
      <c r="F2190" s="8">
        <v>7000</v>
      </c>
      <c r="G2190" s="8">
        <f t="shared" si="136"/>
        <v>2789</v>
      </c>
      <c r="H2190" s="6">
        <v>25000</v>
      </c>
      <c r="I2190" t="s">
        <v>69</v>
      </c>
      <c r="J2190" t="s">
        <v>35</v>
      </c>
      <c r="K2190" t="s">
        <v>96</v>
      </c>
      <c r="L2190" t="s">
        <v>100</v>
      </c>
      <c r="M2190" t="s">
        <v>126</v>
      </c>
      <c r="N2190" s="6" t="s">
        <v>1647</v>
      </c>
      <c r="O2190" t="str">
        <f t="shared" si="137"/>
        <v>Normal</v>
      </c>
      <c r="P2190" t="str">
        <f t="shared" si="138"/>
        <v>Duplicate ID</v>
      </c>
      <c r="Q2190" t="str">
        <f t="shared" si="139"/>
        <v>0-4,999</v>
      </c>
      <c r="R2190" s="6">
        <f>IF(COUNTIF($A$2:A2190,A2190)=1,1,0)</f>
        <v>0</v>
      </c>
    </row>
    <row r="2191" spans="1:18" x14ac:dyDescent="0.25">
      <c r="A2191" s="6">
        <v>1500</v>
      </c>
      <c r="B2191" s="7">
        <v>44563</v>
      </c>
      <c r="C2191" t="s">
        <v>51</v>
      </c>
      <c r="D2191" s="6">
        <v>2015</v>
      </c>
      <c r="E2191" s="8">
        <v>5827</v>
      </c>
      <c r="F2191" s="8">
        <v>7000</v>
      </c>
      <c r="G2191" s="8">
        <f t="shared" si="136"/>
        <v>1173</v>
      </c>
      <c r="H2191" s="6">
        <v>15000</v>
      </c>
      <c r="I2191" t="s">
        <v>69</v>
      </c>
      <c r="J2191" t="s">
        <v>35</v>
      </c>
      <c r="K2191" t="s">
        <v>96</v>
      </c>
      <c r="L2191" t="s">
        <v>54</v>
      </c>
      <c r="M2191" t="s">
        <v>1647</v>
      </c>
      <c r="N2191" s="6">
        <v>2</v>
      </c>
      <c r="O2191" t="str">
        <f t="shared" si="137"/>
        <v>Normal</v>
      </c>
      <c r="P2191" t="str">
        <f t="shared" si="138"/>
        <v>Duplicate ID</v>
      </c>
      <c r="Q2191" t="str">
        <f t="shared" si="139"/>
        <v>5,000-9,999</v>
      </c>
      <c r="R2191" s="6">
        <f>IF(COUNTIF($A$2:A2191,A2191)=1,1,0)</f>
        <v>0</v>
      </c>
    </row>
    <row r="2192" spans="1:18" x14ac:dyDescent="0.25">
      <c r="A2192" s="6">
        <v>1241</v>
      </c>
      <c r="B2192" s="7">
        <v>44599</v>
      </c>
      <c r="C2192" t="s">
        <v>1648</v>
      </c>
      <c r="D2192" s="6">
        <v>2021</v>
      </c>
      <c r="E2192" s="8">
        <v>25754</v>
      </c>
      <c r="F2192" s="8">
        <v>31000</v>
      </c>
      <c r="G2192" s="8">
        <f t="shared" si="136"/>
        <v>5246</v>
      </c>
      <c r="H2192" s="6">
        <v>25000</v>
      </c>
      <c r="I2192" t="s">
        <v>69</v>
      </c>
      <c r="J2192" t="s">
        <v>35</v>
      </c>
      <c r="K2192" t="s">
        <v>96</v>
      </c>
      <c r="L2192" t="s">
        <v>48</v>
      </c>
      <c r="M2192" t="s">
        <v>45</v>
      </c>
      <c r="N2192" s="6">
        <v>2</v>
      </c>
      <c r="O2192" t="str">
        <f t="shared" si="137"/>
        <v>Normal</v>
      </c>
      <c r="P2192" t="str">
        <f t="shared" si="138"/>
        <v>Duplicate ID</v>
      </c>
      <c r="Q2192" t="str">
        <f t="shared" si="139"/>
        <v>25,000-30,000</v>
      </c>
      <c r="R2192" s="6">
        <f>IF(COUNTIF($A$2:A2192,A2192)=1,1,0)</f>
        <v>0</v>
      </c>
    </row>
    <row r="2193" spans="1:18" x14ac:dyDescent="0.25">
      <c r="A2193" s="6">
        <v>1187</v>
      </c>
      <c r="B2193" s="7">
        <v>44901</v>
      </c>
      <c r="C2193" t="s">
        <v>1648</v>
      </c>
      <c r="D2193" s="6">
        <v>2022</v>
      </c>
      <c r="E2193" s="8">
        <v>13813</v>
      </c>
      <c r="F2193" s="8">
        <v>15000</v>
      </c>
      <c r="G2193" s="8">
        <f t="shared" si="136"/>
        <v>1187</v>
      </c>
      <c r="H2193" s="6">
        <v>40000</v>
      </c>
      <c r="I2193" t="s">
        <v>34</v>
      </c>
      <c r="J2193" t="s">
        <v>1647</v>
      </c>
      <c r="K2193" t="s">
        <v>96</v>
      </c>
      <c r="L2193" t="s">
        <v>54</v>
      </c>
      <c r="M2193" t="s">
        <v>98</v>
      </c>
      <c r="N2193" s="6">
        <v>3</v>
      </c>
      <c r="O2193" t="str">
        <f t="shared" si="137"/>
        <v>Normal</v>
      </c>
      <c r="P2193" t="str">
        <f t="shared" si="138"/>
        <v>Duplicate ID</v>
      </c>
      <c r="Q2193" t="str">
        <f t="shared" si="139"/>
        <v>10,000-14,999</v>
      </c>
      <c r="R2193" s="6">
        <f>IF(COUNTIF($A$2:A2193,A2193)=1,1,0)</f>
        <v>0</v>
      </c>
    </row>
    <row r="2194" spans="1:18" x14ac:dyDescent="0.25">
      <c r="A2194" s="6">
        <v>1122</v>
      </c>
      <c r="B2194" s="7">
        <v>45306</v>
      </c>
      <c r="C2194" t="s">
        <v>40</v>
      </c>
      <c r="D2194" s="6">
        <v>2021</v>
      </c>
      <c r="E2194" s="8">
        <v>2269</v>
      </c>
      <c r="F2194" s="8">
        <v>9000</v>
      </c>
      <c r="G2194" s="8">
        <f t="shared" si="136"/>
        <v>6731</v>
      </c>
      <c r="H2194" s="6">
        <v>120000</v>
      </c>
      <c r="I2194" t="s">
        <v>34</v>
      </c>
      <c r="J2194" t="s">
        <v>35</v>
      </c>
      <c r="K2194" t="s">
        <v>36</v>
      </c>
      <c r="L2194" t="s">
        <v>73</v>
      </c>
      <c r="M2194" t="s">
        <v>90</v>
      </c>
      <c r="N2194" s="6">
        <v>1</v>
      </c>
      <c r="O2194" t="str">
        <f t="shared" si="137"/>
        <v>Normal</v>
      </c>
      <c r="P2194" t="str">
        <f t="shared" si="138"/>
        <v>Unique ID</v>
      </c>
      <c r="Q2194" t="str">
        <f t="shared" si="139"/>
        <v>0-4,999</v>
      </c>
      <c r="R2194" s="6">
        <f>IF(COUNTIF($A$2:A2194,A2194)=1,1,0)</f>
        <v>1</v>
      </c>
    </row>
    <row r="2195" spans="1:18" x14ac:dyDescent="0.25">
      <c r="A2195" s="6">
        <v>1304</v>
      </c>
      <c r="B2195" s="7">
        <v>45263</v>
      </c>
      <c r="C2195" t="s">
        <v>1648</v>
      </c>
      <c r="D2195" s="6">
        <v>2021</v>
      </c>
      <c r="E2195" s="8">
        <v>12100</v>
      </c>
      <c r="F2195" s="8">
        <v>18000</v>
      </c>
      <c r="G2195" s="8">
        <f t="shared" si="136"/>
        <v>5900</v>
      </c>
      <c r="H2195" s="6">
        <v>40000</v>
      </c>
      <c r="I2195" t="s">
        <v>58</v>
      </c>
      <c r="J2195" t="s">
        <v>35</v>
      </c>
      <c r="K2195" t="s">
        <v>96</v>
      </c>
      <c r="L2195" t="s">
        <v>48</v>
      </c>
      <c r="M2195" t="s">
        <v>1647</v>
      </c>
      <c r="N2195" s="6">
        <v>3</v>
      </c>
      <c r="O2195" t="str">
        <f t="shared" si="137"/>
        <v>Normal</v>
      </c>
      <c r="P2195" t="str">
        <f t="shared" si="138"/>
        <v>Duplicate ID</v>
      </c>
      <c r="Q2195" t="str">
        <f t="shared" si="139"/>
        <v>10,000-14,999</v>
      </c>
      <c r="R2195" s="6">
        <f>IF(COUNTIF($A$2:A2195,A2195)=1,1,0)</f>
        <v>0</v>
      </c>
    </row>
    <row r="2196" spans="1:18" x14ac:dyDescent="0.25">
      <c r="A2196" s="6">
        <v>1045</v>
      </c>
      <c r="B2196" s="7">
        <v>44332</v>
      </c>
      <c r="C2196" t="s">
        <v>40</v>
      </c>
      <c r="D2196" s="6">
        <v>2019</v>
      </c>
      <c r="E2196" s="8">
        <v>1259</v>
      </c>
      <c r="F2196" s="8">
        <v>7000</v>
      </c>
      <c r="G2196" s="8">
        <f t="shared" si="136"/>
        <v>5741</v>
      </c>
      <c r="H2196" s="6">
        <v>60000</v>
      </c>
      <c r="I2196" t="s">
        <v>69</v>
      </c>
      <c r="J2196" t="s">
        <v>35</v>
      </c>
      <c r="K2196" t="s">
        <v>36</v>
      </c>
      <c r="L2196" t="s">
        <v>48</v>
      </c>
      <c r="M2196" t="s">
        <v>45</v>
      </c>
      <c r="N2196" s="6">
        <v>0</v>
      </c>
      <c r="O2196" t="str">
        <f t="shared" si="137"/>
        <v>Normal</v>
      </c>
      <c r="P2196" t="str">
        <f t="shared" si="138"/>
        <v>Duplicate ID</v>
      </c>
      <c r="Q2196" t="str">
        <f t="shared" si="139"/>
        <v>0-4,999</v>
      </c>
      <c r="R2196" s="6">
        <f>IF(COUNTIF($A$2:A2196,A2196)=1,1,0)</f>
        <v>0</v>
      </c>
    </row>
    <row r="2197" spans="1:18" x14ac:dyDescent="0.25">
      <c r="A2197" s="6">
        <v>1308</v>
      </c>
      <c r="B2197" s="7">
        <v>45298</v>
      </c>
      <c r="C2197" t="s">
        <v>1648</v>
      </c>
      <c r="D2197" s="6">
        <v>2014</v>
      </c>
      <c r="E2197" s="8">
        <v>28321</v>
      </c>
      <c r="F2197" s="8">
        <v>31000</v>
      </c>
      <c r="G2197" s="8">
        <f t="shared" si="136"/>
        <v>2679</v>
      </c>
      <c r="H2197" s="6">
        <v>80000</v>
      </c>
      <c r="I2197" t="s">
        <v>58</v>
      </c>
      <c r="J2197" t="s">
        <v>35</v>
      </c>
      <c r="K2197" t="s">
        <v>36</v>
      </c>
      <c r="L2197" t="s">
        <v>54</v>
      </c>
      <c r="M2197" t="s">
        <v>1647</v>
      </c>
      <c r="N2197" s="6">
        <v>2</v>
      </c>
      <c r="O2197" t="str">
        <f t="shared" si="137"/>
        <v>Normal</v>
      </c>
      <c r="P2197" t="str">
        <f t="shared" si="138"/>
        <v>Duplicate ID</v>
      </c>
      <c r="Q2197" t="str">
        <f t="shared" si="139"/>
        <v>25,000-30,000</v>
      </c>
      <c r="R2197" s="6">
        <f>IF(COUNTIF($A$2:A2197,A2197)=1,1,0)</f>
        <v>0</v>
      </c>
    </row>
    <row r="2198" spans="1:18" x14ac:dyDescent="0.25">
      <c r="A2198" s="6">
        <v>1007</v>
      </c>
      <c r="B2198" s="7">
        <v>44780</v>
      </c>
      <c r="C2198" t="s">
        <v>1648</v>
      </c>
      <c r="D2198" s="6">
        <v>2017</v>
      </c>
      <c r="E2198" s="8">
        <v>19594</v>
      </c>
      <c r="F2198" s="8">
        <v>26000</v>
      </c>
      <c r="G2198" s="8">
        <f t="shared" si="136"/>
        <v>6406</v>
      </c>
      <c r="H2198" s="6">
        <v>40000</v>
      </c>
      <c r="I2198" t="s">
        <v>1647</v>
      </c>
      <c r="J2198" t="s">
        <v>35</v>
      </c>
      <c r="K2198" t="s">
        <v>1647</v>
      </c>
      <c r="L2198" t="s">
        <v>73</v>
      </c>
      <c r="M2198" t="s">
        <v>126</v>
      </c>
      <c r="N2198" s="6">
        <v>1</v>
      </c>
      <c r="O2198" t="str">
        <f t="shared" si="137"/>
        <v>Normal</v>
      </c>
      <c r="P2198" t="str">
        <f t="shared" si="138"/>
        <v>Duplicate ID</v>
      </c>
      <c r="Q2198" t="str">
        <f t="shared" si="139"/>
        <v>15,000-19,999</v>
      </c>
      <c r="R2198" s="6">
        <f>IF(COUNTIF($A$2:A2198,A2198)=1,1,0)</f>
        <v>0</v>
      </c>
    </row>
    <row r="2199" spans="1:18" x14ac:dyDescent="0.25">
      <c r="A2199" s="6">
        <v>1251</v>
      </c>
      <c r="B2199" s="7">
        <v>44721</v>
      </c>
      <c r="C2199" t="s">
        <v>32</v>
      </c>
      <c r="D2199" s="6">
        <v>2021</v>
      </c>
      <c r="E2199" s="8">
        <v>10806</v>
      </c>
      <c r="F2199" s="8">
        <v>15000</v>
      </c>
      <c r="G2199" s="8">
        <f t="shared" si="136"/>
        <v>4194</v>
      </c>
      <c r="H2199" s="6">
        <v>120000</v>
      </c>
      <c r="I2199" t="s">
        <v>69</v>
      </c>
      <c r="J2199" t="s">
        <v>1647</v>
      </c>
      <c r="K2199" t="s">
        <v>1647</v>
      </c>
      <c r="L2199" t="s">
        <v>54</v>
      </c>
      <c r="M2199" t="s">
        <v>45</v>
      </c>
      <c r="N2199" s="6">
        <v>2</v>
      </c>
      <c r="O2199" t="str">
        <f t="shared" si="137"/>
        <v>Normal</v>
      </c>
      <c r="P2199" t="str">
        <f t="shared" si="138"/>
        <v>Duplicate ID</v>
      </c>
      <c r="Q2199" t="str">
        <f t="shared" si="139"/>
        <v>10,000-14,999</v>
      </c>
      <c r="R2199" s="6">
        <f>IF(COUNTIF($A$2:A2199,A2199)=1,1,0)</f>
        <v>0</v>
      </c>
    </row>
    <row r="2200" spans="1:18" x14ac:dyDescent="0.25">
      <c r="A2200" s="6">
        <v>1024</v>
      </c>
      <c r="B2200" s="7">
        <v>44638</v>
      </c>
      <c r="C2200" t="s">
        <v>40</v>
      </c>
      <c r="D2200" s="6">
        <v>2022</v>
      </c>
      <c r="E2200" s="8">
        <v>16187</v>
      </c>
      <c r="F2200" s="8">
        <v>22000</v>
      </c>
      <c r="G2200" s="8">
        <f t="shared" si="136"/>
        <v>5813</v>
      </c>
      <c r="H2200" s="6">
        <v>120000</v>
      </c>
      <c r="I2200" t="s">
        <v>1647</v>
      </c>
      <c r="J2200" t="s">
        <v>72</v>
      </c>
      <c r="K2200" t="s">
        <v>96</v>
      </c>
      <c r="L2200" t="s">
        <v>73</v>
      </c>
      <c r="M2200" t="s">
        <v>45</v>
      </c>
      <c r="N2200" s="6">
        <v>1</v>
      </c>
      <c r="O2200" t="str">
        <f t="shared" si="137"/>
        <v>Normal</v>
      </c>
      <c r="P2200" t="str">
        <f t="shared" si="138"/>
        <v>Duplicate ID</v>
      </c>
      <c r="Q2200" t="str">
        <f t="shared" si="139"/>
        <v>15,000-19,999</v>
      </c>
      <c r="R2200" s="6">
        <f>IF(COUNTIF($A$2:A2200,A2200)=1,1,0)</f>
        <v>0</v>
      </c>
    </row>
    <row r="2201" spans="1:18" x14ac:dyDescent="0.25">
      <c r="A2201" s="6">
        <v>1211</v>
      </c>
      <c r="B2201" s="7">
        <v>44522</v>
      </c>
      <c r="C2201" t="s">
        <v>1648</v>
      </c>
      <c r="D2201" s="6"/>
      <c r="E2201" s="8">
        <v>3038</v>
      </c>
      <c r="F2201" s="8">
        <v>7000</v>
      </c>
      <c r="G2201" s="8">
        <f t="shared" si="136"/>
        <v>3962</v>
      </c>
      <c r="H2201" s="6">
        <v>15000</v>
      </c>
      <c r="I2201" t="s">
        <v>34</v>
      </c>
      <c r="J2201" t="s">
        <v>72</v>
      </c>
      <c r="K2201" t="s">
        <v>36</v>
      </c>
      <c r="L2201" t="s">
        <v>100</v>
      </c>
      <c r="M2201" t="s">
        <v>126</v>
      </c>
      <c r="N2201" s="6" t="s">
        <v>1647</v>
      </c>
      <c r="O2201" t="str">
        <f t="shared" si="137"/>
        <v>Normal</v>
      </c>
      <c r="P2201" t="str">
        <f t="shared" si="138"/>
        <v>Duplicate ID</v>
      </c>
      <c r="Q2201" t="str">
        <f t="shared" si="139"/>
        <v>0-4,999</v>
      </c>
      <c r="R2201" s="6">
        <f>IF(COUNTIF($A$2:A2201,A2201)=1,1,0)</f>
        <v>0</v>
      </c>
    </row>
    <row r="2202" spans="1:18" x14ac:dyDescent="0.25">
      <c r="A2202" s="6">
        <v>1003</v>
      </c>
      <c r="B2202" s="7">
        <v>44739</v>
      </c>
      <c r="C2202" t="s">
        <v>57</v>
      </c>
      <c r="D2202" s="6">
        <v>2017</v>
      </c>
      <c r="E2202" s="8">
        <v>18112</v>
      </c>
      <c r="F2202" s="8">
        <v>22000</v>
      </c>
      <c r="G2202" s="8">
        <f t="shared" si="136"/>
        <v>3888</v>
      </c>
      <c r="H2202" s="6">
        <v>60000</v>
      </c>
      <c r="I2202" t="s">
        <v>41</v>
      </c>
      <c r="J2202" t="s">
        <v>72</v>
      </c>
      <c r="K2202" t="s">
        <v>96</v>
      </c>
      <c r="L2202" t="s">
        <v>73</v>
      </c>
      <c r="M2202" t="s">
        <v>90</v>
      </c>
      <c r="N2202" s="6">
        <v>3</v>
      </c>
      <c r="O2202" t="str">
        <f t="shared" si="137"/>
        <v>Normal</v>
      </c>
      <c r="P2202" t="str">
        <f t="shared" si="138"/>
        <v>Duplicate ID</v>
      </c>
      <c r="Q2202" t="str">
        <f t="shared" si="139"/>
        <v>15,000-19,999</v>
      </c>
      <c r="R2202" s="6">
        <f>IF(COUNTIF($A$2:A2202,A2202)=1,1,0)</f>
        <v>0</v>
      </c>
    </row>
    <row r="2203" spans="1:18" x14ac:dyDescent="0.25">
      <c r="A2203" s="6">
        <v>1220</v>
      </c>
      <c r="B2203" s="7">
        <v>44928</v>
      </c>
      <c r="C2203" t="s">
        <v>57</v>
      </c>
      <c r="D2203" s="6">
        <v>2016</v>
      </c>
      <c r="E2203" s="8">
        <v>4805</v>
      </c>
      <c r="F2203" s="8">
        <v>7000</v>
      </c>
      <c r="G2203" s="8">
        <f t="shared" si="136"/>
        <v>2195</v>
      </c>
      <c r="H2203" s="6">
        <v>15000</v>
      </c>
      <c r="I2203" t="s">
        <v>41</v>
      </c>
      <c r="J2203" t="s">
        <v>72</v>
      </c>
      <c r="K2203" t="s">
        <v>36</v>
      </c>
      <c r="L2203" t="s">
        <v>100</v>
      </c>
      <c r="M2203" t="s">
        <v>126</v>
      </c>
      <c r="N2203" s="6" t="s">
        <v>1647</v>
      </c>
      <c r="O2203" t="str">
        <f t="shared" si="137"/>
        <v>Normal</v>
      </c>
      <c r="P2203" t="str">
        <f t="shared" si="138"/>
        <v>Duplicate ID</v>
      </c>
      <c r="Q2203" t="str">
        <f t="shared" si="139"/>
        <v>0-4,999</v>
      </c>
      <c r="R2203" s="6">
        <f>IF(COUNTIF($A$2:A2203,A2203)=1,1,0)</f>
        <v>0</v>
      </c>
    </row>
    <row r="2204" spans="1:18" x14ac:dyDescent="0.25">
      <c r="A2204" s="6">
        <v>1308</v>
      </c>
      <c r="B2204" s="7">
        <v>44310</v>
      </c>
      <c r="C2204" t="s">
        <v>32</v>
      </c>
      <c r="D2204" s="6">
        <v>2014</v>
      </c>
      <c r="E2204" s="8">
        <v>23966</v>
      </c>
      <c r="F2204" s="8">
        <v>26000</v>
      </c>
      <c r="G2204" s="8">
        <f t="shared" si="136"/>
        <v>2034</v>
      </c>
      <c r="H2204" s="6">
        <v>80000</v>
      </c>
      <c r="I2204" t="s">
        <v>58</v>
      </c>
      <c r="J2204" t="s">
        <v>35</v>
      </c>
      <c r="K2204" t="s">
        <v>96</v>
      </c>
      <c r="L2204" t="s">
        <v>54</v>
      </c>
      <c r="M2204" t="s">
        <v>1647</v>
      </c>
      <c r="N2204" s="6">
        <v>2</v>
      </c>
      <c r="O2204" t="str">
        <f t="shared" si="137"/>
        <v>Normal</v>
      </c>
      <c r="P2204" t="str">
        <f t="shared" si="138"/>
        <v>Duplicate ID</v>
      </c>
      <c r="Q2204" t="str">
        <f t="shared" si="139"/>
        <v>20,000-24,999</v>
      </c>
      <c r="R2204" s="6">
        <f>IF(COUNTIF($A$2:A2204,A2204)=1,1,0)</f>
        <v>0</v>
      </c>
    </row>
    <row r="2205" spans="1:18" x14ac:dyDescent="0.25">
      <c r="A2205" s="6">
        <v>1209</v>
      </c>
      <c r="B2205" s="7">
        <v>45112</v>
      </c>
      <c r="C2205" t="s">
        <v>1648</v>
      </c>
      <c r="D2205" s="6">
        <v>2017</v>
      </c>
      <c r="E2205" s="8">
        <v>17024</v>
      </c>
      <c r="F2205" s="8">
        <v>22000</v>
      </c>
      <c r="G2205" s="8">
        <f t="shared" si="136"/>
        <v>4976</v>
      </c>
      <c r="H2205" s="6">
        <v>60000</v>
      </c>
      <c r="I2205" t="s">
        <v>69</v>
      </c>
      <c r="J2205" t="s">
        <v>72</v>
      </c>
      <c r="K2205" t="s">
        <v>96</v>
      </c>
      <c r="L2205" t="s">
        <v>100</v>
      </c>
      <c r="M2205" t="s">
        <v>1647</v>
      </c>
      <c r="N2205" s="6">
        <v>0</v>
      </c>
      <c r="O2205" t="str">
        <f t="shared" si="137"/>
        <v>Normal</v>
      </c>
      <c r="P2205" t="str">
        <f t="shared" si="138"/>
        <v>Duplicate ID</v>
      </c>
      <c r="Q2205" t="str">
        <f t="shared" si="139"/>
        <v>15,000-19,999</v>
      </c>
      <c r="R2205" s="6">
        <f>IF(COUNTIF($A$2:A2205,A2205)=1,1,0)</f>
        <v>0</v>
      </c>
    </row>
    <row r="2206" spans="1:18" x14ac:dyDescent="0.25">
      <c r="A2206" s="6">
        <v>1527</v>
      </c>
      <c r="B2206" s="7">
        <v>44581</v>
      </c>
      <c r="C2206" t="s">
        <v>79</v>
      </c>
      <c r="D2206" s="6">
        <v>2015</v>
      </c>
      <c r="E2206" s="8">
        <v>9810</v>
      </c>
      <c r="F2206" s="8">
        <v>12000</v>
      </c>
      <c r="G2206" s="8">
        <f t="shared" si="136"/>
        <v>2190</v>
      </c>
      <c r="H2206" s="6">
        <v>60000</v>
      </c>
      <c r="I2206" t="s">
        <v>58</v>
      </c>
      <c r="J2206" t="s">
        <v>1647</v>
      </c>
      <c r="K2206" t="s">
        <v>96</v>
      </c>
      <c r="L2206" t="s">
        <v>73</v>
      </c>
      <c r="M2206" t="s">
        <v>1647</v>
      </c>
      <c r="N2206" s="6">
        <v>2</v>
      </c>
      <c r="O2206" t="str">
        <f t="shared" si="137"/>
        <v>Normal</v>
      </c>
      <c r="P2206" t="str">
        <f t="shared" si="138"/>
        <v>Duplicate ID</v>
      </c>
      <c r="Q2206" t="str">
        <f t="shared" si="139"/>
        <v>5,000-9,999</v>
      </c>
      <c r="R2206" s="6">
        <f>IF(COUNTIF($A$2:A2206,A2206)=1,1,0)</f>
        <v>0</v>
      </c>
    </row>
    <row r="2207" spans="1:18" x14ac:dyDescent="0.25">
      <c r="A2207" s="6">
        <v>1540</v>
      </c>
      <c r="B2207" s="7">
        <v>45054</v>
      </c>
      <c r="C2207" t="s">
        <v>57</v>
      </c>
      <c r="D2207" s="6">
        <v>2019</v>
      </c>
      <c r="E2207" s="8">
        <v>17175</v>
      </c>
      <c r="F2207" s="8">
        <v>22000</v>
      </c>
      <c r="G2207" s="8">
        <f t="shared" si="136"/>
        <v>4825</v>
      </c>
      <c r="H2207" s="6">
        <v>120000</v>
      </c>
      <c r="I2207" t="s">
        <v>69</v>
      </c>
      <c r="J2207" t="s">
        <v>1647</v>
      </c>
      <c r="K2207" t="s">
        <v>36</v>
      </c>
      <c r="L2207" t="s">
        <v>100</v>
      </c>
      <c r="M2207" t="s">
        <v>126</v>
      </c>
      <c r="N2207" s="6" t="s">
        <v>1647</v>
      </c>
      <c r="O2207" t="str">
        <f t="shared" si="137"/>
        <v>Normal</v>
      </c>
      <c r="P2207" t="str">
        <f t="shared" si="138"/>
        <v>Duplicate ID</v>
      </c>
      <c r="Q2207" t="str">
        <f t="shared" si="139"/>
        <v>15,000-19,999</v>
      </c>
      <c r="R2207" s="6">
        <f>IF(COUNTIF($A$2:A2207,A2207)=1,1,0)</f>
        <v>0</v>
      </c>
    </row>
    <row r="2208" spans="1:18" x14ac:dyDescent="0.25">
      <c r="A2208" s="6">
        <v>1310</v>
      </c>
      <c r="B2208" s="7">
        <v>44869</v>
      </c>
      <c r="C2208" t="s">
        <v>32</v>
      </c>
      <c r="D2208" s="6"/>
      <c r="E2208" s="8">
        <v>19047</v>
      </c>
      <c r="F2208" s="8">
        <v>26000</v>
      </c>
      <c r="G2208" s="8">
        <f t="shared" si="136"/>
        <v>6953</v>
      </c>
      <c r="H2208" s="6">
        <v>120000</v>
      </c>
      <c r="I2208" t="s">
        <v>69</v>
      </c>
      <c r="J2208" t="s">
        <v>35</v>
      </c>
      <c r="K2208" t="s">
        <v>96</v>
      </c>
      <c r="L2208" t="s">
        <v>1647</v>
      </c>
      <c r="M2208" t="s">
        <v>1647</v>
      </c>
      <c r="N2208" s="6">
        <v>2</v>
      </c>
      <c r="O2208" t="str">
        <f t="shared" si="137"/>
        <v>Normal</v>
      </c>
      <c r="P2208" t="str">
        <f t="shared" si="138"/>
        <v>Duplicate ID</v>
      </c>
      <c r="Q2208" t="str">
        <f t="shared" si="139"/>
        <v>15,000-19,999</v>
      </c>
      <c r="R2208" s="6">
        <f>IF(COUNTIF($A$2:A2208,A2208)=1,1,0)</f>
        <v>0</v>
      </c>
    </row>
    <row r="2209" spans="1:18" x14ac:dyDescent="0.25">
      <c r="A2209" s="6">
        <v>1261</v>
      </c>
      <c r="B2209" s="7">
        <v>44475</v>
      </c>
      <c r="C2209" t="s">
        <v>32</v>
      </c>
      <c r="D2209" s="6">
        <v>2019</v>
      </c>
      <c r="E2209" s="8">
        <v>1314</v>
      </c>
      <c r="F2209" s="8">
        <v>7000</v>
      </c>
      <c r="G2209" s="8">
        <f t="shared" si="136"/>
        <v>5686</v>
      </c>
      <c r="H2209" s="6">
        <v>80000</v>
      </c>
      <c r="I2209" t="s">
        <v>69</v>
      </c>
      <c r="J2209" t="s">
        <v>35</v>
      </c>
      <c r="K2209" t="s">
        <v>96</v>
      </c>
      <c r="L2209" t="s">
        <v>48</v>
      </c>
      <c r="M2209" t="s">
        <v>45</v>
      </c>
      <c r="N2209" s="6">
        <v>2</v>
      </c>
      <c r="O2209" t="str">
        <f t="shared" si="137"/>
        <v>Normal</v>
      </c>
      <c r="P2209" t="str">
        <f t="shared" si="138"/>
        <v>Duplicate ID</v>
      </c>
      <c r="Q2209" t="str">
        <f t="shared" si="139"/>
        <v>0-4,999</v>
      </c>
      <c r="R2209" s="6">
        <f>IF(COUNTIF($A$2:A2209,A2209)=1,1,0)</f>
        <v>0</v>
      </c>
    </row>
    <row r="2210" spans="1:18" x14ac:dyDescent="0.25">
      <c r="A2210" s="6">
        <v>1523</v>
      </c>
      <c r="B2210" s="7">
        <v>45238</v>
      </c>
      <c r="C2210" t="s">
        <v>79</v>
      </c>
      <c r="D2210" s="6"/>
      <c r="E2210" s="8">
        <v>11276</v>
      </c>
      <c r="F2210" s="8">
        <v>15000</v>
      </c>
      <c r="G2210" s="8">
        <f t="shared" si="136"/>
        <v>3724</v>
      </c>
      <c r="H2210" s="6">
        <v>40000</v>
      </c>
      <c r="I2210" t="s">
        <v>58</v>
      </c>
      <c r="J2210" t="s">
        <v>35</v>
      </c>
      <c r="K2210" t="s">
        <v>96</v>
      </c>
      <c r="L2210" t="s">
        <v>48</v>
      </c>
      <c r="M2210" t="s">
        <v>45</v>
      </c>
      <c r="N2210" s="6">
        <v>2</v>
      </c>
      <c r="O2210" t="str">
        <f t="shared" si="137"/>
        <v>Normal</v>
      </c>
      <c r="P2210" t="str">
        <f t="shared" si="138"/>
        <v>Duplicate ID</v>
      </c>
      <c r="Q2210" t="str">
        <f t="shared" si="139"/>
        <v>10,000-14,999</v>
      </c>
      <c r="R2210" s="6">
        <f>IF(COUNTIF($A$2:A2210,A2210)=1,1,0)</f>
        <v>1</v>
      </c>
    </row>
    <row r="2211" spans="1:18" x14ac:dyDescent="0.25">
      <c r="A2211" s="6">
        <v>1588</v>
      </c>
      <c r="B2211" s="7">
        <v>44959</v>
      </c>
      <c r="C2211" t="s">
        <v>1648</v>
      </c>
      <c r="D2211" s="6">
        <v>2021</v>
      </c>
      <c r="E2211" s="8">
        <v>27776</v>
      </c>
      <c r="F2211" s="8">
        <v>31000</v>
      </c>
      <c r="G2211" s="8">
        <f t="shared" si="136"/>
        <v>3224</v>
      </c>
      <c r="H2211" s="6">
        <v>60000</v>
      </c>
      <c r="I2211" t="s">
        <v>41</v>
      </c>
      <c r="J2211" t="s">
        <v>35</v>
      </c>
      <c r="K2211" t="s">
        <v>36</v>
      </c>
      <c r="L2211" t="s">
        <v>1647</v>
      </c>
      <c r="M2211" t="s">
        <v>98</v>
      </c>
      <c r="N2211" s="6">
        <v>1</v>
      </c>
      <c r="O2211" t="str">
        <f t="shared" si="137"/>
        <v>Normal</v>
      </c>
      <c r="P2211" t="str">
        <f t="shared" si="138"/>
        <v>Duplicate ID</v>
      </c>
      <c r="Q2211" t="str">
        <f t="shared" si="139"/>
        <v>25,000-30,000</v>
      </c>
      <c r="R2211" s="6">
        <f>IF(COUNTIF($A$2:A2211,A2211)=1,1,0)</f>
        <v>0</v>
      </c>
    </row>
    <row r="2212" spans="1:18" x14ac:dyDescent="0.25">
      <c r="A2212" s="6">
        <v>1039</v>
      </c>
      <c r="B2212" s="7">
        <v>45159</v>
      </c>
      <c r="C2212" t="s">
        <v>51</v>
      </c>
      <c r="D2212" s="6"/>
      <c r="E2212" s="8">
        <v>9117</v>
      </c>
      <c r="F2212" s="8">
        <v>15000</v>
      </c>
      <c r="G2212" s="8">
        <f t="shared" si="136"/>
        <v>5883</v>
      </c>
      <c r="H2212" s="6">
        <v>60000</v>
      </c>
      <c r="I2212" t="s">
        <v>69</v>
      </c>
      <c r="J2212" t="s">
        <v>72</v>
      </c>
      <c r="K2212" t="s">
        <v>1647</v>
      </c>
      <c r="L2212" t="s">
        <v>54</v>
      </c>
      <c r="M2212" t="s">
        <v>1647</v>
      </c>
      <c r="N2212" s="6">
        <v>2</v>
      </c>
      <c r="O2212" t="str">
        <f t="shared" si="137"/>
        <v>Normal</v>
      </c>
      <c r="P2212" t="str">
        <f t="shared" si="138"/>
        <v>Duplicate ID</v>
      </c>
      <c r="Q2212" t="str">
        <f t="shared" si="139"/>
        <v>5,000-9,999</v>
      </c>
      <c r="R2212" s="6">
        <f>IF(COUNTIF($A$2:A2212,A2212)=1,1,0)</f>
        <v>0</v>
      </c>
    </row>
    <row r="2213" spans="1:18" x14ac:dyDescent="0.25">
      <c r="A2213" s="6">
        <v>1436</v>
      </c>
      <c r="B2213" s="7">
        <v>45090</v>
      </c>
      <c r="C2213" t="s">
        <v>1648</v>
      </c>
      <c r="D2213" s="6">
        <v>2021</v>
      </c>
      <c r="E2213" s="8">
        <v>16136</v>
      </c>
      <c r="F2213" s="8">
        <v>18000</v>
      </c>
      <c r="G2213" s="8">
        <f t="shared" si="136"/>
        <v>1864</v>
      </c>
      <c r="H2213" s="6">
        <v>120000</v>
      </c>
      <c r="I2213" t="s">
        <v>34</v>
      </c>
      <c r="J2213" t="s">
        <v>72</v>
      </c>
      <c r="K2213" t="s">
        <v>36</v>
      </c>
      <c r="L2213" t="s">
        <v>100</v>
      </c>
      <c r="M2213" t="s">
        <v>45</v>
      </c>
      <c r="N2213" s="6">
        <v>2</v>
      </c>
      <c r="O2213" t="str">
        <f t="shared" si="137"/>
        <v>Normal</v>
      </c>
      <c r="P2213" t="str">
        <f t="shared" si="138"/>
        <v>Duplicate ID</v>
      </c>
      <c r="Q2213" t="str">
        <f t="shared" si="139"/>
        <v>15,000-19,999</v>
      </c>
      <c r="R2213" s="6">
        <f>IF(COUNTIF($A$2:A2213,A2213)=1,1,0)</f>
        <v>0</v>
      </c>
    </row>
    <row r="2214" spans="1:18" x14ac:dyDescent="0.25">
      <c r="A2214" s="6">
        <v>1457</v>
      </c>
      <c r="B2214" s="7">
        <v>45079</v>
      </c>
      <c r="C2214" t="s">
        <v>119</v>
      </c>
      <c r="D2214" s="6">
        <v>2019</v>
      </c>
      <c r="E2214" s="8">
        <v>2311</v>
      </c>
      <c r="F2214" s="8">
        <v>7000</v>
      </c>
      <c r="G2214" s="8">
        <f t="shared" si="136"/>
        <v>4689</v>
      </c>
      <c r="H2214" s="6">
        <v>25000</v>
      </c>
      <c r="I2214" t="s">
        <v>69</v>
      </c>
      <c r="J2214" t="s">
        <v>35</v>
      </c>
      <c r="K2214" t="s">
        <v>36</v>
      </c>
      <c r="L2214" t="s">
        <v>100</v>
      </c>
      <c r="M2214" t="s">
        <v>98</v>
      </c>
      <c r="N2214" s="6">
        <v>1</v>
      </c>
      <c r="O2214" t="str">
        <f t="shared" si="137"/>
        <v>Normal</v>
      </c>
      <c r="P2214" t="str">
        <f t="shared" si="138"/>
        <v>Duplicate ID</v>
      </c>
      <c r="Q2214" t="str">
        <f t="shared" si="139"/>
        <v>0-4,999</v>
      </c>
      <c r="R2214" s="6">
        <f>IF(COUNTIF($A$2:A2214,A2214)=1,1,0)</f>
        <v>0</v>
      </c>
    </row>
    <row r="2215" spans="1:18" x14ac:dyDescent="0.25">
      <c r="A2215" s="6">
        <v>1376</v>
      </c>
      <c r="B2215" s="7">
        <v>44776</v>
      </c>
      <c r="C2215" t="s">
        <v>1648</v>
      </c>
      <c r="D2215" s="6">
        <v>2020</v>
      </c>
      <c r="E2215" s="8">
        <v>20486</v>
      </c>
      <c r="F2215" s="8">
        <v>22000</v>
      </c>
      <c r="G2215" s="8">
        <f t="shared" si="136"/>
        <v>1514</v>
      </c>
      <c r="H2215" s="6">
        <v>25000</v>
      </c>
      <c r="I2215" t="s">
        <v>41</v>
      </c>
      <c r="J2215" t="s">
        <v>72</v>
      </c>
      <c r="K2215" t="s">
        <v>36</v>
      </c>
      <c r="L2215" t="s">
        <v>73</v>
      </c>
      <c r="M2215" t="s">
        <v>45</v>
      </c>
      <c r="N2215" s="6">
        <v>2</v>
      </c>
      <c r="O2215" t="str">
        <f t="shared" si="137"/>
        <v>Normal</v>
      </c>
      <c r="P2215" t="str">
        <f t="shared" si="138"/>
        <v>Duplicate ID</v>
      </c>
      <c r="Q2215" t="str">
        <f t="shared" si="139"/>
        <v>20,000-24,999</v>
      </c>
      <c r="R2215" s="6">
        <f>IF(COUNTIF($A$2:A2215,A2215)=1,1,0)</f>
        <v>0</v>
      </c>
    </row>
    <row r="2216" spans="1:18" x14ac:dyDescent="0.25">
      <c r="A2216" s="6">
        <v>1344</v>
      </c>
      <c r="B2216" s="7">
        <v>44925</v>
      </c>
      <c r="C2216" t="s">
        <v>79</v>
      </c>
      <c r="D2216" s="6">
        <v>2019</v>
      </c>
      <c r="E2216" s="8">
        <v>11107</v>
      </c>
      <c r="F2216" s="8">
        <v>15000</v>
      </c>
      <c r="G2216" s="8">
        <f t="shared" si="136"/>
        <v>3893</v>
      </c>
      <c r="H2216" s="6">
        <v>40000</v>
      </c>
      <c r="I2216" t="s">
        <v>58</v>
      </c>
      <c r="J2216" t="s">
        <v>35</v>
      </c>
      <c r="K2216" t="s">
        <v>96</v>
      </c>
      <c r="L2216" t="s">
        <v>1647</v>
      </c>
      <c r="M2216" t="s">
        <v>90</v>
      </c>
      <c r="N2216" s="6">
        <v>1</v>
      </c>
      <c r="O2216" t="str">
        <f t="shared" si="137"/>
        <v>Normal</v>
      </c>
      <c r="P2216" t="str">
        <f t="shared" si="138"/>
        <v>Duplicate ID</v>
      </c>
      <c r="Q2216" t="str">
        <f t="shared" si="139"/>
        <v>10,000-14,999</v>
      </c>
      <c r="R2216" s="6">
        <f>IF(COUNTIF($A$2:A2216,A2216)=1,1,0)</f>
        <v>0</v>
      </c>
    </row>
    <row r="2217" spans="1:18" x14ac:dyDescent="0.25">
      <c r="A2217" s="6">
        <v>1521</v>
      </c>
      <c r="B2217" s="7">
        <v>45046</v>
      </c>
      <c r="C2217" t="s">
        <v>79</v>
      </c>
      <c r="D2217" s="6">
        <v>2018</v>
      </c>
      <c r="E2217" s="8">
        <v>26604</v>
      </c>
      <c r="F2217" s="8">
        <v>31000</v>
      </c>
      <c r="G2217" s="8">
        <f t="shared" si="136"/>
        <v>4396</v>
      </c>
      <c r="H2217" s="6">
        <v>120000</v>
      </c>
      <c r="I2217" t="s">
        <v>41</v>
      </c>
      <c r="J2217" t="s">
        <v>72</v>
      </c>
      <c r="K2217" t="s">
        <v>1647</v>
      </c>
      <c r="L2217" t="s">
        <v>73</v>
      </c>
      <c r="M2217" t="s">
        <v>126</v>
      </c>
      <c r="N2217" s="6" t="s">
        <v>1647</v>
      </c>
      <c r="O2217" t="str">
        <f t="shared" si="137"/>
        <v>Normal</v>
      </c>
      <c r="P2217" t="str">
        <f t="shared" si="138"/>
        <v>Duplicate ID</v>
      </c>
      <c r="Q2217" t="str">
        <f t="shared" si="139"/>
        <v>25,000-30,000</v>
      </c>
      <c r="R2217" s="6">
        <f>IF(COUNTIF($A$2:A2217,A2217)=1,1,0)</f>
        <v>0</v>
      </c>
    </row>
    <row r="2218" spans="1:18" x14ac:dyDescent="0.25">
      <c r="A2218" s="6">
        <v>1090</v>
      </c>
      <c r="B2218" s="7">
        <v>45167</v>
      </c>
      <c r="C2218" t="s">
        <v>1648</v>
      </c>
      <c r="D2218" s="6">
        <v>2014</v>
      </c>
      <c r="E2218" s="8">
        <v>16350</v>
      </c>
      <c r="F2218" s="8">
        <v>18000</v>
      </c>
      <c r="G2218" s="8">
        <f t="shared" si="136"/>
        <v>1650</v>
      </c>
      <c r="H2218" s="6">
        <v>25000</v>
      </c>
      <c r="I2218" t="s">
        <v>69</v>
      </c>
      <c r="J2218" t="s">
        <v>35</v>
      </c>
      <c r="K2218" t="s">
        <v>36</v>
      </c>
      <c r="L2218" t="s">
        <v>48</v>
      </c>
      <c r="M2218" t="s">
        <v>90</v>
      </c>
      <c r="N2218" s="6">
        <v>1</v>
      </c>
      <c r="O2218" t="str">
        <f t="shared" si="137"/>
        <v>Normal</v>
      </c>
      <c r="P2218" t="str">
        <f t="shared" si="138"/>
        <v>Duplicate ID</v>
      </c>
      <c r="Q2218" t="str">
        <f t="shared" si="139"/>
        <v>15,000-19,999</v>
      </c>
      <c r="R2218" s="6">
        <f>IF(COUNTIF($A$2:A2218,A2218)=1,1,0)</f>
        <v>0</v>
      </c>
    </row>
    <row r="2219" spans="1:18" x14ac:dyDescent="0.25">
      <c r="A2219" s="6">
        <v>1070</v>
      </c>
      <c r="B2219" s="7">
        <v>44693</v>
      </c>
      <c r="C2219" t="s">
        <v>79</v>
      </c>
      <c r="D2219" s="6">
        <v>2022</v>
      </c>
      <c r="E2219" s="8">
        <v>19954</v>
      </c>
      <c r="F2219" s="8">
        <v>26000</v>
      </c>
      <c r="G2219" s="8">
        <f t="shared" si="136"/>
        <v>6046</v>
      </c>
      <c r="H2219" s="6">
        <v>15000</v>
      </c>
      <c r="I2219" t="s">
        <v>69</v>
      </c>
      <c r="J2219" t="s">
        <v>35</v>
      </c>
      <c r="K2219" t="s">
        <v>36</v>
      </c>
      <c r="L2219" t="s">
        <v>73</v>
      </c>
      <c r="M2219" t="s">
        <v>45</v>
      </c>
      <c r="N2219" s="6">
        <v>2</v>
      </c>
      <c r="O2219" t="str">
        <f t="shared" si="137"/>
        <v>Normal</v>
      </c>
      <c r="P2219" t="str">
        <f t="shared" si="138"/>
        <v>Duplicate ID</v>
      </c>
      <c r="Q2219" t="str">
        <f t="shared" si="139"/>
        <v>15,000-19,999</v>
      </c>
      <c r="R2219" s="6">
        <f>IF(COUNTIF($A$2:A2219,A2219)=1,1,0)</f>
        <v>0</v>
      </c>
    </row>
    <row r="2220" spans="1:18" x14ac:dyDescent="0.25">
      <c r="A2220" s="6">
        <v>1209</v>
      </c>
      <c r="B2220" s="7">
        <v>44953</v>
      </c>
      <c r="C2220" t="s">
        <v>57</v>
      </c>
      <c r="D2220" s="6"/>
      <c r="E2220" s="8">
        <v>7116</v>
      </c>
      <c r="F2220" s="8">
        <v>9000</v>
      </c>
      <c r="G2220" s="8">
        <f t="shared" si="136"/>
        <v>1884</v>
      </c>
      <c r="H2220" s="6">
        <v>15000</v>
      </c>
      <c r="I2220" t="s">
        <v>41</v>
      </c>
      <c r="J2220" t="s">
        <v>1647</v>
      </c>
      <c r="K2220" t="s">
        <v>36</v>
      </c>
      <c r="L2220" t="s">
        <v>100</v>
      </c>
      <c r="M2220" t="s">
        <v>90</v>
      </c>
      <c r="N2220" s="6" t="s">
        <v>1647</v>
      </c>
      <c r="O2220" t="str">
        <f t="shared" si="137"/>
        <v>Normal</v>
      </c>
      <c r="P2220" t="str">
        <f t="shared" si="138"/>
        <v>Duplicate ID</v>
      </c>
      <c r="Q2220" t="str">
        <f t="shared" si="139"/>
        <v>5,000-9,999</v>
      </c>
      <c r="R2220" s="6">
        <f>IF(COUNTIF($A$2:A2220,A2220)=1,1,0)</f>
        <v>0</v>
      </c>
    </row>
    <row r="2221" spans="1:18" x14ac:dyDescent="0.25">
      <c r="A2221" s="6">
        <v>1002</v>
      </c>
      <c r="B2221" s="7">
        <v>44575</v>
      </c>
      <c r="C2221" t="s">
        <v>1648</v>
      </c>
      <c r="D2221" s="6">
        <v>2017</v>
      </c>
      <c r="E2221" s="8">
        <v>29652</v>
      </c>
      <c r="F2221" s="8">
        <v>31000</v>
      </c>
      <c r="G2221" s="8">
        <f t="shared" si="136"/>
        <v>1348</v>
      </c>
      <c r="H2221" s="6">
        <v>80000</v>
      </c>
      <c r="I2221" t="s">
        <v>1647</v>
      </c>
      <c r="J2221" t="s">
        <v>1647</v>
      </c>
      <c r="K2221" t="s">
        <v>36</v>
      </c>
      <c r="L2221" t="s">
        <v>73</v>
      </c>
      <c r="M2221" t="s">
        <v>1647</v>
      </c>
      <c r="N2221" s="6" t="s">
        <v>1647</v>
      </c>
      <c r="O2221" t="str">
        <f t="shared" si="137"/>
        <v>Normal</v>
      </c>
      <c r="P2221" t="str">
        <f t="shared" si="138"/>
        <v>Duplicate ID</v>
      </c>
      <c r="Q2221" t="str">
        <f t="shared" si="139"/>
        <v>25,000-30,000</v>
      </c>
      <c r="R2221" s="6">
        <f>IF(COUNTIF($A$2:A2221,A2221)=1,1,0)</f>
        <v>0</v>
      </c>
    </row>
    <row r="2222" spans="1:18" x14ac:dyDescent="0.25">
      <c r="A2222" s="6">
        <v>1101</v>
      </c>
      <c r="B2222" s="7">
        <v>45261</v>
      </c>
      <c r="C2222" t="s">
        <v>57</v>
      </c>
      <c r="D2222" s="6">
        <v>2022</v>
      </c>
      <c r="E2222" s="8">
        <v>13316</v>
      </c>
      <c r="F2222" s="8">
        <v>18000</v>
      </c>
      <c r="G2222" s="8">
        <f t="shared" si="136"/>
        <v>4684</v>
      </c>
      <c r="H2222" s="6">
        <v>40000</v>
      </c>
      <c r="I2222" t="s">
        <v>34</v>
      </c>
      <c r="J2222" t="s">
        <v>35</v>
      </c>
      <c r="K2222" t="s">
        <v>96</v>
      </c>
      <c r="L2222" t="s">
        <v>100</v>
      </c>
      <c r="M2222" t="s">
        <v>126</v>
      </c>
      <c r="N2222" s="6" t="s">
        <v>1647</v>
      </c>
      <c r="O2222" t="str">
        <f t="shared" si="137"/>
        <v>Normal</v>
      </c>
      <c r="P2222" t="str">
        <f t="shared" si="138"/>
        <v>Duplicate ID</v>
      </c>
      <c r="Q2222" t="str">
        <f t="shared" si="139"/>
        <v>10,000-14,999</v>
      </c>
      <c r="R2222" s="6">
        <f>IF(COUNTIF($A$2:A2222,A2222)=1,1,0)</f>
        <v>0</v>
      </c>
    </row>
    <row r="2223" spans="1:18" x14ac:dyDescent="0.25">
      <c r="A2223" s="6">
        <v>1414</v>
      </c>
      <c r="B2223" s="7">
        <v>44578</v>
      </c>
      <c r="C2223" t="s">
        <v>119</v>
      </c>
      <c r="D2223" s="6">
        <v>2018</v>
      </c>
      <c r="E2223" s="8">
        <v>5592</v>
      </c>
      <c r="F2223" s="8">
        <v>9000</v>
      </c>
      <c r="G2223" s="8">
        <f t="shared" si="136"/>
        <v>3408</v>
      </c>
      <c r="H2223" s="6">
        <v>25000</v>
      </c>
      <c r="I2223" t="s">
        <v>34</v>
      </c>
      <c r="J2223" t="s">
        <v>72</v>
      </c>
      <c r="K2223" t="s">
        <v>96</v>
      </c>
      <c r="L2223" t="s">
        <v>73</v>
      </c>
      <c r="M2223" t="s">
        <v>45</v>
      </c>
      <c r="N2223" s="6">
        <v>3</v>
      </c>
      <c r="O2223" t="str">
        <f t="shared" si="137"/>
        <v>Normal</v>
      </c>
      <c r="P2223" t="str">
        <f t="shared" si="138"/>
        <v>Duplicate ID</v>
      </c>
      <c r="Q2223" t="str">
        <f t="shared" si="139"/>
        <v>5,000-9,999</v>
      </c>
      <c r="R2223" s="6">
        <f>IF(COUNTIF($A$2:A2223,A2223)=1,1,0)</f>
        <v>0</v>
      </c>
    </row>
    <row r="2224" spans="1:18" x14ac:dyDescent="0.25">
      <c r="A2224" s="6">
        <v>1416</v>
      </c>
      <c r="B2224" s="7">
        <v>45086</v>
      </c>
      <c r="C2224" t="s">
        <v>57</v>
      </c>
      <c r="D2224" s="6">
        <v>2018</v>
      </c>
      <c r="E2224" s="8">
        <v>6091</v>
      </c>
      <c r="F2224" s="8">
        <v>12000</v>
      </c>
      <c r="G2224" s="8">
        <f t="shared" si="136"/>
        <v>5909</v>
      </c>
      <c r="H2224" s="6">
        <v>60000</v>
      </c>
      <c r="I2224" t="s">
        <v>41</v>
      </c>
      <c r="J2224" t="s">
        <v>1647</v>
      </c>
      <c r="K2224" t="s">
        <v>96</v>
      </c>
      <c r="L2224" t="s">
        <v>48</v>
      </c>
      <c r="M2224" t="s">
        <v>45</v>
      </c>
      <c r="N2224" s="6">
        <v>2</v>
      </c>
      <c r="O2224" t="str">
        <f t="shared" si="137"/>
        <v>Normal</v>
      </c>
      <c r="P2224" t="str">
        <f t="shared" si="138"/>
        <v>Duplicate ID</v>
      </c>
      <c r="Q2224" t="str">
        <f t="shared" si="139"/>
        <v>5,000-9,999</v>
      </c>
      <c r="R2224" s="6">
        <f>IF(COUNTIF($A$2:A2224,A2224)=1,1,0)</f>
        <v>0</v>
      </c>
    </row>
    <row r="2225" spans="1:18" x14ac:dyDescent="0.25">
      <c r="A2225" s="6">
        <v>1313</v>
      </c>
      <c r="B2225" s="7">
        <v>44377</v>
      </c>
      <c r="C2225" t="s">
        <v>57</v>
      </c>
      <c r="D2225" s="6">
        <v>2018</v>
      </c>
      <c r="E2225" s="8">
        <v>21348</v>
      </c>
      <c r="F2225" s="8">
        <v>26000</v>
      </c>
      <c r="G2225" s="8">
        <f t="shared" si="136"/>
        <v>4652</v>
      </c>
      <c r="H2225" s="6">
        <v>80000</v>
      </c>
      <c r="I2225" t="s">
        <v>58</v>
      </c>
      <c r="J2225" t="s">
        <v>1647</v>
      </c>
      <c r="K2225" t="s">
        <v>1647</v>
      </c>
      <c r="L2225" t="s">
        <v>54</v>
      </c>
      <c r="M2225" t="s">
        <v>90</v>
      </c>
      <c r="N2225" s="6">
        <v>0</v>
      </c>
      <c r="O2225" t="str">
        <f t="shared" si="137"/>
        <v>Normal</v>
      </c>
      <c r="P2225" t="str">
        <f t="shared" si="138"/>
        <v>Duplicate ID</v>
      </c>
      <c r="Q2225" t="str">
        <f t="shared" si="139"/>
        <v>20,000-24,999</v>
      </c>
      <c r="R2225" s="6">
        <f>IF(COUNTIF($A$2:A2225,A2225)=1,1,0)</f>
        <v>0</v>
      </c>
    </row>
    <row r="2226" spans="1:18" x14ac:dyDescent="0.25">
      <c r="A2226" s="6">
        <v>1200</v>
      </c>
      <c r="B2226" s="7">
        <v>44492</v>
      </c>
      <c r="C2226" t="s">
        <v>51</v>
      </c>
      <c r="D2226" s="6">
        <v>2019</v>
      </c>
      <c r="E2226" s="8">
        <v>22453</v>
      </c>
      <c r="F2226" s="8">
        <v>26000</v>
      </c>
      <c r="G2226" s="8">
        <f t="shared" si="136"/>
        <v>3547</v>
      </c>
      <c r="H2226" s="6">
        <v>60000</v>
      </c>
      <c r="I2226" t="s">
        <v>34</v>
      </c>
      <c r="J2226" t="s">
        <v>1647</v>
      </c>
      <c r="K2226" t="s">
        <v>36</v>
      </c>
      <c r="L2226" t="s">
        <v>1647</v>
      </c>
      <c r="M2226" t="s">
        <v>98</v>
      </c>
      <c r="N2226" s="6">
        <v>2</v>
      </c>
      <c r="O2226" t="str">
        <f t="shared" si="137"/>
        <v>Normal</v>
      </c>
      <c r="P2226" t="str">
        <f t="shared" si="138"/>
        <v>Duplicate ID</v>
      </c>
      <c r="Q2226" t="str">
        <f t="shared" si="139"/>
        <v>20,000-24,999</v>
      </c>
      <c r="R2226" s="6">
        <f>IF(COUNTIF($A$2:A2226,A2226)=1,1,0)</f>
        <v>0</v>
      </c>
    </row>
    <row r="2227" spans="1:18" x14ac:dyDescent="0.25">
      <c r="A2227" s="6">
        <v>1124</v>
      </c>
      <c r="B2227" s="7">
        <v>44327</v>
      </c>
      <c r="C2227" t="s">
        <v>79</v>
      </c>
      <c r="D2227" s="6">
        <v>2020</v>
      </c>
      <c r="E2227" s="8">
        <v>20746</v>
      </c>
      <c r="F2227" s="8">
        <v>26000</v>
      </c>
      <c r="G2227" s="8">
        <f t="shared" si="136"/>
        <v>5254</v>
      </c>
      <c r="H2227" s="6">
        <v>120000</v>
      </c>
      <c r="I2227" t="s">
        <v>58</v>
      </c>
      <c r="J2227" t="s">
        <v>35</v>
      </c>
      <c r="K2227" t="s">
        <v>36</v>
      </c>
      <c r="L2227" t="s">
        <v>54</v>
      </c>
      <c r="M2227" t="s">
        <v>98</v>
      </c>
      <c r="N2227" s="6" t="s">
        <v>1647</v>
      </c>
      <c r="O2227" t="str">
        <f t="shared" si="137"/>
        <v>Normal</v>
      </c>
      <c r="P2227" t="str">
        <f t="shared" si="138"/>
        <v>Duplicate ID</v>
      </c>
      <c r="Q2227" t="str">
        <f t="shared" si="139"/>
        <v>20,000-24,999</v>
      </c>
      <c r="R2227" s="6">
        <f>IF(COUNTIF($A$2:A2227,A2227)=1,1,0)</f>
        <v>0</v>
      </c>
    </row>
    <row r="2228" spans="1:18" x14ac:dyDescent="0.25">
      <c r="A2228" s="6">
        <v>1212</v>
      </c>
      <c r="B2228" s="7">
        <v>45154</v>
      </c>
      <c r="C2228" t="s">
        <v>1648</v>
      </c>
      <c r="D2228" s="6">
        <v>2016</v>
      </c>
      <c r="E2228" s="8">
        <v>9145</v>
      </c>
      <c r="F2228" s="8">
        <v>12000</v>
      </c>
      <c r="G2228" s="8">
        <f t="shared" si="136"/>
        <v>2855</v>
      </c>
      <c r="H2228" s="6">
        <v>15000</v>
      </c>
      <c r="I2228" t="s">
        <v>41</v>
      </c>
      <c r="J2228" t="s">
        <v>72</v>
      </c>
      <c r="K2228" t="s">
        <v>36</v>
      </c>
      <c r="L2228" t="s">
        <v>100</v>
      </c>
      <c r="M2228" t="s">
        <v>1647</v>
      </c>
      <c r="N2228" s="6">
        <v>3</v>
      </c>
      <c r="O2228" t="str">
        <f t="shared" si="137"/>
        <v>Normal</v>
      </c>
      <c r="P2228" t="str">
        <f t="shared" si="138"/>
        <v>Duplicate ID</v>
      </c>
      <c r="Q2228" t="str">
        <f t="shared" si="139"/>
        <v>5,000-9,999</v>
      </c>
      <c r="R2228" s="6">
        <f>IF(COUNTIF($A$2:A2228,A2228)=1,1,0)</f>
        <v>0</v>
      </c>
    </row>
    <row r="2229" spans="1:18" x14ac:dyDescent="0.25">
      <c r="A2229" s="6">
        <v>1052</v>
      </c>
      <c r="B2229" s="7">
        <v>44697</v>
      </c>
      <c r="C2229" t="s">
        <v>1648</v>
      </c>
      <c r="D2229" s="6">
        <v>2018</v>
      </c>
      <c r="E2229" s="8">
        <v>16893</v>
      </c>
      <c r="F2229" s="8">
        <v>22000</v>
      </c>
      <c r="G2229" s="8">
        <f t="shared" si="136"/>
        <v>5107</v>
      </c>
      <c r="H2229" s="6">
        <v>60000</v>
      </c>
      <c r="I2229" t="s">
        <v>34</v>
      </c>
      <c r="J2229" t="s">
        <v>72</v>
      </c>
      <c r="K2229" t="s">
        <v>96</v>
      </c>
      <c r="L2229" t="s">
        <v>48</v>
      </c>
      <c r="M2229" t="s">
        <v>45</v>
      </c>
      <c r="N2229" s="6">
        <v>3</v>
      </c>
      <c r="O2229" t="str">
        <f t="shared" si="137"/>
        <v>Normal</v>
      </c>
      <c r="P2229" t="str">
        <f t="shared" si="138"/>
        <v>Duplicate ID</v>
      </c>
      <c r="Q2229" t="str">
        <f t="shared" si="139"/>
        <v>15,000-19,999</v>
      </c>
      <c r="R2229" s="6">
        <f>IF(COUNTIF($A$2:A2229,A2229)=1,1,0)</f>
        <v>0</v>
      </c>
    </row>
    <row r="2230" spans="1:18" x14ac:dyDescent="0.25">
      <c r="A2230" s="6">
        <v>1068</v>
      </c>
      <c r="B2230" s="7">
        <v>44887</v>
      </c>
      <c r="C2230" t="s">
        <v>79</v>
      </c>
      <c r="D2230" s="6">
        <v>2022</v>
      </c>
      <c r="E2230" s="8">
        <v>3112</v>
      </c>
      <c r="F2230" s="8">
        <v>7000</v>
      </c>
      <c r="G2230" s="8">
        <f t="shared" si="136"/>
        <v>3888</v>
      </c>
      <c r="H2230" s="6">
        <v>15000</v>
      </c>
      <c r="I2230" t="s">
        <v>1647</v>
      </c>
      <c r="J2230" t="s">
        <v>72</v>
      </c>
      <c r="K2230" t="s">
        <v>96</v>
      </c>
      <c r="L2230" t="s">
        <v>54</v>
      </c>
      <c r="M2230" t="s">
        <v>45</v>
      </c>
      <c r="N2230" s="6">
        <v>1</v>
      </c>
      <c r="O2230" t="str">
        <f t="shared" si="137"/>
        <v>Normal</v>
      </c>
      <c r="P2230" t="str">
        <f t="shared" si="138"/>
        <v>Duplicate ID</v>
      </c>
      <c r="Q2230" t="str">
        <f t="shared" si="139"/>
        <v>0-4,999</v>
      </c>
      <c r="R2230" s="6">
        <f>IF(COUNTIF($A$2:A2230,A2230)=1,1,0)</f>
        <v>0</v>
      </c>
    </row>
    <row r="2231" spans="1:18" x14ac:dyDescent="0.25">
      <c r="A2231" s="6">
        <v>1420</v>
      </c>
      <c r="B2231" s="7">
        <v>44949</v>
      </c>
      <c r="C2231" t="s">
        <v>1648</v>
      </c>
      <c r="D2231" s="6">
        <v>2017</v>
      </c>
      <c r="E2231" s="8">
        <v>10702</v>
      </c>
      <c r="F2231" s="8">
        <v>12000</v>
      </c>
      <c r="G2231" s="8">
        <f t="shared" si="136"/>
        <v>1298</v>
      </c>
      <c r="H2231" s="6">
        <v>60000</v>
      </c>
      <c r="I2231" t="s">
        <v>69</v>
      </c>
      <c r="J2231" t="s">
        <v>72</v>
      </c>
      <c r="K2231" t="s">
        <v>36</v>
      </c>
      <c r="L2231" t="s">
        <v>73</v>
      </c>
      <c r="M2231" t="s">
        <v>126</v>
      </c>
      <c r="N2231" s="6">
        <v>2</v>
      </c>
      <c r="O2231" t="str">
        <f t="shared" si="137"/>
        <v>Normal</v>
      </c>
      <c r="P2231" t="str">
        <f t="shared" si="138"/>
        <v>Duplicate ID</v>
      </c>
      <c r="Q2231" t="str">
        <f t="shared" si="139"/>
        <v>10,000-14,999</v>
      </c>
      <c r="R2231" s="6">
        <f>IF(COUNTIF($A$2:A2231,A2231)=1,1,0)</f>
        <v>0</v>
      </c>
    </row>
    <row r="2232" spans="1:18" x14ac:dyDescent="0.25">
      <c r="A2232" s="6">
        <v>1102</v>
      </c>
      <c r="B2232" s="7">
        <v>45130</v>
      </c>
      <c r="C2232" t="s">
        <v>32</v>
      </c>
      <c r="D2232" s="6">
        <v>2015</v>
      </c>
      <c r="E2232" s="8">
        <v>22952</v>
      </c>
      <c r="F2232" s="8">
        <v>26000</v>
      </c>
      <c r="G2232" s="8">
        <f t="shared" si="136"/>
        <v>3048</v>
      </c>
      <c r="H2232" s="6">
        <v>60000</v>
      </c>
      <c r="I2232" t="s">
        <v>41</v>
      </c>
      <c r="J2232" t="s">
        <v>1647</v>
      </c>
      <c r="K2232" t="s">
        <v>36</v>
      </c>
      <c r="L2232" t="s">
        <v>1647</v>
      </c>
      <c r="M2232" t="s">
        <v>45</v>
      </c>
      <c r="N2232" s="6">
        <v>0</v>
      </c>
      <c r="O2232" t="str">
        <f t="shared" si="137"/>
        <v>Normal</v>
      </c>
      <c r="P2232" t="str">
        <f t="shared" si="138"/>
        <v>Duplicate ID</v>
      </c>
      <c r="Q2232" t="str">
        <f t="shared" si="139"/>
        <v>20,000-24,999</v>
      </c>
      <c r="R2232" s="6">
        <f>IF(COUNTIF($A$2:A2232,A2232)=1,1,0)</f>
        <v>0</v>
      </c>
    </row>
    <row r="2233" spans="1:18" x14ac:dyDescent="0.25">
      <c r="A2233" s="6">
        <v>1229</v>
      </c>
      <c r="B2233" s="7">
        <v>44679</v>
      </c>
      <c r="C2233" t="s">
        <v>51</v>
      </c>
      <c r="D2233" s="6">
        <v>2020</v>
      </c>
      <c r="E2233" s="8">
        <v>20171</v>
      </c>
      <c r="F2233" s="8">
        <v>22000</v>
      </c>
      <c r="G2233" s="8">
        <f t="shared" si="136"/>
        <v>1829</v>
      </c>
      <c r="H2233" s="6">
        <v>120000</v>
      </c>
      <c r="I2233" t="s">
        <v>41</v>
      </c>
      <c r="J2233" t="s">
        <v>72</v>
      </c>
      <c r="K2233" t="s">
        <v>36</v>
      </c>
      <c r="L2233" t="s">
        <v>100</v>
      </c>
      <c r="M2233" t="s">
        <v>90</v>
      </c>
      <c r="N2233" s="6" t="s">
        <v>1647</v>
      </c>
      <c r="O2233" t="str">
        <f t="shared" si="137"/>
        <v>Normal</v>
      </c>
      <c r="P2233" t="str">
        <f t="shared" si="138"/>
        <v>Duplicate ID</v>
      </c>
      <c r="Q2233" t="str">
        <f t="shared" si="139"/>
        <v>20,000-24,999</v>
      </c>
      <c r="R2233" s="6">
        <f>IF(COUNTIF($A$2:A2233,A2233)=1,1,0)</f>
        <v>0</v>
      </c>
    </row>
    <row r="2234" spans="1:18" x14ac:dyDescent="0.25">
      <c r="A2234" s="6">
        <v>1501</v>
      </c>
      <c r="B2234" s="7">
        <v>44578</v>
      </c>
      <c r="C2234" t="s">
        <v>1648</v>
      </c>
      <c r="D2234" s="6">
        <v>2020</v>
      </c>
      <c r="E2234" s="8">
        <v>23323</v>
      </c>
      <c r="F2234" s="8">
        <v>26000</v>
      </c>
      <c r="G2234" s="8">
        <f t="shared" si="136"/>
        <v>2677</v>
      </c>
      <c r="H2234" s="6">
        <v>120000</v>
      </c>
      <c r="I2234" t="s">
        <v>69</v>
      </c>
      <c r="J2234" t="s">
        <v>35</v>
      </c>
      <c r="K2234" t="s">
        <v>36</v>
      </c>
      <c r="L2234" t="s">
        <v>100</v>
      </c>
      <c r="M2234" t="s">
        <v>1647</v>
      </c>
      <c r="N2234" s="6">
        <v>0</v>
      </c>
      <c r="O2234" t="str">
        <f t="shared" si="137"/>
        <v>Normal</v>
      </c>
      <c r="P2234" t="str">
        <f t="shared" si="138"/>
        <v>Duplicate ID</v>
      </c>
      <c r="Q2234" t="str">
        <f t="shared" si="139"/>
        <v>20,000-24,999</v>
      </c>
      <c r="R2234" s="6">
        <f>IF(COUNTIF($A$2:A2234,A2234)=1,1,0)</f>
        <v>0</v>
      </c>
    </row>
    <row r="2235" spans="1:18" x14ac:dyDescent="0.25">
      <c r="A2235" s="6">
        <v>1502</v>
      </c>
      <c r="B2235" s="7">
        <v>44355</v>
      </c>
      <c r="C2235" t="s">
        <v>40</v>
      </c>
      <c r="D2235" s="6">
        <v>2020</v>
      </c>
      <c r="E2235" s="8">
        <v>1860</v>
      </c>
      <c r="F2235" s="8">
        <v>7000</v>
      </c>
      <c r="G2235" s="8">
        <f t="shared" si="136"/>
        <v>5140</v>
      </c>
      <c r="H2235" s="6">
        <v>120000</v>
      </c>
      <c r="I2235" t="s">
        <v>41</v>
      </c>
      <c r="J2235" t="s">
        <v>1647</v>
      </c>
      <c r="K2235" t="s">
        <v>96</v>
      </c>
      <c r="L2235" t="s">
        <v>54</v>
      </c>
      <c r="M2235" t="s">
        <v>98</v>
      </c>
      <c r="N2235" s="6">
        <v>2</v>
      </c>
      <c r="O2235" t="str">
        <f t="shared" si="137"/>
        <v>Normal</v>
      </c>
      <c r="P2235" t="str">
        <f t="shared" si="138"/>
        <v>Duplicate ID</v>
      </c>
      <c r="Q2235" t="str">
        <f t="shared" si="139"/>
        <v>0-4,999</v>
      </c>
      <c r="R2235" s="6">
        <f>IF(COUNTIF($A$2:A2235,A2235)=1,1,0)</f>
        <v>0</v>
      </c>
    </row>
    <row r="2236" spans="1:18" x14ac:dyDescent="0.25">
      <c r="A2236" s="6">
        <v>1019</v>
      </c>
      <c r="B2236" s="7">
        <v>45165</v>
      </c>
      <c r="C2236" t="s">
        <v>1648</v>
      </c>
      <c r="D2236" s="6">
        <v>2019</v>
      </c>
      <c r="E2236" s="8">
        <v>4913</v>
      </c>
      <c r="F2236" s="8">
        <v>7000</v>
      </c>
      <c r="G2236" s="8">
        <f t="shared" si="136"/>
        <v>2087</v>
      </c>
      <c r="H2236" s="6">
        <v>40000</v>
      </c>
      <c r="I2236" t="s">
        <v>41</v>
      </c>
      <c r="J2236" t="s">
        <v>35</v>
      </c>
      <c r="K2236" t="s">
        <v>96</v>
      </c>
      <c r="L2236" t="s">
        <v>100</v>
      </c>
      <c r="M2236" t="s">
        <v>45</v>
      </c>
      <c r="N2236" s="6" t="s">
        <v>1647</v>
      </c>
      <c r="O2236" t="str">
        <f t="shared" si="137"/>
        <v>Normal</v>
      </c>
      <c r="P2236" t="str">
        <f t="shared" si="138"/>
        <v>Duplicate ID</v>
      </c>
      <c r="Q2236" t="str">
        <f t="shared" si="139"/>
        <v>0-4,999</v>
      </c>
      <c r="R2236" s="6">
        <f>IF(COUNTIF($A$2:A2236,A2236)=1,1,0)</f>
        <v>0</v>
      </c>
    </row>
    <row r="2237" spans="1:18" x14ac:dyDescent="0.25">
      <c r="A2237" s="6">
        <v>1490</v>
      </c>
      <c r="B2237" s="7">
        <v>45188</v>
      </c>
      <c r="C2237" t="s">
        <v>57</v>
      </c>
      <c r="D2237" s="6">
        <v>2014</v>
      </c>
      <c r="E2237" s="8">
        <v>11860</v>
      </c>
      <c r="F2237" s="8">
        <v>18000</v>
      </c>
      <c r="G2237" s="8">
        <f t="shared" si="136"/>
        <v>6140</v>
      </c>
      <c r="H2237" s="6">
        <v>15000</v>
      </c>
      <c r="I2237" t="s">
        <v>58</v>
      </c>
      <c r="J2237" t="s">
        <v>35</v>
      </c>
      <c r="K2237" t="s">
        <v>96</v>
      </c>
      <c r="L2237" t="s">
        <v>73</v>
      </c>
      <c r="M2237" t="s">
        <v>126</v>
      </c>
      <c r="N2237" s="6" t="s">
        <v>1647</v>
      </c>
      <c r="O2237" t="str">
        <f t="shared" si="137"/>
        <v>Normal</v>
      </c>
      <c r="P2237" t="str">
        <f t="shared" si="138"/>
        <v>Duplicate ID</v>
      </c>
      <c r="Q2237" t="str">
        <f t="shared" si="139"/>
        <v>10,000-14,999</v>
      </c>
      <c r="R2237" s="6">
        <f>IF(COUNTIF($A$2:A2237,A2237)=1,1,0)</f>
        <v>0</v>
      </c>
    </row>
    <row r="2238" spans="1:18" x14ac:dyDescent="0.25">
      <c r="A2238" s="6">
        <v>1294</v>
      </c>
      <c r="B2238" s="7">
        <v>45130</v>
      </c>
      <c r="C2238" t="s">
        <v>32</v>
      </c>
      <c r="D2238" s="6">
        <v>2016</v>
      </c>
      <c r="E2238" s="8">
        <v>3497</v>
      </c>
      <c r="F2238" s="8">
        <v>9000</v>
      </c>
      <c r="G2238" s="8">
        <f t="shared" si="136"/>
        <v>5503</v>
      </c>
      <c r="H2238" s="6">
        <v>60000</v>
      </c>
      <c r="I2238" t="s">
        <v>41</v>
      </c>
      <c r="J2238" t="s">
        <v>72</v>
      </c>
      <c r="K2238" t="s">
        <v>96</v>
      </c>
      <c r="L2238" t="s">
        <v>100</v>
      </c>
      <c r="M2238" t="s">
        <v>90</v>
      </c>
      <c r="N2238" s="6">
        <v>0</v>
      </c>
      <c r="O2238" t="str">
        <f t="shared" si="137"/>
        <v>Normal</v>
      </c>
      <c r="P2238" t="str">
        <f t="shared" si="138"/>
        <v>Duplicate ID</v>
      </c>
      <c r="Q2238" t="str">
        <f t="shared" si="139"/>
        <v>0-4,999</v>
      </c>
      <c r="R2238" s="6">
        <f>IF(COUNTIF($A$2:A2238,A2238)=1,1,0)</f>
        <v>0</v>
      </c>
    </row>
    <row r="2239" spans="1:18" x14ac:dyDescent="0.25">
      <c r="A2239" s="6">
        <v>1288</v>
      </c>
      <c r="B2239" s="7">
        <v>45105</v>
      </c>
      <c r="C2239" t="s">
        <v>51</v>
      </c>
      <c r="D2239" s="6">
        <v>2017</v>
      </c>
      <c r="E2239" s="8">
        <v>6966</v>
      </c>
      <c r="F2239" s="8">
        <v>9000</v>
      </c>
      <c r="G2239" s="8">
        <f t="shared" si="136"/>
        <v>2034</v>
      </c>
      <c r="H2239" s="6">
        <v>80000</v>
      </c>
      <c r="I2239" t="s">
        <v>34</v>
      </c>
      <c r="J2239" t="s">
        <v>72</v>
      </c>
      <c r="K2239" t="s">
        <v>96</v>
      </c>
      <c r="L2239" t="s">
        <v>73</v>
      </c>
      <c r="M2239" t="s">
        <v>90</v>
      </c>
      <c r="N2239" s="6">
        <v>1</v>
      </c>
      <c r="O2239" t="str">
        <f t="shared" si="137"/>
        <v>Normal</v>
      </c>
      <c r="P2239" t="str">
        <f t="shared" si="138"/>
        <v>Duplicate ID</v>
      </c>
      <c r="Q2239" t="str">
        <f t="shared" si="139"/>
        <v>5,000-9,999</v>
      </c>
      <c r="R2239" s="6">
        <f>IF(COUNTIF($A$2:A2239,A2239)=1,1,0)</f>
        <v>0</v>
      </c>
    </row>
    <row r="2240" spans="1:18" x14ac:dyDescent="0.25">
      <c r="A2240" s="6">
        <v>1522</v>
      </c>
      <c r="B2240" s="7">
        <v>44892</v>
      </c>
      <c r="C2240" t="s">
        <v>57</v>
      </c>
      <c r="D2240" s="6">
        <v>2020</v>
      </c>
      <c r="E2240" s="8">
        <v>5086</v>
      </c>
      <c r="F2240" s="8">
        <v>9000</v>
      </c>
      <c r="G2240" s="8">
        <f t="shared" si="136"/>
        <v>3914</v>
      </c>
      <c r="H2240" s="6">
        <v>60000</v>
      </c>
      <c r="I2240" t="s">
        <v>69</v>
      </c>
      <c r="J2240" t="s">
        <v>72</v>
      </c>
      <c r="K2240" t="s">
        <v>96</v>
      </c>
      <c r="L2240" t="s">
        <v>100</v>
      </c>
      <c r="M2240" t="s">
        <v>98</v>
      </c>
      <c r="N2240" s="6">
        <v>3</v>
      </c>
      <c r="O2240" t="str">
        <f t="shared" si="137"/>
        <v>Normal</v>
      </c>
      <c r="P2240" t="str">
        <f t="shared" si="138"/>
        <v>Unique ID</v>
      </c>
      <c r="Q2240" t="str">
        <f t="shared" si="139"/>
        <v>5,000-9,999</v>
      </c>
      <c r="R2240" s="6">
        <f>IF(COUNTIF($A$2:A2240,A2240)=1,1,0)</f>
        <v>1</v>
      </c>
    </row>
    <row r="2241" spans="1:18" x14ac:dyDescent="0.25">
      <c r="A2241" s="6">
        <v>1058</v>
      </c>
      <c r="B2241" s="7">
        <v>45165</v>
      </c>
      <c r="C2241" t="s">
        <v>32</v>
      </c>
      <c r="D2241" s="6">
        <v>2014</v>
      </c>
      <c r="E2241" s="8">
        <v>8847</v>
      </c>
      <c r="F2241" s="8">
        <v>15000</v>
      </c>
      <c r="G2241" s="8">
        <f t="shared" si="136"/>
        <v>6153</v>
      </c>
      <c r="H2241" s="6">
        <v>60000</v>
      </c>
      <c r="I2241" t="s">
        <v>41</v>
      </c>
      <c r="J2241" t="s">
        <v>72</v>
      </c>
      <c r="K2241" t="s">
        <v>96</v>
      </c>
      <c r="L2241" t="s">
        <v>1647</v>
      </c>
      <c r="M2241" t="s">
        <v>98</v>
      </c>
      <c r="N2241" s="6">
        <v>0</v>
      </c>
      <c r="O2241" t="str">
        <f t="shared" si="137"/>
        <v>Normal</v>
      </c>
      <c r="P2241" t="str">
        <f t="shared" si="138"/>
        <v>Duplicate ID</v>
      </c>
      <c r="Q2241" t="str">
        <f t="shared" si="139"/>
        <v>5,000-9,999</v>
      </c>
      <c r="R2241" s="6">
        <f>IF(COUNTIF($A$2:A2241,A2241)=1,1,0)</f>
        <v>0</v>
      </c>
    </row>
    <row r="2242" spans="1:18" x14ac:dyDescent="0.25">
      <c r="A2242" s="6">
        <v>1072</v>
      </c>
      <c r="B2242" s="7">
        <v>44352</v>
      </c>
      <c r="C2242" t="s">
        <v>1648</v>
      </c>
      <c r="D2242" s="6"/>
      <c r="E2242" s="8">
        <v>2213</v>
      </c>
      <c r="F2242" s="8">
        <v>7000</v>
      </c>
      <c r="G2242" s="8">
        <f t="shared" ref="G2242:G2305" si="140">IF(OR(F2242="",E2242=""),"",F2242-E2242)</f>
        <v>4787</v>
      </c>
      <c r="H2242" s="6">
        <v>40000</v>
      </c>
      <c r="I2242" t="s">
        <v>34</v>
      </c>
      <c r="J2242" t="s">
        <v>72</v>
      </c>
      <c r="K2242" t="s">
        <v>1647</v>
      </c>
      <c r="L2242" t="s">
        <v>100</v>
      </c>
      <c r="M2242" t="s">
        <v>90</v>
      </c>
      <c r="N2242" s="6">
        <v>1</v>
      </c>
      <c r="O2242" t="str">
        <f t="shared" ref="O2242:O2305" si="141">IF(E2242&lt;1000,"Outlier","Normal")</f>
        <v>Normal</v>
      </c>
      <c r="P2242" t="str">
        <f t="shared" ref="P2242:P2305" si="142">IF(COUNTIF($A$2:$A$2501,A2242)&gt;1,"Duplicate ID","Unique ID")</f>
        <v>Duplicate ID</v>
      </c>
      <c r="Q2242" t="str">
        <f t="shared" ref="Q2242:Q2305" si="143">IF(E2242&lt;5000,"0-4,999",IF(E2242&lt;10000,"5,000-9,999",IF(E2242&lt;15000,"10,000-14,999",IF(E2242&lt;20000,"15,000-19,999",IF(E2242&lt;25000,"20,000-24,999","25,000-30,000")))))</f>
        <v>0-4,999</v>
      </c>
      <c r="R2242" s="6">
        <f>IF(COUNTIF($A$2:A2242,A2242)=1,1,0)</f>
        <v>0</v>
      </c>
    </row>
    <row r="2243" spans="1:18" x14ac:dyDescent="0.25">
      <c r="A2243" s="6">
        <v>1379</v>
      </c>
      <c r="B2243" s="7">
        <v>44231</v>
      </c>
      <c r="C2243" t="s">
        <v>79</v>
      </c>
      <c r="D2243" s="6">
        <v>2017</v>
      </c>
      <c r="E2243" s="8">
        <v>12105</v>
      </c>
      <c r="F2243" s="8">
        <v>15000</v>
      </c>
      <c r="G2243" s="8">
        <f t="shared" si="140"/>
        <v>2895</v>
      </c>
      <c r="H2243" s="6">
        <v>120000</v>
      </c>
      <c r="I2243" t="s">
        <v>69</v>
      </c>
      <c r="J2243" t="s">
        <v>35</v>
      </c>
      <c r="K2243" t="s">
        <v>96</v>
      </c>
      <c r="L2243" t="s">
        <v>54</v>
      </c>
      <c r="M2243" t="s">
        <v>98</v>
      </c>
      <c r="N2243" s="6">
        <v>0</v>
      </c>
      <c r="O2243" t="str">
        <f t="shared" si="141"/>
        <v>Normal</v>
      </c>
      <c r="P2243" t="str">
        <f t="shared" si="142"/>
        <v>Duplicate ID</v>
      </c>
      <c r="Q2243" t="str">
        <f t="shared" si="143"/>
        <v>10,000-14,999</v>
      </c>
      <c r="R2243" s="6">
        <f>IF(COUNTIF($A$2:A2243,A2243)=1,1,0)</f>
        <v>0</v>
      </c>
    </row>
    <row r="2244" spans="1:18" x14ac:dyDescent="0.25">
      <c r="A2244" s="6">
        <v>1540</v>
      </c>
      <c r="B2244" s="7">
        <v>44418</v>
      </c>
      <c r="C2244" t="s">
        <v>1648</v>
      </c>
      <c r="D2244" s="6"/>
      <c r="E2244" s="8">
        <v>15810</v>
      </c>
      <c r="F2244" s="8">
        <v>18000</v>
      </c>
      <c r="G2244" s="8">
        <f t="shared" si="140"/>
        <v>2190</v>
      </c>
      <c r="H2244" s="6">
        <v>25000</v>
      </c>
      <c r="I2244" t="s">
        <v>69</v>
      </c>
      <c r="J2244" t="s">
        <v>72</v>
      </c>
      <c r="K2244" t="s">
        <v>1647</v>
      </c>
      <c r="L2244" t="s">
        <v>54</v>
      </c>
      <c r="M2244" t="s">
        <v>45</v>
      </c>
      <c r="N2244" s="6">
        <v>0</v>
      </c>
      <c r="O2244" t="str">
        <f t="shared" si="141"/>
        <v>Normal</v>
      </c>
      <c r="P2244" t="str">
        <f t="shared" si="142"/>
        <v>Duplicate ID</v>
      </c>
      <c r="Q2244" t="str">
        <f t="shared" si="143"/>
        <v>15,000-19,999</v>
      </c>
      <c r="R2244" s="6">
        <f>IF(COUNTIF($A$2:A2244,A2244)=1,1,0)</f>
        <v>0</v>
      </c>
    </row>
    <row r="2245" spans="1:18" x14ac:dyDescent="0.25">
      <c r="A2245" s="6">
        <v>1330</v>
      </c>
      <c r="B2245" s="7">
        <v>44329</v>
      </c>
      <c r="C2245" t="s">
        <v>40</v>
      </c>
      <c r="D2245" s="6">
        <v>2016</v>
      </c>
      <c r="E2245" s="8">
        <v>5437</v>
      </c>
      <c r="F2245" s="8">
        <v>7000</v>
      </c>
      <c r="G2245" s="8">
        <f t="shared" si="140"/>
        <v>1563</v>
      </c>
      <c r="H2245" s="6">
        <v>40000</v>
      </c>
      <c r="I2245" t="s">
        <v>69</v>
      </c>
      <c r="J2245" t="s">
        <v>35</v>
      </c>
      <c r="K2245" t="s">
        <v>36</v>
      </c>
      <c r="L2245" t="s">
        <v>100</v>
      </c>
      <c r="M2245" t="s">
        <v>90</v>
      </c>
      <c r="N2245" s="6">
        <v>2</v>
      </c>
      <c r="O2245" t="str">
        <f t="shared" si="141"/>
        <v>Normal</v>
      </c>
      <c r="P2245" t="str">
        <f t="shared" si="142"/>
        <v>Duplicate ID</v>
      </c>
      <c r="Q2245" t="str">
        <f t="shared" si="143"/>
        <v>5,000-9,999</v>
      </c>
      <c r="R2245" s="6">
        <f>IF(COUNTIF($A$2:A2245,A2245)=1,1,0)</f>
        <v>0</v>
      </c>
    </row>
    <row r="2246" spans="1:18" x14ac:dyDescent="0.25">
      <c r="A2246" s="6">
        <v>1243</v>
      </c>
      <c r="B2246" s="7">
        <v>44612</v>
      </c>
      <c r="C2246" t="s">
        <v>79</v>
      </c>
      <c r="D2246" s="6">
        <v>2019</v>
      </c>
      <c r="E2246" s="8">
        <v>10587</v>
      </c>
      <c r="F2246" s="8">
        <v>15000</v>
      </c>
      <c r="G2246" s="8">
        <f t="shared" si="140"/>
        <v>4413</v>
      </c>
      <c r="H2246" s="6">
        <v>25000</v>
      </c>
      <c r="I2246" t="s">
        <v>69</v>
      </c>
      <c r="J2246" t="s">
        <v>35</v>
      </c>
      <c r="K2246" t="s">
        <v>96</v>
      </c>
      <c r="L2246" t="s">
        <v>73</v>
      </c>
      <c r="M2246" t="s">
        <v>126</v>
      </c>
      <c r="N2246" s="6" t="s">
        <v>1647</v>
      </c>
      <c r="O2246" t="str">
        <f t="shared" si="141"/>
        <v>Normal</v>
      </c>
      <c r="P2246" t="str">
        <f t="shared" si="142"/>
        <v>Duplicate ID</v>
      </c>
      <c r="Q2246" t="str">
        <f t="shared" si="143"/>
        <v>10,000-14,999</v>
      </c>
      <c r="R2246" s="6">
        <f>IF(COUNTIF($A$2:A2246,A2246)=1,1,0)</f>
        <v>0</v>
      </c>
    </row>
    <row r="2247" spans="1:18" x14ac:dyDescent="0.25">
      <c r="A2247" s="6">
        <v>1459</v>
      </c>
      <c r="B2247" s="7">
        <v>45120</v>
      </c>
      <c r="C2247" t="s">
        <v>51</v>
      </c>
      <c r="D2247" s="6">
        <v>2015</v>
      </c>
      <c r="E2247" s="8">
        <v>23089</v>
      </c>
      <c r="F2247" s="8">
        <v>26000</v>
      </c>
      <c r="G2247" s="8">
        <f t="shared" si="140"/>
        <v>2911</v>
      </c>
      <c r="H2247" s="6">
        <v>40000</v>
      </c>
      <c r="I2247" t="s">
        <v>1647</v>
      </c>
      <c r="J2247" t="s">
        <v>35</v>
      </c>
      <c r="K2247" t="s">
        <v>96</v>
      </c>
      <c r="L2247" t="s">
        <v>48</v>
      </c>
      <c r="M2247" t="s">
        <v>126</v>
      </c>
      <c r="N2247" s="6">
        <v>0</v>
      </c>
      <c r="O2247" t="str">
        <f t="shared" si="141"/>
        <v>Normal</v>
      </c>
      <c r="P2247" t="str">
        <f t="shared" si="142"/>
        <v>Duplicate ID</v>
      </c>
      <c r="Q2247" t="str">
        <f t="shared" si="143"/>
        <v>20,000-24,999</v>
      </c>
      <c r="R2247" s="6">
        <f>IF(COUNTIF($A$2:A2247,A2247)=1,1,0)</f>
        <v>0</v>
      </c>
    </row>
    <row r="2248" spans="1:18" x14ac:dyDescent="0.25">
      <c r="A2248" s="6">
        <v>1217</v>
      </c>
      <c r="B2248" s="7">
        <v>44655</v>
      </c>
      <c r="C2248" t="s">
        <v>57</v>
      </c>
      <c r="D2248" s="6">
        <v>2019</v>
      </c>
      <c r="E2248" s="8">
        <v>5430</v>
      </c>
      <c r="F2248" s="8">
        <v>12000</v>
      </c>
      <c r="G2248" s="8">
        <f t="shared" si="140"/>
        <v>6570</v>
      </c>
      <c r="H2248" s="6">
        <v>80000</v>
      </c>
      <c r="I2248" t="s">
        <v>1647</v>
      </c>
      <c r="J2248" t="s">
        <v>35</v>
      </c>
      <c r="K2248" t="s">
        <v>96</v>
      </c>
      <c r="L2248" t="s">
        <v>1647</v>
      </c>
      <c r="M2248" t="s">
        <v>45</v>
      </c>
      <c r="N2248" s="6">
        <v>3</v>
      </c>
      <c r="O2248" t="str">
        <f t="shared" si="141"/>
        <v>Normal</v>
      </c>
      <c r="P2248" t="str">
        <f t="shared" si="142"/>
        <v>Duplicate ID</v>
      </c>
      <c r="Q2248" t="str">
        <f t="shared" si="143"/>
        <v>5,000-9,999</v>
      </c>
      <c r="R2248" s="6">
        <f>IF(COUNTIF($A$2:A2248,A2248)=1,1,0)</f>
        <v>0</v>
      </c>
    </row>
    <row r="2249" spans="1:18" x14ac:dyDescent="0.25">
      <c r="A2249" s="6">
        <v>1037</v>
      </c>
      <c r="B2249" s="7">
        <v>44964</v>
      </c>
      <c r="C2249" t="s">
        <v>32</v>
      </c>
      <c r="D2249" s="6">
        <v>2021</v>
      </c>
      <c r="E2249" s="8">
        <v>21360</v>
      </c>
      <c r="F2249" s="8">
        <v>26000</v>
      </c>
      <c r="G2249" s="8">
        <f t="shared" si="140"/>
        <v>4640</v>
      </c>
      <c r="H2249" s="6">
        <v>80000</v>
      </c>
      <c r="I2249" t="s">
        <v>58</v>
      </c>
      <c r="J2249" t="s">
        <v>1647</v>
      </c>
      <c r="K2249" t="s">
        <v>36</v>
      </c>
      <c r="L2249" t="s">
        <v>73</v>
      </c>
      <c r="M2249" t="s">
        <v>126</v>
      </c>
      <c r="N2249" s="6">
        <v>0</v>
      </c>
      <c r="O2249" t="str">
        <f t="shared" si="141"/>
        <v>Normal</v>
      </c>
      <c r="P2249" t="str">
        <f t="shared" si="142"/>
        <v>Duplicate ID</v>
      </c>
      <c r="Q2249" t="str">
        <f t="shared" si="143"/>
        <v>20,000-24,999</v>
      </c>
      <c r="R2249" s="6">
        <f>IF(COUNTIF($A$2:A2249,A2249)=1,1,0)</f>
        <v>0</v>
      </c>
    </row>
    <row r="2250" spans="1:18" x14ac:dyDescent="0.25">
      <c r="A2250" s="6">
        <v>1193</v>
      </c>
      <c r="B2250" s="7">
        <v>45319</v>
      </c>
      <c r="C2250" t="s">
        <v>79</v>
      </c>
      <c r="D2250" s="6">
        <v>2019</v>
      </c>
      <c r="E2250" s="8">
        <v>3031</v>
      </c>
      <c r="F2250" s="8">
        <v>9000</v>
      </c>
      <c r="G2250" s="8">
        <f t="shared" si="140"/>
        <v>5969</v>
      </c>
      <c r="H2250" s="6">
        <v>60000</v>
      </c>
      <c r="I2250" t="s">
        <v>58</v>
      </c>
      <c r="J2250" t="s">
        <v>72</v>
      </c>
      <c r="K2250" t="s">
        <v>96</v>
      </c>
      <c r="L2250" t="s">
        <v>48</v>
      </c>
      <c r="M2250" t="s">
        <v>126</v>
      </c>
      <c r="N2250" s="6" t="s">
        <v>1647</v>
      </c>
      <c r="O2250" t="str">
        <f t="shared" si="141"/>
        <v>Normal</v>
      </c>
      <c r="P2250" t="str">
        <f t="shared" si="142"/>
        <v>Duplicate ID</v>
      </c>
      <c r="Q2250" t="str">
        <f t="shared" si="143"/>
        <v>0-4,999</v>
      </c>
      <c r="R2250" s="6">
        <f>IF(COUNTIF($A$2:A2250,A2250)=1,1,0)</f>
        <v>0</v>
      </c>
    </row>
    <row r="2251" spans="1:18" x14ac:dyDescent="0.25">
      <c r="A2251" s="6">
        <v>1363</v>
      </c>
      <c r="B2251" s="7">
        <v>44803</v>
      </c>
      <c r="C2251" t="s">
        <v>119</v>
      </c>
      <c r="D2251" s="6">
        <v>2018</v>
      </c>
      <c r="E2251" s="8">
        <v>3130</v>
      </c>
      <c r="F2251" s="8">
        <v>7000</v>
      </c>
      <c r="G2251" s="8">
        <f t="shared" si="140"/>
        <v>3870</v>
      </c>
      <c r="H2251" s="6">
        <v>60000</v>
      </c>
      <c r="I2251" t="s">
        <v>58</v>
      </c>
      <c r="J2251" t="s">
        <v>72</v>
      </c>
      <c r="K2251" t="s">
        <v>96</v>
      </c>
      <c r="L2251" t="s">
        <v>73</v>
      </c>
      <c r="M2251" t="s">
        <v>98</v>
      </c>
      <c r="N2251" s="6">
        <v>3</v>
      </c>
      <c r="O2251" t="str">
        <f t="shared" si="141"/>
        <v>Normal</v>
      </c>
      <c r="P2251" t="str">
        <f t="shared" si="142"/>
        <v>Duplicate ID</v>
      </c>
      <c r="Q2251" t="str">
        <f t="shared" si="143"/>
        <v>0-4,999</v>
      </c>
      <c r="R2251" s="6">
        <f>IF(COUNTIF($A$2:A2251,A2251)=1,1,0)</f>
        <v>0</v>
      </c>
    </row>
    <row r="2252" spans="1:18" x14ac:dyDescent="0.25">
      <c r="A2252" s="6">
        <v>1480</v>
      </c>
      <c r="B2252" s="7">
        <v>44222</v>
      </c>
      <c r="C2252" t="s">
        <v>79</v>
      </c>
      <c r="D2252" s="6">
        <v>2014</v>
      </c>
      <c r="E2252" s="8">
        <v>15527</v>
      </c>
      <c r="F2252" s="8">
        <v>18000</v>
      </c>
      <c r="G2252" s="8">
        <f t="shared" si="140"/>
        <v>2473</v>
      </c>
      <c r="H2252" s="6">
        <v>60000</v>
      </c>
      <c r="I2252" t="s">
        <v>58</v>
      </c>
      <c r="J2252" t="s">
        <v>72</v>
      </c>
      <c r="K2252" t="s">
        <v>36</v>
      </c>
      <c r="L2252" t="s">
        <v>100</v>
      </c>
      <c r="M2252" t="s">
        <v>98</v>
      </c>
      <c r="N2252" s="6">
        <v>0</v>
      </c>
      <c r="O2252" t="str">
        <f t="shared" si="141"/>
        <v>Normal</v>
      </c>
      <c r="P2252" t="str">
        <f t="shared" si="142"/>
        <v>Duplicate ID</v>
      </c>
      <c r="Q2252" t="str">
        <f t="shared" si="143"/>
        <v>15,000-19,999</v>
      </c>
      <c r="R2252" s="6">
        <f>IF(COUNTIF($A$2:A2252,A2252)=1,1,0)</f>
        <v>0</v>
      </c>
    </row>
    <row r="2253" spans="1:18" x14ac:dyDescent="0.25">
      <c r="A2253" s="6">
        <v>1574</v>
      </c>
      <c r="B2253" s="7">
        <v>44445</v>
      </c>
      <c r="C2253" t="s">
        <v>32</v>
      </c>
      <c r="D2253" s="6">
        <v>2018</v>
      </c>
      <c r="E2253" s="8">
        <v>24469</v>
      </c>
      <c r="F2253" s="8">
        <v>26000</v>
      </c>
      <c r="G2253" s="8">
        <f t="shared" si="140"/>
        <v>1531</v>
      </c>
      <c r="H2253" s="6">
        <v>120000</v>
      </c>
      <c r="I2253" t="s">
        <v>41</v>
      </c>
      <c r="J2253" t="s">
        <v>35</v>
      </c>
      <c r="K2253" t="s">
        <v>1647</v>
      </c>
      <c r="L2253" t="s">
        <v>100</v>
      </c>
      <c r="M2253" t="s">
        <v>98</v>
      </c>
      <c r="N2253" s="6">
        <v>0</v>
      </c>
      <c r="O2253" t="str">
        <f t="shared" si="141"/>
        <v>Normal</v>
      </c>
      <c r="P2253" t="str">
        <f t="shared" si="142"/>
        <v>Duplicate ID</v>
      </c>
      <c r="Q2253" t="str">
        <f t="shared" si="143"/>
        <v>20,000-24,999</v>
      </c>
      <c r="R2253" s="6">
        <f>IF(COUNTIF($A$2:A2253,A2253)=1,1,0)</f>
        <v>0</v>
      </c>
    </row>
    <row r="2254" spans="1:18" x14ac:dyDescent="0.25">
      <c r="A2254" s="6">
        <v>1068</v>
      </c>
      <c r="B2254" s="7">
        <v>45335</v>
      </c>
      <c r="C2254" t="s">
        <v>40</v>
      </c>
      <c r="D2254" s="6"/>
      <c r="E2254" s="8">
        <v>16972</v>
      </c>
      <c r="F2254" s="8">
        <v>18000</v>
      </c>
      <c r="G2254" s="8">
        <f t="shared" si="140"/>
        <v>1028</v>
      </c>
      <c r="H2254" s="6">
        <v>80000</v>
      </c>
      <c r="I2254" t="s">
        <v>58</v>
      </c>
      <c r="J2254" t="s">
        <v>72</v>
      </c>
      <c r="K2254" t="s">
        <v>96</v>
      </c>
      <c r="L2254" t="s">
        <v>100</v>
      </c>
      <c r="M2254" t="s">
        <v>1647</v>
      </c>
      <c r="N2254" s="6">
        <v>0</v>
      </c>
      <c r="O2254" t="str">
        <f t="shared" si="141"/>
        <v>Normal</v>
      </c>
      <c r="P2254" t="str">
        <f t="shared" si="142"/>
        <v>Duplicate ID</v>
      </c>
      <c r="Q2254" t="str">
        <f t="shared" si="143"/>
        <v>15,000-19,999</v>
      </c>
      <c r="R2254" s="6">
        <f>IF(COUNTIF($A$2:A2254,A2254)=1,1,0)</f>
        <v>0</v>
      </c>
    </row>
    <row r="2255" spans="1:18" x14ac:dyDescent="0.25">
      <c r="A2255" s="6">
        <v>1050</v>
      </c>
      <c r="B2255" s="7">
        <v>45212</v>
      </c>
      <c r="C2255" t="s">
        <v>79</v>
      </c>
      <c r="D2255" s="6">
        <v>2018</v>
      </c>
      <c r="E2255" s="8">
        <v>25979</v>
      </c>
      <c r="F2255" s="8">
        <v>31000</v>
      </c>
      <c r="G2255" s="8">
        <f t="shared" si="140"/>
        <v>5021</v>
      </c>
      <c r="H2255" s="6">
        <v>60000</v>
      </c>
      <c r="I2255" t="s">
        <v>34</v>
      </c>
      <c r="J2255" t="s">
        <v>1647</v>
      </c>
      <c r="K2255" t="s">
        <v>36</v>
      </c>
      <c r="L2255" t="s">
        <v>73</v>
      </c>
      <c r="M2255" t="s">
        <v>126</v>
      </c>
      <c r="N2255" s="6" t="s">
        <v>1647</v>
      </c>
      <c r="O2255" t="str">
        <f t="shared" si="141"/>
        <v>Normal</v>
      </c>
      <c r="P2255" t="str">
        <f t="shared" si="142"/>
        <v>Duplicate ID</v>
      </c>
      <c r="Q2255" t="str">
        <f t="shared" si="143"/>
        <v>25,000-30,000</v>
      </c>
      <c r="R2255" s="6">
        <f>IF(COUNTIF($A$2:A2255,A2255)=1,1,0)</f>
        <v>0</v>
      </c>
    </row>
    <row r="2256" spans="1:18" x14ac:dyDescent="0.25">
      <c r="A2256" s="6">
        <v>1502</v>
      </c>
      <c r="B2256" s="7">
        <v>44254</v>
      </c>
      <c r="C2256" t="s">
        <v>51</v>
      </c>
      <c r="D2256" s="6">
        <v>2020</v>
      </c>
      <c r="E2256" s="8">
        <v>21445</v>
      </c>
      <c r="F2256" s="8">
        <v>26000</v>
      </c>
      <c r="G2256" s="8">
        <f t="shared" si="140"/>
        <v>4555</v>
      </c>
      <c r="H2256" s="6">
        <v>40000</v>
      </c>
      <c r="I2256" t="s">
        <v>69</v>
      </c>
      <c r="J2256" t="s">
        <v>72</v>
      </c>
      <c r="K2256" t="s">
        <v>1647</v>
      </c>
      <c r="L2256" t="s">
        <v>73</v>
      </c>
      <c r="M2256" t="s">
        <v>90</v>
      </c>
      <c r="N2256" s="6">
        <v>1</v>
      </c>
      <c r="O2256" t="str">
        <f t="shared" si="141"/>
        <v>Normal</v>
      </c>
      <c r="P2256" t="str">
        <f t="shared" si="142"/>
        <v>Duplicate ID</v>
      </c>
      <c r="Q2256" t="str">
        <f t="shared" si="143"/>
        <v>20,000-24,999</v>
      </c>
      <c r="R2256" s="6">
        <f>IF(COUNTIF($A$2:A2256,A2256)=1,1,0)</f>
        <v>0</v>
      </c>
    </row>
    <row r="2257" spans="1:18" x14ac:dyDescent="0.25">
      <c r="A2257" s="6">
        <v>1245</v>
      </c>
      <c r="B2257" s="7">
        <v>45018</v>
      </c>
      <c r="C2257" t="s">
        <v>40</v>
      </c>
      <c r="D2257" s="6">
        <v>2019</v>
      </c>
      <c r="E2257" s="8">
        <v>4983</v>
      </c>
      <c r="F2257" s="8">
        <v>9000</v>
      </c>
      <c r="G2257" s="8">
        <f t="shared" si="140"/>
        <v>4017</v>
      </c>
      <c r="H2257" s="6">
        <v>25000</v>
      </c>
      <c r="I2257" t="s">
        <v>1647</v>
      </c>
      <c r="J2257" t="s">
        <v>72</v>
      </c>
      <c r="K2257" t="s">
        <v>1647</v>
      </c>
      <c r="L2257" t="s">
        <v>100</v>
      </c>
      <c r="M2257" t="s">
        <v>45</v>
      </c>
      <c r="N2257" s="6">
        <v>0</v>
      </c>
      <c r="O2257" t="str">
        <f t="shared" si="141"/>
        <v>Normal</v>
      </c>
      <c r="P2257" t="str">
        <f t="shared" si="142"/>
        <v>Duplicate ID</v>
      </c>
      <c r="Q2257" t="str">
        <f t="shared" si="143"/>
        <v>0-4,999</v>
      </c>
      <c r="R2257" s="6">
        <f>IF(COUNTIF($A$2:A2257,A2257)=1,1,0)</f>
        <v>0</v>
      </c>
    </row>
    <row r="2258" spans="1:18" x14ac:dyDescent="0.25">
      <c r="A2258" s="6">
        <v>1272</v>
      </c>
      <c r="B2258" s="7">
        <v>45153</v>
      </c>
      <c r="C2258" t="s">
        <v>40</v>
      </c>
      <c r="D2258" s="6">
        <v>2021</v>
      </c>
      <c r="E2258" s="8">
        <v>17524</v>
      </c>
      <c r="F2258" s="8">
        <v>22000</v>
      </c>
      <c r="G2258" s="8">
        <f t="shared" si="140"/>
        <v>4476</v>
      </c>
      <c r="H2258" s="6">
        <v>15000</v>
      </c>
      <c r="I2258" t="s">
        <v>1647</v>
      </c>
      <c r="J2258" t="s">
        <v>35</v>
      </c>
      <c r="K2258" t="s">
        <v>96</v>
      </c>
      <c r="L2258" t="s">
        <v>1647</v>
      </c>
      <c r="M2258" t="s">
        <v>126</v>
      </c>
      <c r="N2258" s="6" t="s">
        <v>1647</v>
      </c>
      <c r="O2258" t="str">
        <f t="shared" si="141"/>
        <v>Normal</v>
      </c>
      <c r="P2258" t="str">
        <f t="shared" si="142"/>
        <v>Duplicate ID</v>
      </c>
      <c r="Q2258" t="str">
        <f t="shared" si="143"/>
        <v>15,000-19,999</v>
      </c>
      <c r="R2258" s="6">
        <f>IF(COUNTIF($A$2:A2258,A2258)=1,1,0)</f>
        <v>0</v>
      </c>
    </row>
    <row r="2259" spans="1:18" x14ac:dyDescent="0.25">
      <c r="A2259" s="6">
        <v>1521</v>
      </c>
      <c r="B2259" s="7">
        <v>44733</v>
      </c>
      <c r="C2259" t="s">
        <v>32</v>
      </c>
      <c r="D2259" s="6">
        <v>2015</v>
      </c>
      <c r="E2259" s="8">
        <v>25932</v>
      </c>
      <c r="F2259" s="8">
        <v>31000</v>
      </c>
      <c r="G2259" s="8">
        <f t="shared" si="140"/>
        <v>5068</v>
      </c>
      <c r="H2259" s="6">
        <v>120000</v>
      </c>
      <c r="I2259" t="s">
        <v>58</v>
      </c>
      <c r="J2259" t="s">
        <v>72</v>
      </c>
      <c r="K2259" t="s">
        <v>1647</v>
      </c>
      <c r="L2259" t="s">
        <v>54</v>
      </c>
      <c r="M2259" t="s">
        <v>1647</v>
      </c>
      <c r="N2259" s="6">
        <v>2</v>
      </c>
      <c r="O2259" t="str">
        <f t="shared" si="141"/>
        <v>Normal</v>
      </c>
      <c r="P2259" t="str">
        <f t="shared" si="142"/>
        <v>Duplicate ID</v>
      </c>
      <c r="Q2259" t="str">
        <f t="shared" si="143"/>
        <v>25,000-30,000</v>
      </c>
      <c r="R2259" s="6">
        <f>IF(COUNTIF($A$2:A2259,A2259)=1,1,0)</f>
        <v>0</v>
      </c>
    </row>
    <row r="2260" spans="1:18" x14ac:dyDescent="0.25">
      <c r="A2260" s="6">
        <v>1480</v>
      </c>
      <c r="B2260" s="7">
        <v>45382</v>
      </c>
      <c r="C2260" t="s">
        <v>57</v>
      </c>
      <c r="D2260" s="6">
        <v>2022</v>
      </c>
      <c r="E2260" s="8">
        <v>10833</v>
      </c>
      <c r="F2260" s="8">
        <v>15000</v>
      </c>
      <c r="G2260" s="8">
        <f t="shared" si="140"/>
        <v>4167</v>
      </c>
      <c r="H2260" s="6">
        <v>40000</v>
      </c>
      <c r="I2260" t="s">
        <v>41</v>
      </c>
      <c r="J2260" t="s">
        <v>35</v>
      </c>
      <c r="K2260" t="s">
        <v>1647</v>
      </c>
      <c r="L2260" t="s">
        <v>100</v>
      </c>
      <c r="M2260" t="s">
        <v>126</v>
      </c>
      <c r="N2260" s="6">
        <v>3</v>
      </c>
      <c r="O2260" t="str">
        <f t="shared" si="141"/>
        <v>Normal</v>
      </c>
      <c r="P2260" t="str">
        <f t="shared" si="142"/>
        <v>Duplicate ID</v>
      </c>
      <c r="Q2260" t="str">
        <f t="shared" si="143"/>
        <v>10,000-14,999</v>
      </c>
      <c r="R2260" s="6">
        <f>IF(COUNTIF($A$2:A2260,A2260)=1,1,0)</f>
        <v>0</v>
      </c>
    </row>
    <row r="2261" spans="1:18" x14ac:dyDescent="0.25">
      <c r="A2261" s="6">
        <v>1114</v>
      </c>
      <c r="B2261" s="7">
        <v>45202</v>
      </c>
      <c r="C2261" t="s">
        <v>119</v>
      </c>
      <c r="D2261" s="6">
        <v>2020</v>
      </c>
      <c r="E2261" s="8">
        <v>4875</v>
      </c>
      <c r="F2261" s="8">
        <v>9000</v>
      </c>
      <c r="G2261" s="8">
        <f t="shared" si="140"/>
        <v>4125</v>
      </c>
      <c r="H2261" s="6">
        <v>25000</v>
      </c>
      <c r="I2261" t="s">
        <v>58</v>
      </c>
      <c r="J2261" t="s">
        <v>35</v>
      </c>
      <c r="K2261" t="s">
        <v>96</v>
      </c>
      <c r="L2261" t="s">
        <v>100</v>
      </c>
      <c r="M2261" t="s">
        <v>126</v>
      </c>
      <c r="N2261" s="6">
        <v>1</v>
      </c>
      <c r="O2261" t="str">
        <f t="shared" si="141"/>
        <v>Normal</v>
      </c>
      <c r="P2261" t="str">
        <f t="shared" si="142"/>
        <v>Duplicate ID</v>
      </c>
      <c r="Q2261" t="str">
        <f t="shared" si="143"/>
        <v>0-4,999</v>
      </c>
      <c r="R2261" s="6">
        <f>IF(COUNTIF($A$2:A2261,A2261)=1,1,0)</f>
        <v>0</v>
      </c>
    </row>
    <row r="2262" spans="1:18" x14ac:dyDescent="0.25">
      <c r="A2262" s="6">
        <v>1328</v>
      </c>
      <c r="B2262" s="7">
        <v>44278</v>
      </c>
      <c r="C2262" t="s">
        <v>40</v>
      </c>
      <c r="D2262" s="6">
        <v>2017</v>
      </c>
      <c r="E2262" s="8">
        <v>28225</v>
      </c>
      <c r="F2262" s="8">
        <v>31000</v>
      </c>
      <c r="G2262" s="8">
        <f t="shared" si="140"/>
        <v>2775</v>
      </c>
      <c r="H2262" s="6">
        <v>80000</v>
      </c>
      <c r="I2262" t="s">
        <v>1647</v>
      </c>
      <c r="J2262" t="s">
        <v>72</v>
      </c>
      <c r="K2262" t="s">
        <v>36</v>
      </c>
      <c r="L2262" t="s">
        <v>100</v>
      </c>
      <c r="M2262" t="s">
        <v>45</v>
      </c>
      <c r="N2262" s="6">
        <v>2</v>
      </c>
      <c r="O2262" t="str">
        <f t="shared" si="141"/>
        <v>Normal</v>
      </c>
      <c r="P2262" t="str">
        <f t="shared" si="142"/>
        <v>Duplicate ID</v>
      </c>
      <c r="Q2262" t="str">
        <f t="shared" si="143"/>
        <v>25,000-30,000</v>
      </c>
      <c r="R2262" s="6">
        <f>IF(COUNTIF($A$2:A2262,A2262)=1,1,0)</f>
        <v>0</v>
      </c>
    </row>
    <row r="2263" spans="1:18" x14ac:dyDescent="0.25">
      <c r="A2263" s="6">
        <v>1562</v>
      </c>
      <c r="B2263" s="7">
        <v>44763</v>
      </c>
      <c r="C2263" t="s">
        <v>57</v>
      </c>
      <c r="D2263" s="6">
        <v>2020</v>
      </c>
      <c r="E2263" s="8">
        <v>9888</v>
      </c>
      <c r="F2263" s="8">
        <v>12000</v>
      </c>
      <c r="G2263" s="8">
        <f t="shared" si="140"/>
        <v>2112</v>
      </c>
      <c r="H2263" s="6">
        <v>15000</v>
      </c>
      <c r="I2263" t="s">
        <v>41</v>
      </c>
      <c r="J2263" t="s">
        <v>35</v>
      </c>
      <c r="K2263" t="s">
        <v>1647</v>
      </c>
      <c r="L2263" t="s">
        <v>100</v>
      </c>
      <c r="M2263" t="s">
        <v>98</v>
      </c>
      <c r="N2263" s="6" t="s">
        <v>1647</v>
      </c>
      <c r="O2263" t="str">
        <f t="shared" si="141"/>
        <v>Normal</v>
      </c>
      <c r="P2263" t="str">
        <f t="shared" si="142"/>
        <v>Duplicate ID</v>
      </c>
      <c r="Q2263" t="str">
        <f t="shared" si="143"/>
        <v>5,000-9,999</v>
      </c>
      <c r="R2263" s="6">
        <f>IF(COUNTIF($A$2:A2263,A2263)=1,1,0)</f>
        <v>0</v>
      </c>
    </row>
    <row r="2264" spans="1:18" x14ac:dyDescent="0.25">
      <c r="A2264" s="6">
        <v>1584</v>
      </c>
      <c r="B2264" s="7">
        <v>44669</v>
      </c>
      <c r="C2264" t="s">
        <v>57</v>
      </c>
      <c r="D2264" s="6">
        <v>2018</v>
      </c>
      <c r="E2264" s="8">
        <v>17297</v>
      </c>
      <c r="F2264" s="8">
        <v>22000</v>
      </c>
      <c r="G2264" s="8">
        <f t="shared" si="140"/>
        <v>4703</v>
      </c>
      <c r="H2264" s="6">
        <v>15000</v>
      </c>
      <c r="I2264" t="s">
        <v>58</v>
      </c>
      <c r="J2264" t="s">
        <v>35</v>
      </c>
      <c r="K2264" t="s">
        <v>96</v>
      </c>
      <c r="L2264" t="s">
        <v>48</v>
      </c>
      <c r="M2264" t="s">
        <v>1647</v>
      </c>
      <c r="N2264" s="6">
        <v>3</v>
      </c>
      <c r="O2264" t="str">
        <f t="shared" si="141"/>
        <v>Normal</v>
      </c>
      <c r="P2264" t="str">
        <f t="shared" si="142"/>
        <v>Duplicate ID</v>
      </c>
      <c r="Q2264" t="str">
        <f t="shared" si="143"/>
        <v>15,000-19,999</v>
      </c>
      <c r="R2264" s="6">
        <f>IF(COUNTIF($A$2:A2264,A2264)=1,1,0)</f>
        <v>1</v>
      </c>
    </row>
    <row r="2265" spans="1:18" x14ac:dyDescent="0.25">
      <c r="A2265" s="6">
        <v>1449</v>
      </c>
      <c r="B2265" s="7">
        <v>44764</v>
      </c>
      <c r="C2265" t="s">
        <v>51</v>
      </c>
      <c r="D2265" s="6">
        <v>2014</v>
      </c>
      <c r="E2265" s="8">
        <v>8667</v>
      </c>
      <c r="F2265" s="8">
        <v>15000</v>
      </c>
      <c r="G2265" s="8">
        <f t="shared" si="140"/>
        <v>6333</v>
      </c>
      <c r="H2265" s="6">
        <v>80000</v>
      </c>
      <c r="I2265" t="s">
        <v>69</v>
      </c>
      <c r="J2265" t="s">
        <v>72</v>
      </c>
      <c r="K2265" t="s">
        <v>96</v>
      </c>
      <c r="L2265" t="s">
        <v>48</v>
      </c>
      <c r="M2265" t="s">
        <v>98</v>
      </c>
      <c r="N2265" s="6" t="s">
        <v>1647</v>
      </c>
      <c r="O2265" t="str">
        <f t="shared" si="141"/>
        <v>Normal</v>
      </c>
      <c r="P2265" t="str">
        <f t="shared" si="142"/>
        <v>Duplicate ID</v>
      </c>
      <c r="Q2265" t="str">
        <f t="shared" si="143"/>
        <v>5,000-9,999</v>
      </c>
      <c r="R2265" s="6">
        <f>IF(COUNTIF($A$2:A2265,A2265)=1,1,0)</f>
        <v>0</v>
      </c>
    </row>
    <row r="2266" spans="1:18" x14ac:dyDescent="0.25">
      <c r="A2266" s="6">
        <v>1308</v>
      </c>
      <c r="B2266" s="7">
        <v>44454</v>
      </c>
      <c r="C2266" t="s">
        <v>40</v>
      </c>
      <c r="D2266" s="6">
        <v>2021</v>
      </c>
      <c r="E2266" s="8">
        <v>16393</v>
      </c>
      <c r="F2266" s="8">
        <v>18000</v>
      </c>
      <c r="G2266" s="8">
        <f t="shared" si="140"/>
        <v>1607</v>
      </c>
      <c r="H2266" s="6">
        <v>25000</v>
      </c>
      <c r="I2266" t="s">
        <v>58</v>
      </c>
      <c r="J2266" t="s">
        <v>1647</v>
      </c>
      <c r="K2266" t="s">
        <v>36</v>
      </c>
      <c r="L2266" t="s">
        <v>73</v>
      </c>
      <c r="M2266" t="s">
        <v>45</v>
      </c>
      <c r="N2266" s="6">
        <v>3</v>
      </c>
      <c r="O2266" t="str">
        <f t="shared" si="141"/>
        <v>Normal</v>
      </c>
      <c r="P2266" t="str">
        <f t="shared" si="142"/>
        <v>Duplicate ID</v>
      </c>
      <c r="Q2266" t="str">
        <f t="shared" si="143"/>
        <v>15,000-19,999</v>
      </c>
      <c r="R2266" s="6">
        <f>IF(COUNTIF($A$2:A2266,A2266)=1,1,0)</f>
        <v>0</v>
      </c>
    </row>
    <row r="2267" spans="1:18" x14ac:dyDescent="0.25">
      <c r="A2267" s="6">
        <v>1278</v>
      </c>
      <c r="B2267" s="7">
        <v>44299</v>
      </c>
      <c r="C2267" t="s">
        <v>79</v>
      </c>
      <c r="D2267" s="6">
        <v>2014</v>
      </c>
      <c r="E2267" s="8">
        <v>9707</v>
      </c>
      <c r="F2267" s="8">
        <v>12000</v>
      </c>
      <c r="G2267" s="8">
        <f t="shared" si="140"/>
        <v>2293</v>
      </c>
      <c r="H2267" s="6">
        <v>60000</v>
      </c>
      <c r="I2267" t="s">
        <v>69</v>
      </c>
      <c r="J2267" t="s">
        <v>72</v>
      </c>
      <c r="K2267" t="s">
        <v>96</v>
      </c>
      <c r="L2267" t="s">
        <v>48</v>
      </c>
      <c r="M2267" t="s">
        <v>90</v>
      </c>
      <c r="N2267" s="6" t="s">
        <v>1647</v>
      </c>
      <c r="O2267" t="str">
        <f t="shared" si="141"/>
        <v>Normal</v>
      </c>
      <c r="P2267" t="str">
        <f t="shared" si="142"/>
        <v>Duplicate ID</v>
      </c>
      <c r="Q2267" t="str">
        <f t="shared" si="143"/>
        <v>5,000-9,999</v>
      </c>
      <c r="R2267" s="6">
        <f>IF(COUNTIF($A$2:A2267,A2267)=1,1,0)</f>
        <v>0</v>
      </c>
    </row>
    <row r="2268" spans="1:18" x14ac:dyDescent="0.25">
      <c r="A2268" s="6">
        <v>1548</v>
      </c>
      <c r="B2268" s="7">
        <v>45030</v>
      </c>
      <c r="C2268" t="s">
        <v>119</v>
      </c>
      <c r="D2268" s="6">
        <v>2017</v>
      </c>
      <c r="E2268" s="8">
        <v>13178</v>
      </c>
      <c r="F2268" s="8">
        <v>15000</v>
      </c>
      <c r="G2268" s="8">
        <f t="shared" si="140"/>
        <v>1822</v>
      </c>
      <c r="H2268" s="6">
        <v>80000</v>
      </c>
      <c r="I2268" t="s">
        <v>41</v>
      </c>
      <c r="J2268" t="s">
        <v>1647</v>
      </c>
      <c r="K2268" t="s">
        <v>1647</v>
      </c>
      <c r="L2268" t="s">
        <v>54</v>
      </c>
      <c r="M2268" t="s">
        <v>45</v>
      </c>
      <c r="N2268" s="6">
        <v>0</v>
      </c>
      <c r="O2268" t="str">
        <f t="shared" si="141"/>
        <v>Normal</v>
      </c>
      <c r="P2268" t="str">
        <f t="shared" si="142"/>
        <v>Duplicate ID</v>
      </c>
      <c r="Q2268" t="str">
        <f t="shared" si="143"/>
        <v>10,000-14,999</v>
      </c>
      <c r="R2268" s="6">
        <f>IF(COUNTIF($A$2:A2268,A2268)=1,1,0)</f>
        <v>0</v>
      </c>
    </row>
    <row r="2269" spans="1:18" x14ac:dyDescent="0.25">
      <c r="A2269" s="6">
        <v>1272</v>
      </c>
      <c r="B2269" s="7">
        <v>44755</v>
      </c>
      <c r="C2269" t="s">
        <v>79</v>
      </c>
      <c r="D2269" s="6"/>
      <c r="E2269" s="8">
        <v>12256</v>
      </c>
      <c r="F2269" s="8">
        <v>18000</v>
      </c>
      <c r="G2269" s="8">
        <f t="shared" si="140"/>
        <v>5744</v>
      </c>
      <c r="H2269" s="6">
        <v>25000</v>
      </c>
      <c r="I2269" t="s">
        <v>41</v>
      </c>
      <c r="J2269" t="s">
        <v>72</v>
      </c>
      <c r="K2269" t="s">
        <v>36</v>
      </c>
      <c r="L2269" t="s">
        <v>48</v>
      </c>
      <c r="M2269" t="s">
        <v>98</v>
      </c>
      <c r="N2269" s="6">
        <v>2</v>
      </c>
      <c r="O2269" t="str">
        <f t="shared" si="141"/>
        <v>Normal</v>
      </c>
      <c r="P2269" t="str">
        <f t="shared" si="142"/>
        <v>Duplicate ID</v>
      </c>
      <c r="Q2269" t="str">
        <f t="shared" si="143"/>
        <v>10,000-14,999</v>
      </c>
      <c r="R2269" s="6">
        <f>IF(COUNTIF($A$2:A2269,A2269)=1,1,0)</f>
        <v>0</v>
      </c>
    </row>
    <row r="2270" spans="1:18" x14ac:dyDescent="0.25">
      <c r="A2270" s="6">
        <v>1001</v>
      </c>
      <c r="B2270" s="7">
        <v>44431</v>
      </c>
      <c r="C2270" t="s">
        <v>57</v>
      </c>
      <c r="D2270" s="6">
        <v>2019</v>
      </c>
      <c r="E2270" s="8">
        <v>15770</v>
      </c>
      <c r="F2270" s="8">
        <v>18000</v>
      </c>
      <c r="G2270" s="8">
        <f t="shared" si="140"/>
        <v>2230</v>
      </c>
      <c r="H2270" s="6">
        <v>80000</v>
      </c>
      <c r="I2270" t="s">
        <v>34</v>
      </c>
      <c r="J2270" t="s">
        <v>1647</v>
      </c>
      <c r="K2270" t="s">
        <v>1647</v>
      </c>
      <c r="L2270" t="s">
        <v>73</v>
      </c>
      <c r="M2270" t="s">
        <v>90</v>
      </c>
      <c r="N2270" s="6">
        <v>1</v>
      </c>
      <c r="O2270" t="str">
        <f t="shared" si="141"/>
        <v>Normal</v>
      </c>
      <c r="P2270" t="str">
        <f t="shared" si="142"/>
        <v>Duplicate ID</v>
      </c>
      <c r="Q2270" t="str">
        <f t="shared" si="143"/>
        <v>15,000-19,999</v>
      </c>
      <c r="R2270" s="6">
        <f>IF(COUNTIF($A$2:A2270,A2270)=1,1,0)</f>
        <v>0</v>
      </c>
    </row>
    <row r="2271" spans="1:18" x14ac:dyDescent="0.25">
      <c r="A2271" s="6">
        <v>1314</v>
      </c>
      <c r="B2271" s="7">
        <v>45279</v>
      </c>
      <c r="C2271" t="s">
        <v>119</v>
      </c>
      <c r="D2271" s="6">
        <v>2019</v>
      </c>
      <c r="E2271" s="8">
        <v>28279</v>
      </c>
      <c r="F2271" s="8">
        <v>31000</v>
      </c>
      <c r="G2271" s="8">
        <f t="shared" si="140"/>
        <v>2721</v>
      </c>
      <c r="H2271" s="6">
        <v>40000</v>
      </c>
      <c r="I2271" t="s">
        <v>41</v>
      </c>
      <c r="J2271" t="s">
        <v>72</v>
      </c>
      <c r="K2271" t="s">
        <v>96</v>
      </c>
      <c r="L2271" t="s">
        <v>73</v>
      </c>
      <c r="M2271" t="s">
        <v>90</v>
      </c>
      <c r="N2271" s="6">
        <v>2</v>
      </c>
      <c r="O2271" t="str">
        <f t="shared" si="141"/>
        <v>Normal</v>
      </c>
      <c r="P2271" t="str">
        <f t="shared" si="142"/>
        <v>Duplicate ID</v>
      </c>
      <c r="Q2271" t="str">
        <f t="shared" si="143"/>
        <v>25,000-30,000</v>
      </c>
      <c r="R2271" s="6">
        <f>IF(COUNTIF($A$2:A2271,A2271)=1,1,0)</f>
        <v>0</v>
      </c>
    </row>
    <row r="2272" spans="1:18" x14ac:dyDescent="0.25">
      <c r="A2272" s="6">
        <v>1421</v>
      </c>
      <c r="B2272" s="7">
        <v>44386</v>
      </c>
      <c r="C2272" t="s">
        <v>1648</v>
      </c>
      <c r="D2272" s="6">
        <v>2019</v>
      </c>
      <c r="E2272" s="8">
        <v>19733</v>
      </c>
      <c r="F2272" s="8">
        <v>26000</v>
      </c>
      <c r="G2272" s="8">
        <f t="shared" si="140"/>
        <v>6267</v>
      </c>
      <c r="H2272" s="6">
        <v>15000</v>
      </c>
      <c r="I2272" t="s">
        <v>34</v>
      </c>
      <c r="J2272" t="s">
        <v>35</v>
      </c>
      <c r="K2272" t="s">
        <v>96</v>
      </c>
      <c r="L2272" t="s">
        <v>54</v>
      </c>
      <c r="M2272" t="s">
        <v>45</v>
      </c>
      <c r="N2272" s="6">
        <v>2</v>
      </c>
      <c r="O2272" t="str">
        <f t="shared" si="141"/>
        <v>Normal</v>
      </c>
      <c r="P2272" t="str">
        <f t="shared" si="142"/>
        <v>Duplicate ID</v>
      </c>
      <c r="Q2272" t="str">
        <f t="shared" si="143"/>
        <v>15,000-19,999</v>
      </c>
      <c r="R2272" s="6">
        <f>IF(COUNTIF($A$2:A2272,A2272)=1,1,0)</f>
        <v>0</v>
      </c>
    </row>
    <row r="2273" spans="1:18" x14ac:dyDescent="0.25">
      <c r="A2273" s="6">
        <v>1349</v>
      </c>
      <c r="B2273" s="7">
        <v>44669</v>
      </c>
      <c r="C2273" t="s">
        <v>1648</v>
      </c>
      <c r="D2273" s="6">
        <v>2016</v>
      </c>
      <c r="E2273" s="8">
        <v>4989</v>
      </c>
      <c r="F2273" s="8">
        <v>7000</v>
      </c>
      <c r="G2273" s="8">
        <f t="shared" si="140"/>
        <v>2011</v>
      </c>
      <c r="H2273" s="6">
        <v>25000</v>
      </c>
      <c r="I2273" t="s">
        <v>58</v>
      </c>
      <c r="J2273" t="s">
        <v>35</v>
      </c>
      <c r="K2273" t="s">
        <v>36</v>
      </c>
      <c r="L2273" t="s">
        <v>54</v>
      </c>
      <c r="M2273" t="s">
        <v>126</v>
      </c>
      <c r="N2273" s="6">
        <v>3</v>
      </c>
      <c r="O2273" t="str">
        <f t="shared" si="141"/>
        <v>Normal</v>
      </c>
      <c r="P2273" t="str">
        <f t="shared" si="142"/>
        <v>Duplicate ID</v>
      </c>
      <c r="Q2273" t="str">
        <f t="shared" si="143"/>
        <v>0-4,999</v>
      </c>
      <c r="R2273" s="6">
        <f>IF(COUNTIF($A$2:A2273,A2273)=1,1,0)</f>
        <v>0</v>
      </c>
    </row>
    <row r="2274" spans="1:18" x14ac:dyDescent="0.25">
      <c r="A2274" s="6">
        <v>1282</v>
      </c>
      <c r="B2274" s="7">
        <v>44666</v>
      </c>
      <c r="C2274" t="s">
        <v>40</v>
      </c>
      <c r="D2274" s="6">
        <v>2021</v>
      </c>
      <c r="E2274" s="8">
        <v>11583</v>
      </c>
      <c r="F2274" s="8">
        <v>15000</v>
      </c>
      <c r="G2274" s="8">
        <f t="shared" si="140"/>
        <v>3417</v>
      </c>
      <c r="H2274" s="6">
        <v>120000</v>
      </c>
      <c r="I2274" t="s">
        <v>69</v>
      </c>
      <c r="J2274" t="s">
        <v>72</v>
      </c>
      <c r="K2274" t="s">
        <v>96</v>
      </c>
      <c r="L2274" t="s">
        <v>73</v>
      </c>
      <c r="M2274" t="s">
        <v>126</v>
      </c>
      <c r="N2274" s="6">
        <v>3</v>
      </c>
      <c r="O2274" t="str">
        <f t="shared" si="141"/>
        <v>Normal</v>
      </c>
      <c r="P2274" t="str">
        <f t="shared" si="142"/>
        <v>Duplicate ID</v>
      </c>
      <c r="Q2274" t="str">
        <f t="shared" si="143"/>
        <v>10,000-14,999</v>
      </c>
      <c r="R2274" s="6">
        <f>IF(COUNTIF($A$2:A2274,A2274)=1,1,0)</f>
        <v>0</v>
      </c>
    </row>
    <row r="2275" spans="1:18" x14ac:dyDescent="0.25">
      <c r="A2275" s="6">
        <v>1366</v>
      </c>
      <c r="B2275" s="7">
        <v>45380</v>
      </c>
      <c r="C2275" t="s">
        <v>40</v>
      </c>
      <c r="D2275" s="6">
        <v>2017</v>
      </c>
      <c r="E2275" s="8">
        <v>4384</v>
      </c>
      <c r="F2275" s="8">
        <v>9000</v>
      </c>
      <c r="G2275" s="8">
        <f t="shared" si="140"/>
        <v>4616</v>
      </c>
      <c r="H2275" s="6">
        <v>15000</v>
      </c>
      <c r="I2275" t="s">
        <v>69</v>
      </c>
      <c r="J2275" t="s">
        <v>35</v>
      </c>
      <c r="K2275" t="s">
        <v>36</v>
      </c>
      <c r="L2275" t="s">
        <v>73</v>
      </c>
      <c r="M2275" t="s">
        <v>90</v>
      </c>
      <c r="N2275" s="6">
        <v>1</v>
      </c>
      <c r="O2275" t="str">
        <f t="shared" si="141"/>
        <v>Normal</v>
      </c>
      <c r="P2275" t="str">
        <f t="shared" si="142"/>
        <v>Duplicate ID</v>
      </c>
      <c r="Q2275" t="str">
        <f t="shared" si="143"/>
        <v>0-4,999</v>
      </c>
      <c r="R2275" s="6">
        <f>IF(COUNTIF($A$2:A2275,A2275)=1,1,0)</f>
        <v>0</v>
      </c>
    </row>
    <row r="2276" spans="1:18" x14ac:dyDescent="0.25">
      <c r="A2276" s="6">
        <v>1068</v>
      </c>
      <c r="B2276" s="7">
        <v>45014</v>
      </c>
      <c r="C2276" t="s">
        <v>51</v>
      </c>
      <c r="D2276" s="6">
        <v>2018</v>
      </c>
      <c r="E2276" s="8">
        <v>5232</v>
      </c>
      <c r="F2276" s="8">
        <v>9000</v>
      </c>
      <c r="G2276" s="8">
        <f t="shared" si="140"/>
        <v>3768</v>
      </c>
      <c r="H2276" s="6">
        <v>60000</v>
      </c>
      <c r="I2276" t="s">
        <v>34</v>
      </c>
      <c r="J2276" t="s">
        <v>72</v>
      </c>
      <c r="K2276" t="s">
        <v>36</v>
      </c>
      <c r="L2276" t="s">
        <v>1647</v>
      </c>
      <c r="M2276" t="s">
        <v>45</v>
      </c>
      <c r="N2276" s="6">
        <v>2</v>
      </c>
      <c r="O2276" t="str">
        <f t="shared" si="141"/>
        <v>Normal</v>
      </c>
      <c r="P2276" t="str">
        <f t="shared" si="142"/>
        <v>Duplicate ID</v>
      </c>
      <c r="Q2276" t="str">
        <f t="shared" si="143"/>
        <v>5,000-9,999</v>
      </c>
      <c r="R2276" s="6">
        <f>IF(COUNTIF($A$2:A2276,A2276)=1,1,0)</f>
        <v>0</v>
      </c>
    </row>
    <row r="2277" spans="1:18" x14ac:dyDescent="0.25">
      <c r="A2277" s="6">
        <v>1401</v>
      </c>
      <c r="B2277" s="7">
        <v>45087</v>
      </c>
      <c r="C2277" t="s">
        <v>32</v>
      </c>
      <c r="D2277" s="6">
        <v>2017</v>
      </c>
      <c r="E2277" s="8">
        <v>12386</v>
      </c>
      <c r="F2277" s="8">
        <v>15000</v>
      </c>
      <c r="G2277" s="8">
        <f t="shared" si="140"/>
        <v>2614</v>
      </c>
      <c r="H2277" s="6">
        <v>120000</v>
      </c>
      <c r="I2277" t="s">
        <v>69</v>
      </c>
      <c r="J2277" t="s">
        <v>1647</v>
      </c>
      <c r="K2277" t="s">
        <v>36</v>
      </c>
      <c r="L2277" t="s">
        <v>54</v>
      </c>
      <c r="M2277" t="s">
        <v>98</v>
      </c>
      <c r="N2277" s="6">
        <v>2</v>
      </c>
      <c r="O2277" t="str">
        <f t="shared" si="141"/>
        <v>Normal</v>
      </c>
      <c r="P2277" t="str">
        <f t="shared" si="142"/>
        <v>Duplicate ID</v>
      </c>
      <c r="Q2277" t="str">
        <f t="shared" si="143"/>
        <v>10,000-14,999</v>
      </c>
      <c r="R2277" s="6">
        <f>IF(COUNTIF($A$2:A2277,A2277)=1,1,0)</f>
        <v>0</v>
      </c>
    </row>
    <row r="2278" spans="1:18" x14ac:dyDescent="0.25">
      <c r="A2278" s="6">
        <v>1561</v>
      </c>
      <c r="B2278" s="7">
        <v>45166</v>
      </c>
      <c r="C2278" t="s">
        <v>32</v>
      </c>
      <c r="D2278" s="6">
        <v>2021</v>
      </c>
      <c r="E2278" s="8">
        <v>4943</v>
      </c>
      <c r="F2278" s="8">
        <v>9000</v>
      </c>
      <c r="G2278" s="8">
        <f t="shared" si="140"/>
        <v>4057</v>
      </c>
      <c r="H2278" s="6">
        <v>120000</v>
      </c>
      <c r="I2278" t="s">
        <v>69</v>
      </c>
      <c r="J2278" t="s">
        <v>1647</v>
      </c>
      <c r="K2278" t="s">
        <v>36</v>
      </c>
      <c r="L2278" t="s">
        <v>100</v>
      </c>
      <c r="M2278" t="s">
        <v>126</v>
      </c>
      <c r="N2278" s="6" t="s">
        <v>1647</v>
      </c>
      <c r="O2278" t="str">
        <f t="shared" si="141"/>
        <v>Normal</v>
      </c>
      <c r="P2278" t="str">
        <f t="shared" si="142"/>
        <v>Duplicate ID</v>
      </c>
      <c r="Q2278" t="str">
        <f t="shared" si="143"/>
        <v>0-4,999</v>
      </c>
      <c r="R2278" s="6">
        <f>IF(COUNTIF($A$2:A2278,A2278)=1,1,0)</f>
        <v>0</v>
      </c>
    </row>
    <row r="2279" spans="1:18" x14ac:dyDescent="0.25">
      <c r="A2279" s="6">
        <v>1584</v>
      </c>
      <c r="B2279" s="7">
        <v>44524</v>
      </c>
      <c r="C2279" t="s">
        <v>32</v>
      </c>
      <c r="D2279" s="6">
        <v>2018</v>
      </c>
      <c r="E2279" s="8">
        <v>5681</v>
      </c>
      <c r="F2279" s="8">
        <v>9000</v>
      </c>
      <c r="G2279" s="8">
        <f t="shared" si="140"/>
        <v>3319</v>
      </c>
      <c r="H2279" s="6">
        <v>120000</v>
      </c>
      <c r="I2279" t="s">
        <v>69</v>
      </c>
      <c r="J2279" t="s">
        <v>35</v>
      </c>
      <c r="K2279" t="s">
        <v>96</v>
      </c>
      <c r="L2279" t="s">
        <v>73</v>
      </c>
      <c r="M2279" t="s">
        <v>126</v>
      </c>
      <c r="N2279" s="6">
        <v>1</v>
      </c>
      <c r="O2279" t="str">
        <f t="shared" si="141"/>
        <v>Normal</v>
      </c>
      <c r="P2279" t="str">
        <f t="shared" si="142"/>
        <v>Duplicate ID</v>
      </c>
      <c r="Q2279" t="str">
        <f t="shared" si="143"/>
        <v>5,000-9,999</v>
      </c>
      <c r="R2279" s="6">
        <f>IF(COUNTIF($A$2:A2279,A2279)=1,1,0)</f>
        <v>0</v>
      </c>
    </row>
    <row r="2280" spans="1:18" x14ac:dyDescent="0.25">
      <c r="A2280" s="6">
        <v>1172</v>
      </c>
      <c r="B2280" s="7">
        <v>44779</v>
      </c>
      <c r="C2280" t="s">
        <v>79</v>
      </c>
      <c r="D2280" s="6">
        <v>2020</v>
      </c>
      <c r="E2280" s="8">
        <v>13009</v>
      </c>
      <c r="F2280" s="8">
        <v>15000</v>
      </c>
      <c r="G2280" s="8">
        <f t="shared" si="140"/>
        <v>1991</v>
      </c>
      <c r="H2280" s="6">
        <v>80000</v>
      </c>
      <c r="I2280" t="s">
        <v>58</v>
      </c>
      <c r="J2280" t="s">
        <v>35</v>
      </c>
      <c r="K2280" t="s">
        <v>36</v>
      </c>
      <c r="L2280" t="s">
        <v>48</v>
      </c>
      <c r="M2280" t="s">
        <v>45</v>
      </c>
      <c r="N2280" s="6">
        <v>0</v>
      </c>
      <c r="O2280" t="str">
        <f t="shared" si="141"/>
        <v>Normal</v>
      </c>
      <c r="P2280" t="str">
        <f t="shared" si="142"/>
        <v>Duplicate ID</v>
      </c>
      <c r="Q2280" t="str">
        <f t="shared" si="143"/>
        <v>10,000-14,999</v>
      </c>
      <c r="R2280" s="6">
        <f>IF(COUNTIF($A$2:A2280,A2280)=1,1,0)</f>
        <v>0</v>
      </c>
    </row>
    <row r="2281" spans="1:18" x14ac:dyDescent="0.25">
      <c r="A2281" s="6">
        <v>1515</v>
      </c>
      <c r="B2281" s="7">
        <v>45089</v>
      </c>
      <c r="C2281" t="s">
        <v>32</v>
      </c>
      <c r="D2281" s="6">
        <v>2014</v>
      </c>
      <c r="E2281" s="8">
        <v>14484</v>
      </c>
      <c r="F2281" s="8">
        <v>18000</v>
      </c>
      <c r="G2281" s="8">
        <f t="shared" si="140"/>
        <v>3516</v>
      </c>
      <c r="H2281" s="6">
        <v>120000</v>
      </c>
      <c r="I2281" t="s">
        <v>69</v>
      </c>
      <c r="J2281" t="s">
        <v>1647</v>
      </c>
      <c r="K2281" t="s">
        <v>36</v>
      </c>
      <c r="L2281" t="s">
        <v>1647</v>
      </c>
      <c r="M2281" t="s">
        <v>90</v>
      </c>
      <c r="N2281" s="6">
        <v>3</v>
      </c>
      <c r="O2281" t="str">
        <f t="shared" si="141"/>
        <v>Normal</v>
      </c>
      <c r="P2281" t="str">
        <f t="shared" si="142"/>
        <v>Duplicate ID</v>
      </c>
      <c r="Q2281" t="str">
        <f t="shared" si="143"/>
        <v>10,000-14,999</v>
      </c>
      <c r="R2281" s="6">
        <f>IF(COUNTIF($A$2:A2281,A2281)=1,1,0)</f>
        <v>0</v>
      </c>
    </row>
    <row r="2282" spans="1:18" x14ac:dyDescent="0.25">
      <c r="A2282" s="6">
        <v>1468</v>
      </c>
      <c r="B2282" s="7">
        <v>44986</v>
      </c>
      <c r="C2282" t="s">
        <v>57</v>
      </c>
      <c r="D2282" s="6"/>
      <c r="E2282" s="8">
        <v>2577</v>
      </c>
      <c r="F2282" s="8">
        <v>9000</v>
      </c>
      <c r="G2282" s="8">
        <f t="shared" si="140"/>
        <v>6423</v>
      </c>
      <c r="H2282" s="6">
        <v>25000</v>
      </c>
      <c r="I2282" t="s">
        <v>41</v>
      </c>
      <c r="J2282" t="s">
        <v>72</v>
      </c>
      <c r="K2282" t="s">
        <v>96</v>
      </c>
      <c r="L2282" t="s">
        <v>54</v>
      </c>
      <c r="M2282" t="s">
        <v>126</v>
      </c>
      <c r="N2282" s="6">
        <v>2</v>
      </c>
      <c r="O2282" t="str">
        <f t="shared" si="141"/>
        <v>Normal</v>
      </c>
      <c r="P2282" t="str">
        <f t="shared" si="142"/>
        <v>Duplicate ID</v>
      </c>
      <c r="Q2282" t="str">
        <f t="shared" si="143"/>
        <v>0-4,999</v>
      </c>
      <c r="R2282" s="6">
        <f>IF(COUNTIF($A$2:A2282,A2282)=1,1,0)</f>
        <v>0</v>
      </c>
    </row>
    <row r="2283" spans="1:18" x14ac:dyDescent="0.25">
      <c r="A2283" s="6">
        <v>1097</v>
      </c>
      <c r="B2283" s="7">
        <v>44249</v>
      </c>
      <c r="C2283" t="s">
        <v>57</v>
      </c>
      <c r="D2283" s="6">
        <v>2016</v>
      </c>
      <c r="E2283" s="8">
        <v>2638</v>
      </c>
      <c r="F2283" s="8">
        <v>9000</v>
      </c>
      <c r="G2283" s="8">
        <f t="shared" si="140"/>
        <v>6362</v>
      </c>
      <c r="H2283" s="6">
        <v>80000</v>
      </c>
      <c r="I2283" t="s">
        <v>58</v>
      </c>
      <c r="J2283" t="s">
        <v>35</v>
      </c>
      <c r="K2283" t="s">
        <v>36</v>
      </c>
      <c r="L2283" t="s">
        <v>54</v>
      </c>
      <c r="M2283" t="s">
        <v>98</v>
      </c>
      <c r="N2283" s="6" t="s">
        <v>1647</v>
      </c>
      <c r="O2283" t="str">
        <f t="shared" si="141"/>
        <v>Normal</v>
      </c>
      <c r="P2283" t="str">
        <f t="shared" si="142"/>
        <v>Duplicate ID</v>
      </c>
      <c r="Q2283" t="str">
        <f t="shared" si="143"/>
        <v>0-4,999</v>
      </c>
      <c r="R2283" s="6">
        <f>IF(COUNTIF($A$2:A2283,A2283)=1,1,0)</f>
        <v>0</v>
      </c>
    </row>
    <row r="2284" spans="1:18" x14ac:dyDescent="0.25">
      <c r="A2284" s="6">
        <v>1012</v>
      </c>
      <c r="B2284" s="7">
        <v>44710</v>
      </c>
      <c r="C2284" t="s">
        <v>57</v>
      </c>
      <c r="D2284" s="6">
        <v>2017</v>
      </c>
      <c r="E2284" s="8">
        <v>12551</v>
      </c>
      <c r="F2284" s="8">
        <v>18000</v>
      </c>
      <c r="G2284" s="8">
        <f t="shared" si="140"/>
        <v>5449</v>
      </c>
      <c r="H2284" s="6">
        <v>25000</v>
      </c>
      <c r="I2284" t="s">
        <v>69</v>
      </c>
      <c r="J2284" t="s">
        <v>72</v>
      </c>
      <c r="K2284" t="s">
        <v>36</v>
      </c>
      <c r="L2284" t="s">
        <v>48</v>
      </c>
      <c r="M2284" t="s">
        <v>98</v>
      </c>
      <c r="N2284" s="6">
        <v>0</v>
      </c>
      <c r="O2284" t="str">
        <f t="shared" si="141"/>
        <v>Normal</v>
      </c>
      <c r="P2284" t="str">
        <f t="shared" si="142"/>
        <v>Duplicate ID</v>
      </c>
      <c r="Q2284" t="str">
        <f t="shared" si="143"/>
        <v>10,000-14,999</v>
      </c>
      <c r="R2284" s="6">
        <f>IF(COUNTIF($A$2:A2284,A2284)=1,1,0)</f>
        <v>0</v>
      </c>
    </row>
    <row r="2285" spans="1:18" x14ac:dyDescent="0.25">
      <c r="A2285" s="6">
        <v>1259</v>
      </c>
      <c r="B2285" s="7">
        <v>44702</v>
      </c>
      <c r="C2285" t="s">
        <v>119</v>
      </c>
      <c r="D2285" s="6">
        <v>2016</v>
      </c>
      <c r="E2285" s="8">
        <v>3435</v>
      </c>
      <c r="F2285" s="8">
        <v>7000</v>
      </c>
      <c r="G2285" s="8">
        <f t="shared" si="140"/>
        <v>3565</v>
      </c>
      <c r="H2285" s="6">
        <v>25000</v>
      </c>
      <c r="I2285" t="s">
        <v>41</v>
      </c>
      <c r="J2285" t="s">
        <v>72</v>
      </c>
      <c r="K2285" t="s">
        <v>96</v>
      </c>
      <c r="L2285" t="s">
        <v>48</v>
      </c>
      <c r="M2285" t="s">
        <v>126</v>
      </c>
      <c r="N2285" s="6">
        <v>2</v>
      </c>
      <c r="O2285" t="str">
        <f t="shared" si="141"/>
        <v>Normal</v>
      </c>
      <c r="P2285" t="str">
        <f t="shared" si="142"/>
        <v>Duplicate ID</v>
      </c>
      <c r="Q2285" t="str">
        <f t="shared" si="143"/>
        <v>0-4,999</v>
      </c>
      <c r="R2285" s="6">
        <f>IF(COUNTIF($A$2:A2285,A2285)=1,1,0)</f>
        <v>0</v>
      </c>
    </row>
    <row r="2286" spans="1:18" x14ac:dyDescent="0.25">
      <c r="A2286" s="6">
        <v>1505</v>
      </c>
      <c r="B2286" s="7">
        <v>45293</v>
      </c>
      <c r="C2286" t="s">
        <v>32</v>
      </c>
      <c r="D2286" s="6"/>
      <c r="E2286" s="8">
        <v>8803</v>
      </c>
      <c r="F2286" s="8">
        <v>15000</v>
      </c>
      <c r="G2286" s="8">
        <f t="shared" si="140"/>
        <v>6197</v>
      </c>
      <c r="H2286" s="6">
        <v>120000</v>
      </c>
      <c r="I2286" t="s">
        <v>34</v>
      </c>
      <c r="J2286" t="s">
        <v>72</v>
      </c>
      <c r="K2286" t="s">
        <v>96</v>
      </c>
      <c r="L2286" t="s">
        <v>73</v>
      </c>
      <c r="M2286" t="s">
        <v>1647</v>
      </c>
      <c r="N2286" s="6">
        <v>3</v>
      </c>
      <c r="O2286" t="str">
        <f t="shared" si="141"/>
        <v>Normal</v>
      </c>
      <c r="P2286" t="str">
        <f t="shared" si="142"/>
        <v>Duplicate ID</v>
      </c>
      <c r="Q2286" t="str">
        <f t="shared" si="143"/>
        <v>5,000-9,999</v>
      </c>
      <c r="R2286" s="6">
        <f>IF(COUNTIF($A$2:A2286,A2286)=1,1,0)</f>
        <v>0</v>
      </c>
    </row>
    <row r="2287" spans="1:18" x14ac:dyDescent="0.25">
      <c r="A2287" s="6">
        <v>1182</v>
      </c>
      <c r="B2287" s="7">
        <v>44889</v>
      </c>
      <c r="C2287" t="s">
        <v>1648</v>
      </c>
      <c r="D2287" s="6">
        <v>2016</v>
      </c>
      <c r="E2287" s="8">
        <v>4324</v>
      </c>
      <c r="F2287" s="8">
        <v>9000</v>
      </c>
      <c r="G2287" s="8">
        <f t="shared" si="140"/>
        <v>4676</v>
      </c>
      <c r="H2287" s="6">
        <v>15000</v>
      </c>
      <c r="I2287" t="s">
        <v>58</v>
      </c>
      <c r="J2287" t="s">
        <v>35</v>
      </c>
      <c r="K2287" t="s">
        <v>36</v>
      </c>
      <c r="L2287" t="s">
        <v>54</v>
      </c>
      <c r="M2287" t="s">
        <v>126</v>
      </c>
      <c r="N2287" s="6">
        <v>0</v>
      </c>
      <c r="O2287" t="str">
        <f t="shared" si="141"/>
        <v>Normal</v>
      </c>
      <c r="P2287" t="str">
        <f t="shared" si="142"/>
        <v>Duplicate ID</v>
      </c>
      <c r="Q2287" t="str">
        <f t="shared" si="143"/>
        <v>0-4,999</v>
      </c>
      <c r="R2287" s="6">
        <f>IF(COUNTIF($A$2:A2287,A2287)=1,1,0)</f>
        <v>0</v>
      </c>
    </row>
    <row r="2288" spans="1:18" x14ac:dyDescent="0.25">
      <c r="A2288" s="6">
        <v>1283</v>
      </c>
      <c r="B2288" s="7">
        <v>44902</v>
      </c>
      <c r="C2288" t="s">
        <v>1648</v>
      </c>
      <c r="D2288" s="6">
        <v>2016</v>
      </c>
      <c r="E2288" s="8">
        <v>15874</v>
      </c>
      <c r="F2288" s="8">
        <v>18000</v>
      </c>
      <c r="G2288" s="8">
        <f t="shared" si="140"/>
        <v>2126</v>
      </c>
      <c r="H2288" s="6">
        <v>60000</v>
      </c>
      <c r="I2288" t="s">
        <v>34</v>
      </c>
      <c r="J2288" t="s">
        <v>1647</v>
      </c>
      <c r="K2288" t="s">
        <v>1647</v>
      </c>
      <c r="L2288" t="s">
        <v>100</v>
      </c>
      <c r="M2288" t="s">
        <v>90</v>
      </c>
      <c r="N2288" s="6">
        <v>3</v>
      </c>
      <c r="O2288" t="str">
        <f t="shared" si="141"/>
        <v>Normal</v>
      </c>
      <c r="P2288" t="str">
        <f t="shared" si="142"/>
        <v>Unique ID</v>
      </c>
      <c r="Q2288" t="str">
        <f t="shared" si="143"/>
        <v>15,000-19,999</v>
      </c>
      <c r="R2288" s="6">
        <f>IF(COUNTIF($A$2:A2288,A2288)=1,1,0)</f>
        <v>1</v>
      </c>
    </row>
    <row r="2289" spans="1:18" x14ac:dyDescent="0.25">
      <c r="A2289" s="6">
        <v>1568</v>
      </c>
      <c r="B2289" s="7">
        <v>44646</v>
      </c>
      <c r="C2289" t="s">
        <v>1648</v>
      </c>
      <c r="D2289" s="6">
        <v>2017</v>
      </c>
      <c r="E2289" s="8">
        <v>19483</v>
      </c>
      <c r="F2289" s="8">
        <v>22000</v>
      </c>
      <c r="G2289" s="8">
        <f t="shared" si="140"/>
        <v>2517</v>
      </c>
      <c r="H2289" s="6">
        <v>120000</v>
      </c>
      <c r="I2289" t="s">
        <v>58</v>
      </c>
      <c r="J2289" t="s">
        <v>72</v>
      </c>
      <c r="K2289" t="s">
        <v>36</v>
      </c>
      <c r="L2289" t="s">
        <v>100</v>
      </c>
      <c r="M2289" t="s">
        <v>98</v>
      </c>
      <c r="N2289" s="6" t="s">
        <v>1647</v>
      </c>
      <c r="O2289" t="str">
        <f t="shared" si="141"/>
        <v>Normal</v>
      </c>
      <c r="P2289" t="str">
        <f t="shared" si="142"/>
        <v>Duplicate ID</v>
      </c>
      <c r="Q2289" t="str">
        <f t="shared" si="143"/>
        <v>15,000-19,999</v>
      </c>
      <c r="R2289" s="6">
        <f>IF(COUNTIF($A$2:A2289,A2289)=1,1,0)</f>
        <v>0</v>
      </c>
    </row>
    <row r="2290" spans="1:18" x14ac:dyDescent="0.25">
      <c r="A2290" s="6">
        <v>1184</v>
      </c>
      <c r="B2290" s="7">
        <v>44758</v>
      </c>
      <c r="C2290" t="s">
        <v>1648</v>
      </c>
      <c r="D2290" s="6">
        <v>2022</v>
      </c>
      <c r="E2290" s="8">
        <v>5675</v>
      </c>
      <c r="F2290" s="8">
        <v>7000</v>
      </c>
      <c r="G2290" s="8">
        <f t="shared" si="140"/>
        <v>1325</v>
      </c>
      <c r="H2290" s="6">
        <v>60000</v>
      </c>
      <c r="I2290" t="s">
        <v>1647</v>
      </c>
      <c r="J2290" t="s">
        <v>35</v>
      </c>
      <c r="K2290" t="s">
        <v>36</v>
      </c>
      <c r="L2290" t="s">
        <v>1647</v>
      </c>
      <c r="M2290" t="s">
        <v>45</v>
      </c>
      <c r="N2290" s="6" t="s">
        <v>1647</v>
      </c>
      <c r="O2290" t="str">
        <f t="shared" si="141"/>
        <v>Normal</v>
      </c>
      <c r="P2290" t="str">
        <f t="shared" si="142"/>
        <v>Duplicate ID</v>
      </c>
      <c r="Q2290" t="str">
        <f t="shared" si="143"/>
        <v>5,000-9,999</v>
      </c>
      <c r="R2290" s="6">
        <f>IF(COUNTIF($A$2:A2290,A2290)=1,1,0)</f>
        <v>0</v>
      </c>
    </row>
    <row r="2291" spans="1:18" x14ac:dyDescent="0.25">
      <c r="A2291" s="6">
        <v>1191</v>
      </c>
      <c r="B2291" s="7">
        <v>45381</v>
      </c>
      <c r="C2291" t="s">
        <v>119</v>
      </c>
      <c r="D2291" s="6">
        <v>2015</v>
      </c>
      <c r="E2291" s="8">
        <v>4508</v>
      </c>
      <c r="F2291" s="8">
        <v>9000</v>
      </c>
      <c r="G2291" s="8">
        <f t="shared" si="140"/>
        <v>4492</v>
      </c>
      <c r="H2291" s="6">
        <v>120000</v>
      </c>
      <c r="I2291" t="s">
        <v>69</v>
      </c>
      <c r="J2291" t="s">
        <v>72</v>
      </c>
      <c r="K2291" t="s">
        <v>36</v>
      </c>
      <c r="L2291" t="s">
        <v>54</v>
      </c>
      <c r="M2291" t="s">
        <v>126</v>
      </c>
      <c r="N2291" s="6">
        <v>3</v>
      </c>
      <c r="O2291" t="str">
        <f t="shared" si="141"/>
        <v>Normal</v>
      </c>
      <c r="P2291" t="str">
        <f t="shared" si="142"/>
        <v>Duplicate ID</v>
      </c>
      <c r="Q2291" t="str">
        <f t="shared" si="143"/>
        <v>0-4,999</v>
      </c>
      <c r="R2291" s="6">
        <f>IF(COUNTIF($A$2:A2291,A2291)=1,1,0)</f>
        <v>0</v>
      </c>
    </row>
    <row r="2292" spans="1:18" x14ac:dyDescent="0.25">
      <c r="A2292" s="6">
        <v>1564</v>
      </c>
      <c r="B2292" s="7">
        <v>45340</v>
      </c>
      <c r="C2292" t="s">
        <v>40</v>
      </c>
      <c r="D2292" s="6">
        <v>2021</v>
      </c>
      <c r="E2292" s="8">
        <v>29950</v>
      </c>
      <c r="F2292" s="8">
        <v>31000</v>
      </c>
      <c r="G2292" s="8">
        <f t="shared" si="140"/>
        <v>1050</v>
      </c>
      <c r="H2292" s="6">
        <v>40000</v>
      </c>
      <c r="I2292" t="s">
        <v>34</v>
      </c>
      <c r="J2292" t="s">
        <v>35</v>
      </c>
      <c r="K2292" t="s">
        <v>96</v>
      </c>
      <c r="L2292" t="s">
        <v>48</v>
      </c>
      <c r="M2292" t="s">
        <v>98</v>
      </c>
      <c r="N2292" s="6" t="s">
        <v>1647</v>
      </c>
      <c r="O2292" t="str">
        <f t="shared" si="141"/>
        <v>Normal</v>
      </c>
      <c r="P2292" t="str">
        <f t="shared" si="142"/>
        <v>Duplicate ID</v>
      </c>
      <c r="Q2292" t="str">
        <f t="shared" si="143"/>
        <v>25,000-30,000</v>
      </c>
      <c r="R2292" s="6">
        <f>IF(COUNTIF($A$2:A2292,A2292)=1,1,0)</f>
        <v>0</v>
      </c>
    </row>
    <row r="2293" spans="1:18" x14ac:dyDescent="0.25">
      <c r="A2293" s="6">
        <v>1011</v>
      </c>
      <c r="B2293" s="7">
        <v>45316</v>
      </c>
      <c r="C2293" t="s">
        <v>1648</v>
      </c>
      <c r="D2293" s="6">
        <v>2020</v>
      </c>
      <c r="E2293" s="8">
        <v>9053</v>
      </c>
      <c r="F2293" s="8">
        <v>12000</v>
      </c>
      <c r="G2293" s="8">
        <f t="shared" si="140"/>
        <v>2947</v>
      </c>
      <c r="H2293" s="6">
        <v>15000</v>
      </c>
      <c r="I2293" t="s">
        <v>69</v>
      </c>
      <c r="J2293" t="s">
        <v>1647</v>
      </c>
      <c r="K2293" t="s">
        <v>96</v>
      </c>
      <c r="L2293" t="s">
        <v>54</v>
      </c>
      <c r="M2293" t="s">
        <v>45</v>
      </c>
      <c r="N2293" s="6">
        <v>1</v>
      </c>
      <c r="O2293" t="str">
        <f t="shared" si="141"/>
        <v>Normal</v>
      </c>
      <c r="P2293" t="str">
        <f t="shared" si="142"/>
        <v>Duplicate ID</v>
      </c>
      <c r="Q2293" t="str">
        <f t="shared" si="143"/>
        <v>5,000-9,999</v>
      </c>
      <c r="R2293" s="6">
        <f>IF(COUNTIF($A$2:A2293,A2293)=1,1,0)</f>
        <v>0</v>
      </c>
    </row>
    <row r="2294" spans="1:18" x14ac:dyDescent="0.25">
      <c r="A2294" s="6">
        <v>1193</v>
      </c>
      <c r="B2294" s="7">
        <v>44598</v>
      </c>
      <c r="C2294" t="s">
        <v>57</v>
      </c>
      <c r="D2294" s="6">
        <v>2019</v>
      </c>
      <c r="E2294" s="8">
        <v>20175</v>
      </c>
      <c r="F2294" s="8">
        <v>22000</v>
      </c>
      <c r="G2294" s="8">
        <f t="shared" si="140"/>
        <v>1825</v>
      </c>
      <c r="H2294" s="6">
        <v>40000</v>
      </c>
      <c r="I2294" t="s">
        <v>69</v>
      </c>
      <c r="J2294" t="s">
        <v>72</v>
      </c>
      <c r="K2294" t="s">
        <v>36</v>
      </c>
      <c r="L2294" t="s">
        <v>48</v>
      </c>
      <c r="M2294" t="s">
        <v>90</v>
      </c>
      <c r="N2294" s="6">
        <v>2</v>
      </c>
      <c r="O2294" t="str">
        <f t="shared" si="141"/>
        <v>Normal</v>
      </c>
      <c r="P2294" t="str">
        <f t="shared" si="142"/>
        <v>Duplicate ID</v>
      </c>
      <c r="Q2294" t="str">
        <f t="shared" si="143"/>
        <v>20,000-24,999</v>
      </c>
      <c r="R2294" s="6">
        <f>IF(COUNTIF($A$2:A2294,A2294)=1,1,0)</f>
        <v>0</v>
      </c>
    </row>
    <row r="2295" spans="1:18" x14ac:dyDescent="0.25">
      <c r="A2295" s="6">
        <v>1316</v>
      </c>
      <c r="B2295" s="7">
        <v>45216</v>
      </c>
      <c r="C2295" t="s">
        <v>32</v>
      </c>
      <c r="D2295" s="6">
        <v>2015</v>
      </c>
      <c r="E2295" s="8">
        <v>2636</v>
      </c>
      <c r="F2295" s="8">
        <v>7000</v>
      </c>
      <c r="G2295" s="8">
        <f t="shared" si="140"/>
        <v>4364</v>
      </c>
      <c r="H2295" s="6">
        <v>80000</v>
      </c>
      <c r="I2295" t="s">
        <v>34</v>
      </c>
      <c r="J2295" t="s">
        <v>35</v>
      </c>
      <c r="K2295" t="s">
        <v>96</v>
      </c>
      <c r="L2295" t="s">
        <v>54</v>
      </c>
      <c r="M2295" t="s">
        <v>126</v>
      </c>
      <c r="N2295" s="6">
        <v>2</v>
      </c>
      <c r="O2295" t="str">
        <f t="shared" si="141"/>
        <v>Normal</v>
      </c>
      <c r="P2295" t="str">
        <f t="shared" si="142"/>
        <v>Duplicate ID</v>
      </c>
      <c r="Q2295" t="str">
        <f t="shared" si="143"/>
        <v>0-4,999</v>
      </c>
      <c r="R2295" s="6">
        <f>IF(COUNTIF($A$2:A2295,A2295)=1,1,0)</f>
        <v>0</v>
      </c>
    </row>
    <row r="2296" spans="1:18" x14ac:dyDescent="0.25">
      <c r="A2296" s="6">
        <v>1145</v>
      </c>
      <c r="B2296" s="7">
        <v>45214</v>
      </c>
      <c r="C2296" t="s">
        <v>40</v>
      </c>
      <c r="D2296" s="6">
        <v>2018</v>
      </c>
      <c r="E2296" s="8">
        <v>6056</v>
      </c>
      <c r="F2296" s="8">
        <v>9000</v>
      </c>
      <c r="G2296" s="8">
        <f t="shared" si="140"/>
        <v>2944</v>
      </c>
      <c r="H2296" s="6">
        <v>60000</v>
      </c>
      <c r="I2296" t="s">
        <v>1647</v>
      </c>
      <c r="J2296" t="s">
        <v>1647</v>
      </c>
      <c r="K2296" t="s">
        <v>96</v>
      </c>
      <c r="L2296" t="s">
        <v>73</v>
      </c>
      <c r="M2296" t="s">
        <v>90</v>
      </c>
      <c r="N2296" s="6">
        <v>1</v>
      </c>
      <c r="O2296" t="str">
        <f t="shared" si="141"/>
        <v>Normal</v>
      </c>
      <c r="P2296" t="str">
        <f t="shared" si="142"/>
        <v>Duplicate ID</v>
      </c>
      <c r="Q2296" t="str">
        <f t="shared" si="143"/>
        <v>5,000-9,999</v>
      </c>
      <c r="R2296" s="6">
        <f>IF(COUNTIF($A$2:A2296,A2296)=1,1,0)</f>
        <v>0</v>
      </c>
    </row>
    <row r="2297" spans="1:18" x14ac:dyDescent="0.25">
      <c r="A2297" s="6">
        <v>1451</v>
      </c>
      <c r="B2297" s="7">
        <v>44361</v>
      </c>
      <c r="C2297" t="s">
        <v>57</v>
      </c>
      <c r="D2297" s="6">
        <v>2018</v>
      </c>
      <c r="E2297" s="8">
        <v>3774</v>
      </c>
      <c r="F2297" s="8">
        <v>9000</v>
      </c>
      <c r="G2297" s="8">
        <f t="shared" si="140"/>
        <v>5226</v>
      </c>
      <c r="H2297" s="6">
        <v>25000</v>
      </c>
      <c r="I2297" t="s">
        <v>58</v>
      </c>
      <c r="J2297" t="s">
        <v>72</v>
      </c>
      <c r="K2297" t="s">
        <v>96</v>
      </c>
      <c r="L2297" t="s">
        <v>48</v>
      </c>
      <c r="M2297" t="s">
        <v>45</v>
      </c>
      <c r="N2297" s="6">
        <v>1</v>
      </c>
      <c r="O2297" t="str">
        <f t="shared" si="141"/>
        <v>Normal</v>
      </c>
      <c r="P2297" t="str">
        <f t="shared" si="142"/>
        <v>Duplicate ID</v>
      </c>
      <c r="Q2297" t="str">
        <f t="shared" si="143"/>
        <v>0-4,999</v>
      </c>
      <c r="R2297" s="6">
        <f>IF(COUNTIF($A$2:A2297,A2297)=1,1,0)</f>
        <v>0</v>
      </c>
    </row>
    <row r="2298" spans="1:18" x14ac:dyDescent="0.25">
      <c r="A2298" s="6">
        <v>1433</v>
      </c>
      <c r="B2298" s="7">
        <v>45387</v>
      </c>
      <c r="C2298" t="s">
        <v>32</v>
      </c>
      <c r="D2298" s="6">
        <v>2015</v>
      </c>
      <c r="E2298" s="8">
        <v>8402</v>
      </c>
      <c r="F2298" s="8">
        <v>12000</v>
      </c>
      <c r="G2298" s="8">
        <f t="shared" si="140"/>
        <v>3598</v>
      </c>
      <c r="H2298" s="6">
        <v>60000</v>
      </c>
      <c r="I2298" t="s">
        <v>58</v>
      </c>
      <c r="J2298" t="s">
        <v>35</v>
      </c>
      <c r="K2298" t="s">
        <v>36</v>
      </c>
      <c r="L2298" t="s">
        <v>54</v>
      </c>
      <c r="M2298" t="s">
        <v>90</v>
      </c>
      <c r="N2298" s="6">
        <v>1</v>
      </c>
      <c r="O2298" t="str">
        <f t="shared" si="141"/>
        <v>Normal</v>
      </c>
      <c r="P2298" t="str">
        <f t="shared" si="142"/>
        <v>Duplicate ID</v>
      </c>
      <c r="Q2298" t="str">
        <f t="shared" si="143"/>
        <v>5,000-9,999</v>
      </c>
      <c r="R2298" s="6">
        <f>IF(COUNTIF($A$2:A2298,A2298)=1,1,0)</f>
        <v>0</v>
      </c>
    </row>
    <row r="2299" spans="1:18" x14ac:dyDescent="0.25">
      <c r="A2299" s="6">
        <v>1442</v>
      </c>
      <c r="B2299" s="7">
        <v>44307</v>
      </c>
      <c r="C2299" t="s">
        <v>32</v>
      </c>
      <c r="D2299" s="6">
        <v>2014</v>
      </c>
      <c r="E2299" s="8">
        <v>23028</v>
      </c>
      <c r="F2299" s="8">
        <v>26000</v>
      </c>
      <c r="G2299" s="8">
        <f t="shared" si="140"/>
        <v>2972</v>
      </c>
      <c r="H2299" s="6">
        <v>25000</v>
      </c>
      <c r="I2299" t="s">
        <v>69</v>
      </c>
      <c r="J2299" t="s">
        <v>35</v>
      </c>
      <c r="K2299" t="s">
        <v>36</v>
      </c>
      <c r="L2299" t="s">
        <v>100</v>
      </c>
      <c r="M2299" t="s">
        <v>1647</v>
      </c>
      <c r="N2299" s="6">
        <v>0</v>
      </c>
      <c r="O2299" t="str">
        <f t="shared" si="141"/>
        <v>Normal</v>
      </c>
      <c r="P2299" t="str">
        <f t="shared" si="142"/>
        <v>Duplicate ID</v>
      </c>
      <c r="Q2299" t="str">
        <f t="shared" si="143"/>
        <v>20,000-24,999</v>
      </c>
      <c r="R2299" s="6">
        <f>IF(COUNTIF($A$2:A2299,A2299)=1,1,0)</f>
        <v>0</v>
      </c>
    </row>
    <row r="2300" spans="1:18" x14ac:dyDescent="0.25">
      <c r="A2300" s="6">
        <v>1094</v>
      </c>
      <c r="B2300" s="7">
        <v>44959</v>
      </c>
      <c r="C2300" t="s">
        <v>40</v>
      </c>
      <c r="D2300" s="6">
        <v>2017</v>
      </c>
      <c r="E2300" s="8">
        <v>20518</v>
      </c>
      <c r="F2300" s="8">
        <v>26000</v>
      </c>
      <c r="G2300" s="8">
        <f t="shared" si="140"/>
        <v>5482</v>
      </c>
      <c r="H2300" s="6">
        <v>40000</v>
      </c>
      <c r="I2300" t="s">
        <v>58</v>
      </c>
      <c r="J2300" t="s">
        <v>72</v>
      </c>
      <c r="K2300" t="s">
        <v>36</v>
      </c>
      <c r="L2300" t="s">
        <v>54</v>
      </c>
      <c r="M2300" t="s">
        <v>126</v>
      </c>
      <c r="N2300" s="6" t="s">
        <v>1647</v>
      </c>
      <c r="O2300" t="str">
        <f t="shared" si="141"/>
        <v>Normal</v>
      </c>
      <c r="P2300" t="str">
        <f t="shared" si="142"/>
        <v>Duplicate ID</v>
      </c>
      <c r="Q2300" t="str">
        <f t="shared" si="143"/>
        <v>20,000-24,999</v>
      </c>
      <c r="R2300" s="6">
        <f>IF(COUNTIF($A$2:A2300,A2300)=1,1,0)</f>
        <v>0</v>
      </c>
    </row>
    <row r="2301" spans="1:18" x14ac:dyDescent="0.25">
      <c r="A2301" s="6">
        <v>1432</v>
      </c>
      <c r="B2301" s="7">
        <v>44733</v>
      </c>
      <c r="C2301" t="s">
        <v>40</v>
      </c>
      <c r="D2301" s="6">
        <v>2021</v>
      </c>
      <c r="E2301" s="8">
        <v>1759</v>
      </c>
      <c r="F2301" s="8">
        <v>7000</v>
      </c>
      <c r="G2301" s="8">
        <f t="shared" si="140"/>
        <v>5241</v>
      </c>
      <c r="H2301" s="6">
        <v>25000</v>
      </c>
      <c r="I2301" t="s">
        <v>1647</v>
      </c>
      <c r="J2301" t="s">
        <v>35</v>
      </c>
      <c r="K2301" t="s">
        <v>36</v>
      </c>
      <c r="L2301" t="s">
        <v>73</v>
      </c>
      <c r="M2301" t="s">
        <v>45</v>
      </c>
      <c r="N2301" s="6" t="s">
        <v>1647</v>
      </c>
      <c r="O2301" t="str">
        <f t="shared" si="141"/>
        <v>Normal</v>
      </c>
      <c r="P2301" t="str">
        <f t="shared" si="142"/>
        <v>Duplicate ID</v>
      </c>
      <c r="Q2301" t="str">
        <f t="shared" si="143"/>
        <v>0-4,999</v>
      </c>
      <c r="R2301" s="6">
        <f>IF(COUNTIF($A$2:A2301,A2301)=1,1,0)</f>
        <v>0</v>
      </c>
    </row>
    <row r="2302" spans="1:18" x14ac:dyDescent="0.25">
      <c r="A2302" s="6">
        <v>1286</v>
      </c>
      <c r="B2302" s="7">
        <v>44239</v>
      </c>
      <c r="C2302" t="s">
        <v>1648</v>
      </c>
      <c r="D2302" s="6">
        <v>2014</v>
      </c>
      <c r="E2302" s="8">
        <v>12949</v>
      </c>
      <c r="F2302" s="8">
        <v>15000</v>
      </c>
      <c r="G2302" s="8">
        <f t="shared" si="140"/>
        <v>2051</v>
      </c>
      <c r="H2302" s="6">
        <v>120000</v>
      </c>
      <c r="I2302" t="s">
        <v>58</v>
      </c>
      <c r="J2302" t="s">
        <v>35</v>
      </c>
      <c r="K2302" t="s">
        <v>96</v>
      </c>
      <c r="L2302" t="s">
        <v>54</v>
      </c>
      <c r="M2302" t="s">
        <v>90</v>
      </c>
      <c r="N2302" s="6">
        <v>0</v>
      </c>
      <c r="O2302" t="str">
        <f t="shared" si="141"/>
        <v>Normal</v>
      </c>
      <c r="P2302" t="str">
        <f t="shared" si="142"/>
        <v>Duplicate ID</v>
      </c>
      <c r="Q2302" t="str">
        <f t="shared" si="143"/>
        <v>10,000-14,999</v>
      </c>
      <c r="R2302" s="6">
        <f>IF(COUNTIF($A$2:A2302,A2302)=1,1,0)</f>
        <v>0</v>
      </c>
    </row>
    <row r="2303" spans="1:18" x14ac:dyDescent="0.25">
      <c r="A2303" s="6">
        <v>1301</v>
      </c>
      <c r="B2303" s="7">
        <v>44239</v>
      </c>
      <c r="C2303" t="s">
        <v>40</v>
      </c>
      <c r="D2303" s="6">
        <v>2020</v>
      </c>
      <c r="E2303" s="8">
        <v>20632</v>
      </c>
      <c r="F2303" s="8">
        <v>22000</v>
      </c>
      <c r="G2303" s="8">
        <f t="shared" si="140"/>
        <v>1368</v>
      </c>
      <c r="H2303" s="6">
        <v>15000</v>
      </c>
      <c r="I2303" t="s">
        <v>69</v>
      </c>
      <c r="J2303" t="s">
        <v>35</v>
      </c>
      <c r="K2303" t="s">
        <v>36</v>
      </c>
      <c r="L2303" t="s">
        <v>73</v>
      </c>
      <c r="M2303" t="s">
        <v>90</v>
      </c>
      <c r="N2303" s="6">
        <v>2</v>
      </c>
      <c r="O2303" t="str">
        <f t="shared" si="141"/>
        <v>Normal</v>
      </c>
      <c r="P2303" t="str">
        <f t="shared" si="142"/>
        <v>Duplicate ID</v>
      </c>
      <c r="Q2303" t="str">
        <f t="shared" si="143"/>
        <v>20,000-24,999</v>
      </c>
      <c r="R2303" s="6">
        <f>IF(COUNTIF($A$2:A2303,A2303)=1,1,0)</f>
        <v>0</v>
      </c>
    </row>
    <row r="2304" spans="1:18" x14ac:dyDescent="0.25">
      <c r="A2304" s="6">
        <v>1048</v>
      </c>
      <c r="B2304" s="7">
        <v>44469</v>
      </c>
      <c r="C2304" t="s">
        <v>79</v>
      </c>
      <c r="D2304" s="6">
        <v>2019</v>
      </c>
      <c r="E2304" s="8">
        <v>27515</v>
      </c>
      <c r="F2304" s="8">
        <v>31000</v>
      </c>
      <c r="G2304" s="8">
        <f t="shared" si="140"/>
        <v>3485</v>
      </c>
      <c r="H2304" s="6">
        <v>80000</v>
      </c>
      <c r="I2304" t="s">
        <v>58</v>
      </c>
      <c r="J2304" t="s">
        <v>35</v>
      </c>
      <c r="K2304" t="s">
        <v>1647</v>
      </c>
      <c r="L2304" t="s">
        <v>54</v>
      </c>
      <c r="M2304" t="s">
        <v>98</v>
      </c>
      <c r="N2304" s="6">
        <v>3</v>
      </c>
      <c r="O2304" t="str">
        <f t="shared" si="141"/>
        <v>Normal</v>
      </c>
      <c r="P2304" t="str">
        <f t="shared" si="142"/>
        <v>Duplicate ID</v>
      </c>
      <c r="Q2304" t="str">
        <f t="shared" si="143"/>
        <v>25,000-30,000</v>
      </c>
      <c r="R2304" s="6">
        <f>IF(COUNTIF($A$2:A2304,A2304)=1,1,0)</f>
        <v>0</v>
      </c>
    </row>
    <row r="2305" spans="1:18" x14ac:dyDescent="0.25">
      <c r="A2305" s="6">
        <v>1535</v>
      </c>
      <c r="B2305" s="7">
        <v>44354</v>
      </c>
      <c r="C2305" t="s">
        <v>32</v>
      </c>
      <c r="D2305" s="6">
        <v>2018</v>
      </c>
      <c r="E2305" s="8">
        <v>4906</v>
      </c>
      <c r="F2305" s="8">
        <v>9000</v>
      </c>
      <c r="G2305" s="8">
        <f t="shared" si="140"/>
        <v>4094</v>
      </c>
      <c r="H2305" s="6">
        <v>60000</v>
      </c>
      <c r="I2305" t="s">
        <v>1647</v>
      </c>
      <c r="J2305" t="s">
        <v>1647</v>
      </c>
      <c r="K2305" t="s">
        <v>96</v>
      </c>
      <c r="L2305" t="s">
        <v>48</v>
      </c>
      <c r="M2305" t="s">
        <v>98</v>
      </c>
      <c r="N2305" s="6">
        <v>3</v>
      </c>
      <c r="O2305" t="str">
        <f t="shared" si="141"/>
        <v>Normal</v>
      </c>
      <c r="P2305" t="str">
        <f t="shared" si="142"/>
        <v>Duplicate ID</v>
      </c>
      <c r="Q2305" t="str">
        <f t="shared" si="143"/>
        <v>0-4,999</v>
      </c>
      <c r="R2305" s="6">
        <f>IF(COUNTIF($A$2:A2305,A2305)=1,1,0)</f>
        <v>0</v>
      </c>
    </row>
    <row r="2306" spans="1:18" x14ac:dyDescent="0.25">
      <c r="A2306" s="6">
        <v>1475</v>
      </c>
      <c r="B2306" s="7">
        <v>45180</v>
      </c>
      <c r="C2306" t="s">
        <v>1648</v>
      </c>
      <c r="D2306" s="6">
        <v>2019</v>
      </c>
      <c r="E2306" s="8">
        <v>3904</v>
      </c>
      <c r="F2306" s="8">
        <v>9000</v>
      </c>
      <c r="G2306" s="8">
        <f t="shared" ref="G2306:G2369" si="144">IF(OR(F2306="",E2306=""),"",F2306-E2306)</f>
        <v>5096</v>
      </c>
      <c r="H2306" s="6">
        <v>25000</v>
      </c>
      <c r="I2306" t="s">
        <v>41</v>
      </c>
      <c r="J2306" t="s">
        <v>1647</v>
      </c>
      <c r="K2306" t="s">
        <v>1647</v>
      </c>
      <c r="L2306" t="s">
        <v>100</v>
      </c>
      <c r="M2306" t="s">
        <v>98</v>
      </c>
      <c r="N2306" s="6">
        <v>1</v>
      </c>
      <c r="O2306" t="str">
        <f t="shared" ref="O2306:O2369" si="145">IF(E2306&lt;1000,"Outlier","Normal")</f>
        <v>Normal</v>
      </c>
      <c r="P2306" t="str">
        <f t="shared" ref="P2306:P2369" si="146">IF(COUNTIF($A$2:$A$2501,A2306)&gt;1,"Duplicate ID","Unique ID")</f>
        <v>Duplicate ID</v>
      </c>
      <c r="Q2306" t="str">
        <f t="shared" ref="Q2306:Q2369" si="147">IF(E2306&lt;5000,"0-4,999",IF(E2306&lt;10000,"5,000-9,999",IF(E2306&lt;15000,"10,000-14,999",IF(E2306&lt;20000,"15,000-19,999",IF(E2306&lt;25000,"20,000-24,999","25,000-30,000")))))</f>
        <v>0-4,999</v>
      </c>
      <c r="R2306" s="6">
        <f>IF(COUNTIF($A$2:A2306,A2306)=1,1,0)</f>
        <v>0</v>
      </c>
    </row>
    <row r="2307" spans="1:18" x14ac:dyDescent="0.25">
      <c r="A2307" s="6">
        <v>1369</v>
      </c>
      <c r="B2307" s="7">
        <v>44760</v>
      </c>
      <c r="C2307" t="s">
        <v>40</v>
      </c>
      <c r="D2307" s="6">
        <v>2018</v>
      </c>
      <c r="E2307" s="8">
        <v>29682</v>
      </c>
      <c r="F2307" s="8">
        <v>31000</v>
      </c>
      <c r="G2307" s="8">
        <f t="shared" si="144"/>
        <v>1318</v>
      </c>
      <c r="H2307" s="6">
        <v>25000</v>
      </c>
      <c r="I2307" t="s">
        <v>34</v>
      </c>
      <c r="J2307" t="s">
        <v>1647</v>
      </c>
      <c r="K2307" t="s">
        <v>36</v>
      </c>
      <c r="L2307" t="s">
        <v>48</v>
      </c>
      <c r="M2307" t="s">
        <v>90</v>
      </c>
      <c r="N2307" s="6">
        <v>2</v>
      </c>
      <c r="O2307" t="str">
        <f t="shared" si="145"/>
        <v>Normal</v>
      </c>
      <c r="P2307" t="str">
        <f t="shared" si="146"/>
        <v>Duplicate ID</v>
      </c>
      <c r="Q2307" t="str">
        <f t="shared" si="147"/>
        <v>25,000-30,000</v>
      </c>
      <c r="R2307" s="6">
        <f>IF(COUNTIF($A$2:A2307,A2307)=1,1,0)</f>
        <v>0</v>
      </c>
    </row>
    <row r="2308" spans="1:18" x14ac:dyDescent="0.25">
      <c r="A2308" s="6">
        <v>1319</v>
      </c>
      <c r="B2308" s="7">
        <v>45021</v>
      </c>
      <c r="C2308" t="s">
        <v>32</v>
      </c>
      <c r="D2308" s="6">
        <v>2022</v>
      </c>
      <c r="E2308" s="8">
        <v>1259</v>
      </c>
      <c r="F2308" s="8">
        <v>7000</v>
      </c>
      <c r="G2308" s="8">
        <f t="shared" si="144"/>
        <v>5741</v>
      </c>
      <c r="H2308" s="6">
        <v>60000</v>
      </c>
      <c r="I2308" t="s">
        <v>41</v>
      </c>
      <c r="J2308" t="s">
        <v>72</v>
      </c>
      <c r="K2308" t="s">
        <v>96</v>
      </c>
      <c r="L2308" t="s">
        <v>54</v>
      </c>
      <c r="M2308" t="s">
        <v>1647</v>
      </c>
      <c r="N2308" s="6">
        <v>2</v>
      </c>
      <c r="O2308" t="str">
        <f t="shared" si="145"/>
        <v>Normal</v>
      </c>
      <c r="P2308" t="str">
        <f t="shared" si="146"/>
        <v>Duplicate ID</v>
      </c>
      <c r="Q2308" t="str">
        <f t="shared" si="147"/>
        <v>0-4,999</v>
      </c>
      <c r="R2308" s="6">
        <f>IF(COUNTIF($A$2:A2308,A2308)=1,1,0)</f>
        <v>0</v>
      </c>
    </row>
    <row r="2309" spans="1:18" x14ac:dyDescent="0.25">
      <c r="A2309" s="6">
        <v>1244</v>
      </c>
      <c r="B2309" s="7">
        <v>44863</v>
      </c>
      <c r="C2309" t="s">
        <v>57</v>
      </c>
      <c r="D2309" s="6"/>
      <c r="E2309" s="8">
        <v>2778</v>
      </c>
      <c r="F2309" s="8">
        <v>9000</v>
      </c>
      <c r="G2309" s="8">
        <f t="shared" si="144"/>
        <v>6222</v>
      </c>
      <c r="H2309" s="6">
        <v>80000</v>
      </c>
      <c r="I2309" t="s">
        <v>69</v>
      </c>
      <c r="J2309" t="s">
        <v>72</v>
      </c>
      <c r="K2309" t="s">
        <v>1647</v>
      </c>
      <c r="L2309" t="s">
        <v>100</v>
      </c>
      <c r="M2309" t="s">
        <v>90</v>
      </c>
      <c r="N2309" s="6" t="s">
        <v>1647</v>
      </c>
      <c r="O2309" t="str">
        <f t="shared" si="145"/>
        <v>Normal</v>
      </c>
      <c r="P2309" t="str">
        <f t="shared" si="146"/>
        <v>Duplicate ID</v>
      </c>
      <c r="Q2309" t="str">
        <f t="shared" si="147"/>
        <v>0-4,999</v>
      </c>
      <c r="R2309" s="6">
        <f>IF(COUNTIF($A$2:A2309,A2309)=1,1,0)</f>
        <v>0</v>
      </c>
    </row>
    <row r="2310" spans="1:18" x14ac:dyDescent="0.25">
      <c r="A2310" s="6">
        <v>1257</v>
      </c>
      <c r="B2310" s="7">
        <v>44844</v>
      </c>
      <c r="C2310" t="s">
        <v>57</v>
      </c>
      <c r="D2310" s="6">
        <v>2021</v>
      </c>
      <c r="E2310" s="8">
        <v>3384</v>
      </c>
      <c r="F2310" s="8">
        <v>9000</v>
      </c>
      <c r="G2310" s="8">
        <f t="shared" si="144"/>
        <v>5616</v>
      </c>
      <c r="H2310" s="6">
        <v>120000</v>
      </c>
      <c r="I2310" t="s">
        <v>34</v>
      </c>
      <c r="J2310" t="s">
        <v>72</v>
      </c>
      <c r="K2310" t="s">
        <v>36</v>
      </c>
      <c r="L2310" t="s">
        <v>100</v>
      </c>
      <c r="M2310" t="s">
        <v>126</v>
      </c>
      <c r="N2310" s="6">
        <v>3</v>
      </c>
      <c r="O2310" t="str">
        <f t="shared" si="145"/>
        <v>Normal</v>
      </c>
      <c r="P2310" t="str">
        <f t="shared" si="146"/>
        <v>Duplicate ID</v>
      </c>
      <c r="Q2310" t="str">
        <f t="shared" si="147"/>
        <v>0-4,999</v>
      </c>
      <c r="R2310" s="6">
        <f>IF(COUNTIF($A$2:A2310,A2310)=1,1,0)</f>
        <v>0</v>
      </c>
    </row>
    <row r="2311" spans="1:18" x14ac:dyDescent="0.25">
      <c r="A2311" s="6">
        <v>1190</v>
      </c>
      <c r="B2311" s="7">
        <v>44768</v>
      </c>
      <c r="C2311" t="s">
        <v>40</v>
      </c>
      <c r="D2311" s="6">
        <v>2019</v>
      </c>
      <c r="E2311" s="8">
        <v>9422</v>
      </c>
      <c r="F2311" s="8">
        <v>15000</v>
      </c>
      <c r="G2311" s="8">
        <f t="shared" si="144"/>
        <v>5578</v>
      </c>
      <c r="H2311" s="6">
        <v>60000</v>
      </c>
      <c r="I2311" t="s">
        <v>69</v>
      </c>
      <c r="J2311" t="s">
        <v>72</v>
      </c>
      <c r="K2311" t="s">
        <v>36</v>
      </c>
      <c r="L2311" t="s">
        <v>54</v>
      </c>
      <c r="M2311" t="s">
        <v>45</v>
      </c>
      <c r="N2311" s="6">
        <v>2</v>
      </c>
      <c r="O2311" t="str">
        <f t="shared" si="145"/>
        <v>Normal</v>
      </c>
      <c r="P2311" t="str">
        <f t="shared" si="146"/>
        <v>Duplicate ID</v>
      </c>
      <c r="Q2311" t="str">
        <f t="shared" si="147"/>
        <v>5,000-9,999</v>
      </c>
      <c r="R2311" s="6">
        <f>IF(COUNTIF($A$2:A2311,A2311)=1,1,0)</f>
        <v>0</v>
      </c>
    </row>
    <row r="2312" spans="1:18" x14ac:dyDescent="0.25">
      <c r="A2312" s="6">
        <v>1538</v>
      </c>
      <c r="B2312" s="7">
        <v>45227</v>
      </c>
      <c r="C2312" t="s">
        <v>40</v>
      </c>
      <c r="D2312" s="6">
        <v>2021</v>
      </c>
      <c r="E2312" s="8">
        <v>21167</v>
      </c>
      <c r="F2312" s="8">
        <v>26000</v>
      </c>
      <c r="G2312" s="8">
        <f t="shared" si="144"/>
        <v>4833</v>
      </c>
      <c r="H2312" s="6">
        <v>60000</v>
      </c>
      <c r="I2312" t="s">
        <v>58</v>
      </c>
      <c r="J2312" t="s">
        <v>35</v>
      </c>
      <c r="K2312" t="s">
        <v>36</v>
      </c>
      <c r="L2312" t="s">
        <v>73</v>
      </c>
      <c r="M2312" t="s">
        <v>126</v>
      </c>
      <c r="N2312" s="6">
        <v>3</v>
      </c>
      <c r="O2312" t="str">
        <f t="shared" si="145"/>
        <v>Normal</v>
      </c>
      <c r="P2312" t="str">
        <f t="shared" si="146"/>
        <v>Unique ID</v>
      </c>
      <c r="Q2312" t="str">
        <f t="shared" si="147"/>
        <v>20,000-24,999</v>
      </c>
      <c r="R2312" s="6">
        <f>IF(COUNTIF($A$2:A2312,A2312)=1,1,0)</f>
        <v>1</v>
      </c>
    </row>
    <row r="2313" spans="1:18" x14ac:dyDescent="0.25">
      <c r="A2313" s="6">
        <v>1506</v>
      </c>
      <c r="B2313" s="7">
        <v>44832</v>
      </c>
      <c r="C2313" t="s">
        <v>32</v>
      </c>
      <c r="D2313" s="6">
        <v>2018</v>
      </c>
      <c r="E2313" s="8">
        <v>5823</v>
      </c>
      <c r="F2313" s="8">
        <v>7000</v>
      </c>
      <c r="G2313" s="8">
        <f t="shared" si="144"/>
        <v>1177</v>
      </c>
      <c r="H2313" s="6">
        <v>40000</v>
      </c>
      <c r="I2313" t="s">
        <v>58</v>
      </c>
      <c r="J2313" t="s">
        <v>72</v>
      </c>
      <c r="K2313" t="s">
        <v>96</v>
      </c>
      <c r="L2313" t="s">
        <v>73</v>
      </c>
      <c r="M2313" t="s">
        <v>98</v>
      </c>
      <c r="N2313" s="6">
        <v>2</v>
      </c>
      <c r="O2313" t="str">
        <f t="shared" si="145"/>
        <v>Normal</v>
      </c>
      <c r="P2313" t="str">
        <f t="shared" si="146"/>
        <v>Duplicate ID</v>
      </c>
      <c r="Q2313" t="str">
        <f t="shared" si="147"/>
        <v>5,000-9,999</v>
      </c>
      <c r="R2313" s="6">
        <f>IF(COUNTIF($A$2:A2313,A2313)=1,1,0)</f>
        <v>0</v>
      </c>
    </row>
    <row r="2314" spans="1:18" x14ac:dyDescent="0.25">
      <c r="A2314" s="6">
        <v>1318</v>
      </c>
      <c r="B2314" s="7">
        <v>44244</v>
      </c>
      <c r="C2314" t="s">
        <v>1648</v>
      </c>
      <c r="D2314" s="6">
        <v>2022</v>
      </c>
      <c r="E2314" s="8">
        <v>5224</v>
      </c>
      <c r="F2314" s="8">
        <v>7000</v>
      </c>
      <c r="G2314" s="8">
        <f t="shared" si="144"/>
        <v>1776</v>
      </c>
      <c r="H2314" s="6">
        <v>40000</v>
      </c>
      <c r="I2314" t="s">
        <v>34</v>
      </c>
      <c r="J2314" t="s">
        <v>72</v>
      </c>
      <c r="K2314" t="s">
        <v>96</v>
      </c>
      <c r="L2314" t="s">
        <v>100</v>
      </c>
      <c r="M2314" t="s">
        <v>98</v>
      </c>
      <c r="N2314" s="6">
        <v>1</v>
      </c>
      <c r="O2314" t="str">
        <f t="shared" si="145"/>
        <v>Normal</v>
      </c>
      <c r="P2314" t="str">
        <f t="shared" si="146"/>
        <v>Duplicate ID</v>
      </c>
      <c r="Q2314" t="str">
        <f t="shared" si="147"/>
        <v>5,000-9,999</v>
      </c>
      <c r="R2314" s="6">
        <f>IF(COUNTIF($A$2:A2314,A2314)=1,1,0)</f>
        <v>0</v>
      </c>
    </row>
    <row r="2315" spans="1:18" x14ac:dyDescent="0.25">
      <c r="A2315" s="6">
        <v>1576</v>
      </c>
      <c r="B2315" s="7">
        <v>44726</v>
      </c>
      <c r="C2315" t="s">
        <v>51</v>
      </c>
      <c r="D2315" s="6">
        <v>2018</v>
      </c>
      <c r="E2315" s="8">
        <v>24301</v>
      </c>
      <c r="F2315" s="8">
        <v>31000</v>
      </c>
      <c r="G2315" s="8">
        <f t="shared" si="144"/>
        <v>6699</v>
      </c>
      <c r="H2315" s="6">
        <v>15000</v>
      </c>
      <c r="I2315" t="s">
        <v>41</v>
      </c>
      <c r="J2315" t="s">
        <v>35</v>
      </c>
      <c r="K2315" t="s">
        <v>1647</v>
      </c>
      <c r="L2315" t="s">
        <v>48</v>
      </c>
      <c r="M2315" t="s">
        <v>98</v>
      </c>
      <c r="N2315" s="6">
        <v>0</v>
      </c>
      <c r="O2315" t="str">
        <f t="shared" si="145"/>
        <v>Normal</v>
      </c>
      <c r="P2315" t="str">
        <f t="shared" si="146"/>
        <v>Duplicate ID</v>
      </c>
      <c r="Q2315" t="str">
        <f t="shared" si="147"/>
        <v>20,000-24,999</v>
      </c>
      <c r="R2315" s="6">
        <f>IF(COUNTIF($A$2:A2315,A2315)=1,1,0)</f>
        <v>0</v>
      </c>
    </row>
    <row r="2316" spans="1:18" x14ac:dyDescent="0.25">
      <c r="A2316" s="6">
        <v>1292</v>
      </c>
      <c r="B2316" s="7">
        <v>44293</v>
      </c>
      <c r="C2316" t="s">
        <v>119</v>
      </c>
      <c r="D2316" s="6">
        <v>2017</v>
      </c>
      <c r="E2316" s="8">
        <v>7206</v>
      </c>
      <c r="F2316" s="8">
        <v>12000</v>
      </c>
      <c r="G2316" s="8">
        <f t="shared" si="144"/>
        <v>4794</v>
      </c>
      <c r="H2316" s="6">
        <v>40000</v>
      </c>
      <c r="I2316" t="s">
        <v>1647</v>
      </c>
      <c r="J2316" t="s">
        <v>35</v>
      </c>
      <c r="K2316" t="s">
        <v>36</v>
      </c>
      <c r="L2316" t="s">
        <v>54</v>
      </c>
      <c r="M2316" t="s">
        <v>98</v>
      </c>
      <c r="N2316" s="6">
        <v>3</v>
      </c>
      <c r="O2316" t="str">
        <f t="shared" si="145"/>
        <v>Normal</v>
      </c>
      <c r="P2316" t="str">
        <f t="shared" si="146"/>
        <v>Duplicate ID</v>
      </c>
      <c r="Q2316" t="str">
        <f t="shared" si="147"/>
        <v>5,000-9,999</v>
      </c>
      <c r="R2316" s="6">
        <f>IF(COUNTIF($A$2:A2316,A2316)=1,1,0)</f>
        <v>0</v>
      </c>
    </row>
    <row r="2317" spans="1:18" x14ac:dyDescent="0.25">
      <c r="A2317" s="6">
        <v>1218</v>
      </c>
      <c r="B2317" s="7">
        <v>44319</v>
      </c>
      <c r="C2317" t="s">
        <v>1648</v>
      </c>
      <c r="D2317" s="6">
        <v>2018</v>
      </c>
      <c r="E2317" s="8">
        <v>11436</v>
      </c>
      <c r="F2317" s="8">
        <v>18000</v>
      </c>
      <c r="G2317" s="8">
        <f t="shared" si="144"/>
        <v>6564</v>
      </c>
      <c r="H2317" s="6">
        <v>80000</v>
      </c>
      <c r="I2317" t="s">
        <v>58</v>
      </c>
      <c r="J2317" t="s">
        <v>1647</v>
      </c>
      <c r="K2317" t="s">
        <v>36</v>
      </c>
      <c r="L2317" t="s">
        <v>48</v>
      </c>
      <c r="M2317" t="s">
        <v>98</v>
      </c>
      <c r="N2317" s="6" t="s">
        <v>1647</v>
      </c>
      <c r="O2317" t="str">
        <f t="shared" si="145"/>
        <v>Normal</v>
      </c>
      <c r="P2317" t="str">
        <f t="shared" si="146"/>
        <v>Duplicate ID</v>
      </c>
      <c r="Q2317" t="str">
        <f t="shared" si="147"/>
        <v>10,000-14,999</v>
      </c>
      <c r="R2317" s="6">
        <f>IF(COUNTIF($A$2:A2317,A2317)=1,1,0)</f>
        <v>0</v>
      </c>
    </row>
    <row r="2318" spans="1:18" x14ac:dyDescent="0.25">
      <c r="A2318" s="6">
        <v>1478</v>
      </c>
      <c r="B2318" s="7">
        <v>44777</v>
      </c>
      <c r="C2318" t="s">
        <v>32</v>
      </c>
      <c r="D2318" s="6">
        <v>2018</v>
      </c>
      <c r="E2318" s="8">
        <v>23683</v>
      </c>
      <c r="F2318" s="8">
        <v>26000</v>
      </c>
      <c r="G2318" s="8">
        <f t="shared" si="144"/>
        <v>2317</v>
      </c>
      <c r="H2318" s="6">
        <v>80000</v>
      </c>
      <c r="I2318" t="s">
        <v>58</v>
      </c>
      <c r="J2318" t="s">
        <v>35</v>
      </c>
      <c r="K2318" t="s">
        <v>36</v>
      </c>
      <c r="L2318" t="s">
        <v>1647</v>
      </c>
      <c r="M2318" t="s">
        <v>98</v>
      </c>
      <c r="N2318" s="6">
        <v>2</v>
      </c>
      <c r="O2318" t="str">
        <f t="shared" si="145"/>
        <v>Normal</v>
      </c>
      <c r="P2318" t="str">
        <f t="shared" si="146"/>
        <v>Duplicate ID</v>
      </c>
      <c r="Q2318" t="str">
        <f t="shared" si="147"/>
        <v>20,000-24,999</v>
      </c>
      <c r="R2318" s="6">
        <f>IF(COUNTIF($A$2:A2318,A2318)=1,1,0)</f>
        <v>0</v>
      </c>
    </row>
    <row r="2319" spans="1:18" x14ac:dyDescent="0.25">
      <c r="A2319" s="6">
        <v>1388</v>
      </c>
      <c r="B2319" s="7">
        <v>44928</v>
      </c>
      <c r="C2319" t="s">
        <v>119</v>
      </c>
      <c r="D2319" s="6">
        <v>2016</v>
      </c>
      <c r="E2319" s="8">
        <v>11835</v>
      </c>
      <c r="F2319" s="8">
        <v>15000</v>
      </c>
      <c r="G2319" s="8">
        <f t="shared" si="144"/>
        <v>3165</v>
      </c>
      <c r="H2319" s="6">
        <v>15000</v>
      </c>
      <c r="I2319" t="s">
        <v>58</v>
      </c>
      <c r="J2319" t="s">
        <v>72</v>
      </c>
      <c r="K2319" t="s">
        <v>96</v>
      </c>
      <c r="L2319" t="s">
        <v>73</v>
      </c>
      <c r="M2319" t="s">
        <v>98</v>
      </c>
      <c r="N2319" s="6">
        <v>0</v>
      </c>
      <c r="O2319" t="str">
        <f t="shared" si="145"/>
        <v>Normal</v>
      </c>
      <c r="P2319" t="str">
        <f t="shared" si="146"/>
        <v>Duplicate ID</v>
      </c>
      <c r="Q2319" t="str">
        <f t="shared" si="147"/>
        <v>10,000-14,999</v>
      </c>
      <c r="R2319" s="6">
        <f>IF(COUNTIF($A$2:A2319,A2319)=1,1,0)</f>
        <v>0</v>
      </c>
    </row>
    <row r="2320" spans="1:18" x14ac:dyDescent="0.25">
      <c r="A2320" s="6">
        <v>1202</v>
      </c>
      <c r="B2320" s="7">
        <v>44751</v>
      </c>
      <c r="C2320" t="s">
        <v>40</v>
      </c>
      <c r="D2320" s="6">
        <v>2017</v>
      </c>
      <c r="E2320" s="8">
        <v>13230</v>
      </c>
      <c r="F2320" s="8">
        <v>18000</v>
      </c>
      <c r="G2320" s="8">
        <f t="shared" si="144"/>
        <v>4770</v>
      </c>
      <c r="H2320" s="6">
        <v>25000</v>
      </c>
      <c r="I2320" t="s">
        <v>1647</v>
      </c>
      <c r="J2320" t="s">
        <v>72</v>
      </c>
      <c r="K2320" t="s">
        <v>36</v>
      </c>
      <c r="L2320" t="s">
        <v>54</v>
      </c>
      <c r="M2320" t="s">
        <v>90</v>
      </c>
      <c r="N2320" s="6">
        <v>3</v>
      </c>
      <c r="O2320" t="str">
        <f t="shared" si="145"/>
        <v>Normal</v>
      </c>
      <c r="P2320" t="str">
        <f t="shared" si="146"/>
        <v>Duplicate ID</v>
      </c>
      <c r="Q2320" t="str">
        <f t="shared" si="147"/>
        <v>10,000-14,999</v>
      </c>
      <c r="R2320" s="6">
        <f>IF(COUNTIF($A$2:A2320,A2320)=1,1,0)</f>
        <v>0</v>
      </c>
    </row>
    <row r="2321" spans="1:18" x14ac:dyDescent="0.25">
      <c r="A2321" s="6">
        <v>1210</v>
      </c>
      <c r="B2321" s="7">
        <v>44514</v>
      </c>
      <c r="C2321" t="s">
        <v>32</v>
      </c>
      <c r="D2321" s="6">
        <v>2019</v>
      </c>
      <c r="E2321" s="8">
        <v>2497</v>
      </c>
      <c r="F2321" s="8">
        <v>9000</v>
      </c>
      <c r="G2321" s="8">
        <f t="shared" si="144"/>
        <v>6503</v>
      </c>
      <c r="H2321" s="6">
        <v>120000</v>
      </c>
      <c r="I2321" t="s">
        <v>41</v>
      </c>
      <c r="J2321" t="s">
        <v>35</v>
      </c>
      <c r="K2321" t="s">
        <v>1647</v>
      </c>
      <c r="L2321" t="s">
        <v>73</v>
      </c>
      <c r="M2321" t="s">
        <v>90</v>
      </c>
      <c r="N2321" s="6">
        <v>0</v>
      </c>
      <c r="O2321" t="str">
        <f t="shared" si="145"/>
        <v>Normal</v>
      </c>
      <c r="P2321" t="str">
        <f t="shared" si="146"/>
        <v>Duplicate ID</v>
      </c>
      <c r="Q2321" t="str">
        <f t="shared" si="147"/>
        <v>0-4,999</v>
      </c>
      <c r="R2321" s="6">
        <f>IF(COUNTIF($A$2:A2321,A2321)=1,1,0)</f>
        <v>0</v>
      </c>
    </row>
    <row r="2322" spans="1:18" x14ac:dyDescent="0.25">
      <c r="A2322" s="6">
        <v>1597</v>
      </c>
      <c r="B2322" s="7">
        <v>45020</v>
      </c>
      <c r="C2322" t="s">
        <v>79</v>
      </c>
      <c r="D2322" s="6">
        <v>2014</v>
      </c>
      <c r="E2322" s="8">
        <v>27970</v>
      </c>
      <c r="F2322" s="8">
        <v>31000</v>
      </c>
      <c r="G2322" s="8">
        <f t="shared" si="144"/>
        <v>3030</v>
      </c>
      <c r="H2322" s="6">
        <v>15000</v>
      </c>
      <c r="I2322" t="s">
        <v>58</v>
      </c>
      <c r="J2322" t="s">
        <v>35</v>
      </c>
      <c r="K2322" t="s">
        <v>36</v>
      </c>
      <c r="L2322" t="s">
        <v>54</v>
      </c>
      <c r="M2322" t="s">
        <v>45</v>
      </c>
      <c r="N2322" s="6">
        <v>1</v>
      </c>
      <c r="O2322" t="str">
        <f t="shared" si="145"/>
        <v>Normal</v>
      </c>
      <c r="P2322" t="str">
        <f t="shared" si="146"/>
        <v>Duplicate ID</v>
      </c>
      <c r="Q2322" t="str">
        <f t="shared" si="147"/>
        <v>25,000-30,000</v>
      </c>
      <c r="R2322" s="6">
        <f>IF(COUNTIF($A$2:A2322,A2322)=1,1,0)</f>
        <v>0</v>
      </c>
    </row>
    <row r="2323" spans="1:18" x14ac:dyDescent="0.25">
      <c r="A2323" s="6">
        <v>1573</v>
      </c>
      <c r="B2323" s="7">
        <v>44606</v>
      </c>
      <c r="C2323" t="s">
        <v>1648</v>
      </c>
      <c r="D2323" s="6">
        <v>2021</v>
      </c>
      <c r="E2323" s="8">
        <v>11006</v>
      </c>
      <c r="F2323" s="8">
        <v>15000</v>
      </c>
      <c r="G2323" s="8">
        <f t="shared" si="144"/>
        <v>3994</v>
      </c>
      <c r="H2323" s="6">
        <v>120000</v>
      </c>
      <c r="I2323" t="s">
        <v>41</v>
      </c>
      <c r="J2323" t="s">
        <v>35</v>
      </c>
      <c r="K2323" t="s">
        <v>96</v>
      </c>
      <c r="L2323" t="s">
        <v>73</v>
      </c>
      <c r="M2323" t="s">
        <v>45</v>
      </c>
      <c r="N2323" s="6" t="s">
        <v>1647</v>
      </c>
      <c r="O2323" t="str">
        <f t="shared" si="145"/>
        <v>Normal</v>
      </c>
      <c r="P2323" t="str">
        <f t="shared" si="146"/>
        <v>Duplicate ID</v>
      </c>
      <c r="Q2323" t="str">
        <f t="shared" si="147"/>
        <v>10,000-14,999</v>
      </c>
      <c r="R2323" s="6">
        <f>IF(COUNTIF($A$2:A2323,A2323)=1,1,0)</f>
        <v>0</v>
      </c>
    </row>
    <row r="2324" spans="1:18" x14ac:dyDescent="0.25">
      <c r="A2324" s="6">
        <v>1546</v>
      </c>
      <c r="B2324" s="7">
        <v>44371</v>
      </c>
      <c r="C2324" t="s">
        <v>51</v>
      </c>
      <c r="D2324" s="6">
        <v>2018</v>
      </c>
      <c r="E2324" s="8">
        <v>5252</v>
      </c>
      <c r="F2324" s="8">
        <v>12000</v>
      </c>
      <c r="G2324" s="8">
        <f t="shared" si="144"/>
        <v>6748</v>
      </c>
      <c r="H2324" s="6">
        <v>60000</v>
      </c>
      <c r="I2324" t="s">
        <v>1647</v>
      </c>
      <c r="J2324" t="s">
        <v>72</v>
      </c>
      <c r="K2324" t="s">
        <v>1647</v>
      </c>
      <c r="L2324" t="s">
        <v>100</v>
      </c>
      <c r="M2324" t="s">
        <v>98</v>
      </c>
      <c r="N2324" s="6" t="s">
        <v>1647</v>
      </c>
      <c r="O2324" t="str">
        <f t="shared" si="145"/>
        <v>Normal</v>
      </c>
      <c r="P2324" t="str">
        <f t="shared" si="146"/>
        <v>Duplicate ID</v>
      </c>
      <c r="Q2324" t="str">
        <f t="shared" si="147"/>
        <v>5,000-9,999</v>
      </c>
      <c r="R2324" s="6">
        <f>IF(COUNTIF($A$2:A2324,A2324)=1,1,0)</f>
        <v>0</v>
      </c>
    </row>
    <row r="2325" spans="1:18" x14ac:dyDescent="0.25">
      <c r="A2325" s="6">
        <v>1276</v>
      </c>
      <c r="B2325" s="7">
        <v>44415</v>
      </c>
      <c r="C2325" t="s">
        <v>32</v>
      </c>
      <c r="D2325" s="6">
        <v>2018</v>
      </c>
      <c r="E2325" s="8">
        <v>16627</v>
      </c>
      <c r="F2325" s="8">
        <v>22000</v>
      </c>
      <c r="G2325" s="8">
        <f t="shared" si="144"/>
        <v>5373</v>
      </c>
      <c r="H2325" s="6">
        <v>15000</v>
      </c>
      <c r="I2325" t="s">
        <v>69</v>
      </c>
      <c r="J2325" t="s">
        <v>35</v>
      </c>
      <c r="K2325" t="s">
        <v>36</v>
      </c>
      <c r="L2325" t="s">
        <v>100</v>
      </c>
      <c r="M2325" t="s">
        <v>90</v>
      </c>
      <c r="N2325" s="6">
        <v>1</v>
      </c>
      <c r="O2325" t="str">
        <f t="shared" si="145"/>
        <v>Normal</v>
      </c>
      <c r="P2325" t="str">
        <f t="shared" si="146"/>
        <v>Duplicate ID</v>
      </c>
      <c r="Q2325" t="str">
        <f t="shared" si="147"/>
        <v>15,000-19,999</v>
      </c>
      <c r="R2325" s="6">
        <f>IF(COUNTIF($A$2:A2325,A2325)=1,1,0)</f>
        <v>0</v>
      </c>
    </row>
    <row r="2326" spans="1:18" x14ac:dyDescent="0.25">
      <c r="A2326" s="6">
        <v>1523</v>
      </c>
      <c r="B2326" s="7">
        <v>44909</v>
      </c>
      <c r="C2326" t="s">
        <v>79</v>
      </c>
      <c r="D2326" s="6">
        <v>2022</v>
      </c>
      <c r="E2326" s="8">
        <v>19116</v>
      </c>
      <c r="F2326" s="8">
        <v>22000</v>
      </c>
      <c r="G2326" s="8">
        <f t="shared" si="144"/>
        <v>2884</v>
      </c>
      <c r="H2326" s="6">
        <v>80000</v>
      </c>
      <c r="I2326" t="s">
        <v>69</v>
      </c>
      <c r="J2326" t="s">
        <v>35</v>
      </c>
      <c r="K2326" t="s">
        <v>1647</v>
      </c>
      <c r="L2326" t="s">
        <v>1647</v>
      </c>
      <c r="M2326" t="s">
        <v>126</v>
      </c>
      <c r="N2326" s="6">
        <v>2</v>
      </c>
      <c r="O2326" t="str">
        <f t="shared" si="145"/>
        <v>Normal</v>
      </c>
      <c r="P2326" t="str">
        <f t="shared" si="146"/>
        <v>Duplicate ID</v>
      </c>
      <c r="Q2326" t="str">
        <f t="shared" si="147"/>
        <v>15,000-19,999</v>
      </c>
      <c r="R2326" s="6">
        <f>IF(COUNTIF($A$2:A2326,A2326)=1,1,0)</f>
        <v>0</v>
      </c>
    </row>
    <row r="2327" spans="1:18" x14ac:dyDescent="0.25">
      <c r="A2327" s="6">
        <v>1090</v>
      </c>
      <c r="B2327" s="7">
        <v>45238</v>
      </c>
      <c r="C2327" t="s">
        <v>40</v>
      </c>
      <c r="D2327" s="6">
        <v>2021</v>
      </c>
      <c r="E2327" s="8">
        <v>16928</v>
      </c>
      <c r="F2327" s="8">
        <v>22000</v>
      </c>
      <c r="G2327" s="8">
        <f t="shared" si="144"/>
        <v>5072</v>
      </c>
      <c r="H2327" s="6">
        <v>15000</v>
      </c>
      <c r="I2327" t="s">
        <v>1647</v>
      </c>
      <c r="J2327" t="s">
        <v>35</v>
      </c>
      <c r="K2327" t="s">
        <v>96</v>
      </c>
      <c r="L2327" t="s">
        <v>54</v>
      </c>
      <c r="M2327" t="s">
        <v>45</v>
      </c>
      <c r="N2327" s="6">
        <v>1</v>
      </c>
      <c r="O2327" t="str">
        <f t="shared" si="145"/>
        <v>Normal</v>
      </c>
      <c r="P2327" t="str">
        <f t="shared" si="146"/>
        <v>Duplicate ID</v>
      </c>
      <c r="Q2327" t="str">
        <f t="shared" si="147"/>
        <v>15,000-19,999</v>
      </c>
      <c r="R2327" s="6">
        <f>IF(COUNTIF($A$2:A2327,A2327)=1,1,0)</f>
        <v>0</v>
      </c>
    </row>
    <row r="2328" spans="1:18" x14ac:dyDescent="0.25">
      <c r="A2328" s="6">
        <v>1504</v>
      </c>
      <c r="B2328" s="7">
        <v>45166</v>
      </c>
      <c r="C2328" t="s">
        <v>79</v>
      </c>
      <c r="D2328" s="6">
        <v>2016</v>
      </c>
      <c r="E2328" s="8">
        <v>11256</v>
      </c>
      <c r="F2328" s="8">
        <v>18000</v>
      </c>
      <c r="G2328" s="8">
        <f t="shared" si="144"/>
        <v>6744</v>
      </c>
      <c r="H2328" s="6">
        <v>120000</v>
      </c>
      <c r="I2328" t="s">
        <v>69</v>
      </c>
      <c r="J2328" t="s">
        <v>1647</v>
      </c>
      <c r="K2328" t="s">
        <v>96</v>
      </c>
      <c r="L2328" t="s">
        <v>54</v>
      </c>
      <c r="M2328" t="s">
        <v>90</v>
      </c>
      <c r="N2328" s="6">
        <v>0</v>
      </c>
      <c r="O2328" t="str">
        <f t="shared" si="145"/>
        <v>Normal</v>
      </c>
      <c r="P2328" t="str">
        <f t="shared" si="146"/>
        <v>Duplicate ID</v>
      </c>
      <c r="Q2328" t="str">
        <f t="shared" si="147"/>
        <v>10,000-14,999</v>
      </c>
      <c r="R2328" s="6">
        <f>IF(COUNTIF($A$2:A2328,A2328)=1,1,0)</f>
        <v>0</v>
      </c>
    </row>
    <row r="2329" spans="1:18" x14ac:dyDescent="0.25">
      <c r="A2329" s="6">
        <v>1008</v>
      </c>
      <c r="B2329" s="7">
        <v>45087</v>
      </c>
      <c r="C2329" t="s">
        <v>51</v>
      </c>
      <c r="D2329" s="6">
        <v>2020</v>
      </c>
      <c r="E2329" s="8">
        <v>16601</v>
      </c>
      <c r="F2329" s="8">
        <v>18000</v>
      </c>
      <c r="G2329" s="8">
        <f t="shared" si="144"/>
        <v>1399</v>
      </c>
      <c r="H2329" s="6">
        <v>15000</v>
      </c>
      <c r="I2329" t="s">
        <v>58</v>
      </c>
      <c r="J2329" t="s">
        <v>72</v>
      </c>
      <c r="K2329" t="s">
        <v>96</v>
      </c>
      <c r="L2329" t="s">
        <v>1647</v>
      </c>
      <c r="M2329" t="s">
        <v>98</v>
      </c>
      <c r="N2329" s="6">
        <v>1</v>
      </c>
      <c r="O2329" t="str">
        <f t="shared" si="145"/>
        <v>Normal</v>
      </c>
      <c r="P2329" t="str">
        <f t="shared" si="146"/>
        <v>Duplicate ID</v>
      </c>
      <c r="Q2329" t="str">
        <f t="shared" si="147"/>
        <v>15,000-19,999</v>
      </c>
      <c r="R2329" s="6">
        <f>IF(COUNTIF($A$2:A2329,A2329)=1,1,0)</f>
        <v>0</v>
      </c>
    </row>
    <row r="2330" spans="1:18" x14ac:dyDescent="0.25">
      <c r="A2330" s="6">
        <v>1233</v>
      </c>
      <c r="B2330" s="7">
        <v>45144</v>
      </c>
      <c r="C2330" t="s">
        <v>1648</v>
      </c>
      <c r="D2330" s="6">
        <v>2019</v>
      </c>
      <c r="E2330" s="8">
        <v>16930</v>
      </c>
      <c r="F2330" s="8">
        <v>22000</v>
      </c>
      <c r="G2330" s="8">
        <f t="shared" si="144"/>
        <v>5070</v>
      </c>
      <c r="H2330" s="6">
        <v>25000</v>
      </c>
      <c r="I2330" t="s">
        <v>69</v>
      </c>
      <c r="J2330" t="s">
        <v>72</v>
      </c>
      <c r="K2330" t="s">
        <v>36</v>
      </c>
      <c r="L2330" t="s">
        <v>73</v>
      </c>
      <c r="M2330" t="s">
        <v>90</v>
      </c>
      <c r="N2330" s="6">
        <v>0</v>
      </c>
      <c r="O2330" t="str">
        <f t="shared" si="145"/>
        <v>Normal</v>
      </c>
      <c r="P2330" t="str">
        <f t="shared" si="146"/>
        <v>Duplicate ID</v>
      </c>
      <c r="Q2330" t="str">
        <f t="shared" si="147"/>
        <v>15,000-19,999</v>
      </c>
      <c r="R2330" s="6">
        <f>IF(COUNTIF($A$2:A2330,A2330)=1,1,0)</f>
        <v>0</v>
      </c>
    </row>
    <row r="2331" spans="1:18" x14ac:dyDescent="0.25">
      <c r="A2331" s="6">
        <v>1259</v>
      </c>
      <c r="B2331" s="7">
        <v>44935</v>
      </c>
      <c r="C2331" t="s">
        <v>40</v>
      </c>
      <c r="D2331" s="6">
        <v>2018</v>
      </c>
      <c r="E2331" s="8">
        <v>4713</v>
      </c>
      <c r="F2331" s="8">
        <v>7000</v>
      </c>
      <c r="G2331" s="8">
        <f t="shared" si="144"/>
        <v>2287</v>
      </c>
      <c r="H2331" s="6">
        <v>60000</v>
      </c>
      <c r="I2331" t="s">
        <v>34</v>
      </c>
      <c r="J2331" t="s">
        <v>35</v>
      </c>
      <c r="K2331" t="s">
        <v>36</v>
      </c>
      <c r="L2331" t="s">
        <v>48</v>
      </c>
      <c r="M2331" t="s">
        <v>126</v>
      </c>
      <c r="N2331" s="6" t="s">
        <v>1647</v>
      </c>
      <c r="O2331" t="str">
        <f t="shared" si="145"/>
        <v>Normal</v>
      </c>
      <c r="P2331" t="str">
        <f t="shared" si="146"/>
        <v>Duplicate ID</v>
      </c>
      <c r="Q2331" t="str">
        <f t="shared" si="147"/>
        <v>0-4,999</v>
      </c>
      <c r="R2331" s="6">
        <f>IF(COUNTIF($A$2:A2331,A2331)=1,1,0)</f>
        <v>0</v>
      </c>
    </row>
    <row r="2332" spans="1:18" x14ac:dyDescent="0.25">
      <c r="A2332" s="6">
        <v>1577</v>
      </c>
      <c r="B2332" s="7">
        <v>45098</v>
      </c>
      <c r="C2332" t="s">
        <v>119</v>
      </c>
      <c r="D2332" s="6">
        <v>2016</v>
      </c>
      <c r="E2332" s="8">
        <v>16746</v>
      </c>
      <c r="F2332" s="8">
        <v>18000</v>
      </c>
      <c r="G2332" s="8">
        <f t="shared" si="144"/>
        <v>1254</v>
      </c>
      <c r="H2332" s="6">
        <v>60000</v>
      </c>
      <c r="I2332" t="s">
        <v>41</v>
      </c>
      <c r="J2332" t="s">
        <v>72</v>
      </c>
      <c r="K2332" t="s">
        <v>96</v>
      </c>
      <c r="L2332" t="s">
        <v>100</v>
      </c>
      <c r="M2332" t="s">
        <v>126</v>
      </c>
      <c r="N2332" s="6">
        <v>3</v>
      </c>
      <c r="O2332" t="str">
        <f t="shared" si="145"/>
        <v>Normal</v>
      </c>
      <c r="P2332" t="str">
        <f t="shared" si="146"/>
        <v>Duplicate ID</v>
      </c>
      <c r="Q2332" t="str">
        <f t="shared" si="147"/>
        <v>15,000-19,999</v>
      </c>
      <c r="R2332" s="6">
        <f>IF(COUNTIF($A$2:A2332,A2332)=1,1,0)</f>
        <v>0</v>
      </c>
    </row>
    <row r="2333" spans="1:18" x14ac:dyDescent="0.25">
      <c r="A2333" s="6">
        <v>1598</v>
      </c>
      <c r="B2333" s="7">
        <v>44670</v>
      </c>
      <c r="C2333" t="s">
        <v>40</v>
      </c>
      <c r="D2333" s="6">
        <v>2017</v>
      </c>
      <c r="E2333" s="8">
        <v>10519</v>
      </c>
      <c r="F2333" s="8">
        <v>12000</v>
      </c>
      <c r="G2333" s="8">
        <f t="shared" si="144"/>
        <v>1481</v>
      </c>
      <c r="H2333" s="6">
        <v>40000</v>
      </c>
      <c r="I2333" t="s">
        <v>69</v>
      </c>
      <c r="J2333" t="s">
        <v>72</v>
      </c>
      <c r="K2333" t="s">
        <v>36</v>
      </c>
      <c r="L2333" t="s">
        <v>48</v>
      </c>
      <c r="M2333" t="s">
        <v>1647</v>
      </c>
      <c r="N2333" s="6" t="s">
        <v>1647</v>
      </c>
      <c r="O2333" t="str">
        <f t="shared" si="145"/>
        <v>Normal</v>
      </c>
      <c r="P2333" t="str">
        <f t="shared" si="146"/>
        <v>Duplicate ID</v>
      </c>
      <c r="Q2333" t="str">
        <f t="shared" si="147"/>
        <v>10,000-14,999</v>
      </c>
      <c r="R2333" s="6">
        <f>IF(COUNTIF($A$2:A2333,A2333)=1,1,0)</f>
        <v>0</v>
      </c>
    </row>
    <row r="2334" spans="1:18" x14ac:dyDescent="0.25">
      <c r="A2334" s="6">
        <v>1270</v>
      </c>
      <c r="B2334" s="7">
        <v>45219</v>
      </c>
      <c r="C2334" t="s">
        <v>79</v>
      </c>
      <c r="D2334" s="6">
        <v>2016</v>
      </c>
      <c r="E2334" s="8">
        <v>13257</v>
      </c>
      <c r="F2334" s="8">
        <v>15000</v>
      </c>
      <c r="G2334" s="8">
        <f t="shared" si="144"/>
        <v>1743</v>
      </c>
      <c r="H2334" s="6">
        <v>60000</v>
      </c>
      <c r="I2334" t="s">
        <v>69</v>
      </c>
      <c r="J2334" t="s">
        <v>1647</v>
      </c>
      <c r="K2334" t="s">
        <v>96</v>
      </c>
      <c r="L2334" t="s">
        <v>54</v>
      </c>
      <c r="M2334" t="s">
        <v>98</v>
      </c>
      <c r="N2334" s="6" t="s">
        <v>1647</v>
      </c>
      <c r="O2334" t="str">
        <f t="shared" si="145"/>
        <v>Normal</v>
      </c>
      <c r="P2334" t="str">
        <f t="shared" si="146"/>
        <v>Duplicate ID</v>
      </c>
      <c r="Q2334" t="str">
        <f t="shared" si="147"/>
        <v>10,000-14,999</v>
      </c>
      <c r="R2334" s="6">
        <f>IF(COUNTIF($A$2:A2334,A2334)=1,1,0)</f>
        <v>0</v>
      </c>
    </row>
    <row r="2335" spans="1:18" x14ac:dyDescent="0.25">
      <c r="A2335" s="6">
        <v>1504</v>
      </c>
      <c r="B2335" s="7">
        <v>44420</v>
      </c>
      <c r="C2335" t="s">
        <v>32</v>
      </c>
      <c r="D2335" s="6">
        <v>2016</v>
      </c>
      <c r="E2335" s="8">
        <v>28419</v>
      </c>
      <c r="F2335" s="8">
        <v>31000</v>
      </c>
      <c r="G2335" s="8">
        <f t="shared" si="144"/>
        <v>2581</v>
      </c>
      <c r="H2335" s="6">
        <v>120000</v>
      </c>
      <c r="I2335" t="s">
        <v>58</v>
      </c>
      <c r="J2335" t="s">
        <v>72</v>
      </c>
      <c r="K2335" t="s">
        <v>36</v>
      </c>
      <c r="L2335" t="s">
        <v>1647</v>
      </c>
      <c r="M2335" t="s">
        <v>90</v>
      </c>
      <c r="N2335" s="6">
        <v>1</v>
      </c>
      <c r="O2335" t="str">
        <f t="shared" si="145"/>
        <v>Normal</v>
      </c>
      <c r="P2335" t="str">
        <f t="shared" si="146"/>
        <v>Duplicate ID</v>
      </c>
      <c r="Q2335" t="str">
        <f t="shared" si="147"/>
        <v>25,000-30,000</v>
      </c>
      <c r="R2335" s="6">
        <f>IF(COUNTIF($A$2:A2335,A2335)=1,1,0)</f>
        <v>0</v>
      </c>
    </row>
    <row r="2336" spans="1:18" x14ac:dyDescent="0.25">
      <c r="A2336" s="6">
        <v>1213</v>
      </c>
      <c r="B2336" s="7">
        <v>44633</v>
      </c>
      <c r="C2336" t="s">
        <v>32</v>
      </c>
      <c r="D2336" s="6">
        <v>2018</v>
      </c>
      <c r="E2336" s="8">
        <v>15678</v>
      </c>
      <c r="F2336" s="8">
        <v>18000</v>
      </c>
      <c r="G2336" s="8">
        <f t="shared" si="144"/>
        <v>2322</v>
      </c>
      <c r="H2336" s="6">
        <v>15000</v>
      </c>
      <c r="I2336" t="s">
        <v>34</v>
      </c>
      <c r="J2336" t="s">
        <v>35</v>
      </c>
      <c r="K2336" t="s">
        <v>96</v>
      </c>
      <c r="L2336" t="s">
        <v>48</v>
      </c>
      <c r="M2336" t="s">
        <v>45</v>
      </c>
      <c r="N2336" s="6">
        <v>0</v>
      </c>
      <c r="O2336" t="str">
        <f t="shared" si="145"/>
        <v>Normal</v>
      </c>
      <c r="P2336" t="str">
        <f t="shared" si="146"/>
        <v>Duplicate ID</v>
      </c>
      <c r="Q2336" t="str">
        <f t="shared" si="147"/>
        <v>15,000-19,999</v>
      </c>
      <c r="R2336" s="6">
        <f>IF(COUNTIF($A$2:A2336,A2336)=1,1,0)</f>
        <v>0</v>
      </c>
    </row>
    <row r="2337" spans="1:18" x14ac:dyDescent="0.25">
      <c r="A2337" s="6">
        <v>1375</v>
      </c>
      <c r="B2337" s="7">
        <v>44885</v>
      </c>
      <c r="C2337" t="s">
        <v>119</v>
      </c>
      <c r="D2337" s="6">
        <v>2014</v>
      </c>
      <c r="E2337" s="8">
        <v>13810</v>
      </c>
      <c r="F2337" s="8">
        <v>18000</v>
      </c>
      <c r="G2337" s="8">
        <f t="shared" si="144"/>
        <v>4190</v>
      </c>
      <c r="H2337" s="6">
        <v>120000</v>
      </c>
      <c r="I2337" t="s">
        <v>41</v>
      </c>
      <c r="J2337" t="s">
        <v>35</v>
      </c>
      <c r="K2337" t="s">
        <v>36</v>
      </c>
      <c r="L2337" t="s">
        <v>54</v>
      </c>
      <c r="M2337" t="s">
        <v>126</v>
      </c>
      <c r="N2337" s="6">
        <v>1</v>
      </c>
      <c r="O2337" t="str">
        <f t="shared" si="145"/>
        <v>Normal</v>
      </c>
      <c r="P2337" t="str">
        <f t="shared" si="146"/>
        <v>Duplicate ID</v>
      </c>
      <c r="Q2337" t="str">
        <f t="shared" si="147"/>
        <v>10,000-14,999</v>
      </c>
      <c r="R2337" s="6">
        <f>IF(COUNTIF($A$2:A2337,A2337)=1,1,0)</f>
        <v>0</v>
      </c>
    </row>
    <row r="2338" spans="1:18" x14ac:dyDescent="0.25">
      <c r="A2338" s="6">
        <v>1346</v>
      </c>
      <c r="B2338" s="7">
        <v>44794</v>
      </c>
      <c r="C2338" t="s">
        <v>32</v>
      </c>
      <c r="D2338" s="6">
        <v>2022</v>
      </c>
      <c r="E2338" s="8">
        <v>7094</v>
      </c>
      <c r="F2338" s="8">
        <v>12000</v>
      </c>
      <c r="G2338" s="8">
        <f t="shared" si="144"/>
        <v>4906</v>
      </c>
      <c r="H2338" s="6">
        <v>15000</v>
      </c>
      <c r="I2338" t="s">
        <v>58</v>
      </c>
      <c r="J2338" t="s">
        <v>72</v>
      </c>
      <c r="K2338" t="s">
        <v>96</v>
      </c>
      <c r="L2338" t="s">
        <v>48</v>
      </c>
      <c r="M2338" t="s">
        <v>98</v>
      </c>
      <c r="N2338" s="6">
        <v>2</v>
      </c>
      <c r="O2338" t="str">
        <f t="shared" si="145"/>
        <v>Normal</v>
      </c>
      <c r="P2338" t="str">
        <f t="shared" si="146"/>
        <v>Duplicate ID</v>
      </c>
      <c r="Q2338" t="str">
        <f t="shared" si="147"/>
        <v>5,000-9,999</v>
      </c>
      <c r="R2338" s="6">
        <f>IF(COUNTIF($A$2:A2338,A2338)=1,1,0)</f>
        <v>0</v>
      </c>
    </row>
    <row r="2339" spans="1:18" x14ac:dyDescent="0.25">
      <c r="A2339" s="6">
        <v>1222</v>
      </c>
      <c r="B2339" s="7">
        <v>44739</v>
      </c>
      <c r="C2339" t="s">
        <v>57</v>
      </c>
      <c r="D2339" s="6">
        <v>2017</v>
      </c>
      <c r="E2339" s="8">
        <v>8273</v>
      </c>
      <c r="F2339" s="8">
        <v>15000</v>
      </c>
      <c r="G2339" s="8">
        <f t="shared" si="144"/>
        <v>6727</v>
      </c>
      <c r="H2339" s="6">
        <v>40000</v>
      </c>
      <c r="I2339" t="s">
        <v>1647</v>
      </c>
      <c r="J2339" t="s">
        <v>35</v>
      </c>
      <c r="K2339" t="s">
        <v>36</v>
      </c>
      <c r="L2339" t="s">
        <v>48</v>
      </c>
      <c r="M2339" t="s">
        <v>1647</v>
      </c>
      <c r="N2339" s="6">
        <v>1</v>
      </c>
      <c r="O2339" t="str">
        <f t="shared" si="145"/>
        <v>Normal</v>
      </c>
      <c r="P2339" t="str">
        <f t="shared" si="146"/>
        <v>Duplicate ID</v>
      </c>
      <c r="Q2339" t="str">
        <f t="shared" si="147"/>
        <v>5,000-9,999</v>
      </c>
      <c r="R2339" s="6">
        <f>IF(COUNTIF($A$2:A2339,A2339)=1,1,0)</f>
        <v>0</v>
      </c>
    </row>
    <row r="2340" spans="1:18" x14ac:dyDescent="0.25">
      <c r="A2340" s="6">
        <v>1042</v>
      </c>
      <c r="B2340" s="7">
        <v>44442</v>
      </c>
      <c r="C2340" t="s">
        <v>1648</v>
      </c>
      <c r="D2340" s="6"/>
      <c r="E2340" s="8">
        <v>8177</v>
      </c>
      <c r="F2340" s="8">
        <v>12000</v>
      </c>
      <c r="G2340" s="8">
        <f t="shared" si="144"/>
        <v>3823</v>
      </c>
      <c r="H2340" s="6">
        <v>15000</v>
      </c>
      <c r="I2340" t="s">
        <v>58</v>
      </c>
      <c r="J2340" t="s">
        <v>35</v>
      </c>
      <c r="K2340" t="s">
        <v>96</v>
      </c>
      <c r="L2340" t="s">
        <v>100</v>
      </c>
      <c r="M2340" t="s">
        <v>45</v>
      </c>
      <c r="N2340" s="6" t="s">
        <v>1647</v>
      </c>
      <c r="O2340" t="str">
        <f t="shared" si="145"/>
        <v>Normal</v>
      </c>
      <c r="P2340" t="str">
        <f t="shared" si="146"/>
        <v>Duplicate ID</v>
      </c>
      <c r="Q2340" t="str">
        <f t="shared" si="147"/>
        <v>5,000-9,999</v>
      </c>
      <c r="R2340" s="6">
        <f>IF(COUNTIF($A$2:A2340,A2340)=1,1,0)</f>
        <v>0</v>
      </c>
    </row>
    <row r="2341" spans="1:18" x14ac:dyDescent="0.25">
      <c r="A2341" s="6">
        <v>1069</v>
      </c>
      <c r="B2341" s="7">
        <v>45214</v>
      </c>
      <c r="C2341" t="s">
        <v>79</v>
      </c>
      <c r="D2341" s="6"/>
      <c r="E2341" s="8">
        <v>23226</v>
      </c>
      <c r="F2341" s="8">
        <v>26000</v>
      </c>
      <c r="G2341" s="8">
        <f t="shared" si="144"/>
        <v>2774</v>
      </c>
      <c r="H2341" s="6">
        <v>40000</v>
      </c>
      <c r="I2341" t="s">
        <v>41</v>
      </c>
      <c r="J2341" t="s">
        <v>72</v>
      </c>
      <c r="K2341" t="s">
        <v>36</v>
      </c>
      <c r="L2341" t="s">
        <v>73</v>
      </c>
      <c r="M2341" t="s">
        <v>1647</v>
      </c>
      <c r="N2341" s="6" t="s">
        <v>1647</v>
      </c>
      <c r="O2341" t="str">
        <f t="shared" si="145"/>
        <v>Normal</v>
      </c>
      <c r="P2341" t="str">
        <f t="shared" si="146"/>
        <v>Duplicate ID</v>
      </c>
      <c r="Q2341" t="str">
        <f t="shared" si="147"/>
        <v>20,000-24,999</v>
      </c>
      <c r="R2341" s="6">
        <f>IF(COUNTIF($A$2:A2341,A2341)=1,1,0)</f>
        <v>0</v>
      </c>
    </row>
    <row r="2342" spans="1:18" x14ac:dyDescent="0.25">
      <c r="A2342" s="6">
        <v>1370</v>
      </c>
      <c r="B2342" s="7">
        <v>45360</v>
      </c>
      <c r="C2342" t="s">
        <v>57</v>
      </c>
      <c r="D2342" s="6">
        <v>2015</v>
      </c>
      <c r="E2342" s="8">
        <v>29752</v>
      </c>
      <c r="F2342" s="8">
        <v>31000</v>
      </c>
      <c r="G2342" s="8">
        <f t="shared" si="144"/>
        <v>1248</v>
      </c>
      <c r="H2342" s="6">
        <v>25000</v>
      </c>
      <c r="I2342" t="s">
        <v>1647</v>
      </c>
      <c r="J2342" t="s">
        <v>72</v>
      </c>
      <c r="K2342" t="s">
        <v>36</v>
      </c>
      <c r="L2342" t="s">
        <v>73</v>
      </c>
      <c r="M2342" t="s">
        <v>90</v>
      </c>
      <c r="N2342" s="6" t="s">
        <v>1647</v>
      </c>
      <c r="O2342" t="str">
        <f t="shared" si="145"/>
        <v>Normal</v>
      </c>
      <c r="P2342" t="str">
        <f t="shared" si="146"/>
        <v>Duplicate ID</v>
      </c>
      <c r="Q2342" t="str">
        <f t="shared" si="147"/>
        <v>25,000-30,000</v>
      </c>
      <c r="R2342" s="6">
        <f>IF(COUNTIF($A$2:A2342,A2342)=1,1,0)</f>
        <v>0</v>
      </c>
    </row>
    <row r="2343" spans="1:18" x14ac:dyDescent="0.25">
      <c r="A2343" s="6">
        <v>1348</v>
      </c>
      <c r="B2343" s="7">
        <v>45256</v>
      </c>
      <c r="C2343" t="s">
        <v>1648</v>
      </c>
      <c r="D2343" s="6">
        <v>2017</v>
      </c>
      <c r="E2343" s="8">
        <v>14450</v>
      </c>
      <c r="F2343" s="8">
        <v>18000</v>
      </c>
      <c r="G2343" s="8">
        <f t="shared" si="144"/>
        <v>3550</v>
      </c>
      <c r="H2343" s="6">
        <v>15000</v>
      </c>
      <c r="I2343" t="s">
        <v>1647</v>
      </c>
      <c r="J2343" t="s">
        <v>72</v>
      </c>
      <c r="K2343" t="s">
        <v>1647</v>
      </c>
      <c r="L2343" t="s">
        <v>73</v>
      </c>
      <c r="M2343" t="s">
        <v>1647</v>
      </c>
      <c r="N2343" s="6">
        <v>1</v>
      </c>
      <c r="O2343" t="str">
        <f t="shared" si="145"/>
        <v>Normal</v>
      </c>
      <c r="P2343" t="str">
        <f t="shared" si="146"/>
        <v>Duplicate ID</v>
      </c>
      <c r="Q2343" t="str">
        <f t="shared" si="147"/>
        <v>10,000-14,999</v>
      </c>
      <c r="R2343" s="6">
        <f>IF(COUNTIF($A$2:A2343,A2343)=1,1,0)</f>
        <v>0</v>
      </c>
    </row>
    <row r="2344" spans="1:18" x14ac:dyDescent="0.25">
      <c r="A2344" s="6">
        <v>1483</v>
      </c>
      <c r="B2344" s="7">
        <v>44317</v>
      </c>
      <c r="C2344" t="s">
        <v>1648</v>
      </c>
      <c r="D2344" s="6">
        <v>2022</v>
      </c>
      <c r="E2344" s="8">
        <v>1024</v>
      </c>
      <c r="F2344" s="8">
        <v>7000</v>
      </c>
      <c r="G2344" s="8">
        <f t="shared" si="144"/>
        <v>5976</v>
      </c>
      <c r="H2344" s="6">
        <v>15000</v>
      </c>
      <c r="I2344" t="s">
        <v>1647</v>
      </c>
      <c r="J2344" t="s">
        <v>35</v>
      </c>
      <c r="K2344" t="s">
        <v>36</v>
      </c>
      <c r="L2344" t="s">
        <v>73</v>
      </c>
      <c r="M2344" t="s">
        <v>1647</v>
      </c>
      <c r="N2344" s="6" t="s">
        <v>1647</v>
      </c>
      <c r="O2344" t="str">
        <f t="shared" si="145"/>
        <v>Normal</v>
      </c>
      <c r="P2344" t="str">
        <f t="shared" si="146"/>
        <v>Duplicate ID</v>
      </c>
      <c r="Q2344" t="str">
        <f t="shared" si="147"/>
        <v>0-4,999</v>
      </c>
      <c r="R2344" s="6">
        <f>IF(COUNTIF($A$2:A2344,A2344)=1,1,0)</f>
        <v>0</v>
      </c>
    </row>
    <row r="2345" spans="1:18" x14ac:dyDescent="0.25">
      <c r="A2345" s="6">
        <v>1583</v>
      </c>
      <c r="B2345" s="7">
        <v>44859</v>
      </c>
      <c r="C2345" t="s">
        <v>119</v>
      </c>
      <c r="D2345" s="6">
        <v>2019</v>
      </c>
      <c r="E2345" s="8">
        <v>6116</v>
      </c>
      <c r="F2345" s="8">
        <v>12000</v>
      </c>
      <c r="G2345" s="8">
        <f t="shared" si="144"/>
        <v>5884</v>
      </c>
      <c r="H2345" s="6">
        <v>25000</v>
      </c>
      <c r="I2345" t="s">
        <v>41</v>
      </c>
      <c r="J2345" t="s">
        <v>72</v>
      </c>
      <c r="K2345" t="s">
        <v>1647</v>
      </c>
      <c r="L2345" t="s">
        <v>1647</v>
      </c>
      <c r="M2345" t="s">
        <v>98</v>
      </c>
      <c r="N2345" s="6">
        <v>2</v>
      </c>
      <c r="O2345" t="str">
        <f t="shared" si="145"/>
        <v>Normal</v>
      </c>
      <c r="P2345" t="str">
        <f t="shared" si="146"/>
        <v>Duplicate ID</v>
      </c>
      <c r="Q2345" t="str">
        <f t="shared" si="147"/>
        <v>5,000-9,999</v>
      </c>
      <c r="R2345" s="6">
        <f>IF(COUNTIF($A$2:A2345,A2345)=1,1,0)</f>
        <v>0</v>
      </c>
    </row>
    <row r="2346" spans="1:18" x14ac:dyDescent="0.25">
      <c r="A2346" s="6">
        <v>1202</v>
      </c>
      <c r="B2346" s="7">
        <v>44257</v>
      </c>
      <c r="C2346" t="s">
        <v>32</v>
      </c>
      <c r="D2346" s="6">
        <v>2021</v>
      </c>
      <c r="E2346" s="8">
        <v>15913</v>
      </c>
      <c r="F2346" s="8">
        <v>22000</v>
      </c>
      <c r="G2346" s="8">
        <f t="shared" si="144"/>
        <v>6087</v>
      </c>
      <c r="H2346" s="6">
        <v>60000</v>
      </c>
      <c r="I2346" t="s">
        <v>41</v>
      </c>
      <c r="J2346" t="s">
        <v>72</v>
      </c>
      <c r="K2346" t="s">
        <v>36</v>
      </c>
      <c r="L2346" t="s">
        <v>54</v>
      </c>
      <c r="M2346" t="s">
        <v>126</v>
      </c>
      <c r="N2346" s="6">
        <v>3</v>
      </c>
      <c r="O2346" t="str">
        <f t="shared" si="145"/>
        <v>Normal</v>
      </c>
      <c r="P2346" t="str">
        <f t="shared" si="146"/>
        <v>Duplicate ID</v>
      </c>
      <c r="Q2346" t="str">
        <f t="shared" si="147"/>
        <v>15,000-19,999</v>
      </c>
      <c r="R2346" s="6">
        <f>IF(COUNTIF($A$2:A2346,A2346)=1,1,0)</f>
        <v>0</v>
      </c>
    </row>
    <row r="2347" spans="1:18" x14ac:dyDescent="0.25">
      <c r="A2347" s="6">
        <v>1226</v>
      </c>
      <c r="B2347" s="7">
        <v>44446</v>
      </c>
      <c r="C2347" t="s">
        <v>51</v>
      </c>
      <c r="D2347" s="6">
        <v>2014</v>
      </c>
      <c r="E2347" s="8">
        <v>8709</v>
      </c>
      <c r="F2347" s="8">
        <v>12000</v>
      </c>
      <c r="G2347" s="8">
        <f t="shared" si="144"/>
        <v>3291</v>
      </c>
      <c r="H2347" s="6">
        <v>120000</v>
      </c>
      <c r="I2347" t="s">
        <v>34</v>
      </c>
      <c r="J2347" t="s">
        <v>72</v>
      </c>
      <c r="K2347" t="s">
        <v>96</v>
      </c>
      <c r="L2347" t="s">
        <v>1647</v>
      </c>
      <c r="M2347" t="s">
        <v>98</v>
      </c>
      <c r="N2347" s="6">
        <v>2</v>
      </c>
      <c r="O2347" t="str">
        <f t="shared" si="145"/>
        <v>Normal</v>
      </c>
      <c r="P2347" t="str">
        <f t="shared" si="146"/>
        <v>Duplicate ID</v>
      </c>
      <c r="Q2347" t="str">
        <f t="shared" si="147"/>
        <v>5,000-9,999</v>
      </c>
      <c r="R2347" s="6">
        <f>IF(COUNTIF($A$2:A2347,A2347)=1,1,0)</f>
        <v>0</v>
      </c>
    </row>
    <row r="2348" spans="1:18" x14ac:dyDescent="0.25">
      <c r="A2348" s="6">
        <v>1588</v>
      </c>
      <c r="B2348" s="7">
        <v>44890</v>
      </c>
      <c r="C2348" t="s">
        <v>51</v>
      </c>
      <c r="D2348" s="6">
        <v>2018</v>
      </c>
      <c r="E2348" s="8">
        <v>16186</v>
      </c>
      <c r="F2348" s="8">
        <v>22000</v>
      </c>
      <c r="G2348" s="8">
        <f t="shared" si="144"/>
        <v>5814</v>
      </c>
      <c r="H2348" s="6">
        <v>15000</v>
      </c>
      <c r="I2348" t="s">
        <v>1647</v>
      </c>
      <c r="J2348" t="s">
        <v>35</v>
      </c>
      <c r="K2348" t="s">
        <v>36</v>
      </c>
      <c r="L2348" t="s">
        <v>48</v>
      </c>
      <c r="M2348" t="s">
        <v>98</v>
      </c>
      <c r="N2348" s="6" t="s">
        <v>1647</v>
      </c>
      <c r="O2348" t="str">
        <f t="shared" si="145"/>
        <v>Normal</v>
      </c>
      <c r="P2348" t="str">
        <f t="shared" si="146"/>
        <v>Duplicate ID</v>
      </c>
      <c r="Q2348" t="str">
        <f t="shared" si="147"/>
        <v>15,000-19,999</v>
      </c>
      <c r="R2348" s="6">
        <f>IF(COUNTIF($A$2:A2348,A2348)=1,1,0)</f>
        <v>0</v>
      </c>
    </row>
    <row r="2349" spans="1:18" x14ac:dyDescent="0.25">
      <c r="A2349" s="6">
        <v>1513</v>
      </c>
      <c r="B2349" s="7">
        <v>44561</v>
      </c>
      <c r="C2349" t="s">
        <v>51</v>
      </c>
      <c r="D2349" s="6">
        <v>2018</v>
      </c>
      <c r="E2349" s="8">
        <v>21352</v>
      </c>
      <c r="F2349" s="8">
        <v>26000</v>
      </c>
      <c r="G2349" s="8">
        <f t="shared" si="144"/>
        <v>4648</v>
      </c>
      <c r="H2349" s="6">
        <v>25000</v>
      </c>
      <c r="I2349" t="s">
        <v>41</v>
      </c>
      <c r="J2349" t="s">
        <v>72</v>
      </c>
      <c r="K2349" t="s">
        <v>36</v>
      </c>
      <c r="L2349" t="s">
        <v>73</v>
      </c>
      <c r="M2349" t="s">
        <v>45</v>
      </c>
      <c r="N2349" s="6">
        <v>1</v>
      </c>
      <c r="O2349" t="str">
        <f t="shared" si="145"/>
        <v>Normal</v>
      </c>
      <c r="P2349" t="str">
        <f t="shared" si="146"/>
        <v>Duplicate ID</v>
      </c>
      <c r="Q2349" t="str">
        <f t="shared" si="147"/>
        <v>20,000-24,999</v>
      </c>
      <c r="R2349" s="6">
        <f>IF(COUNTIF($A$2:A2349,A2349)=1,1,0)</f>
        <v>0</v>
      </c>
    </row>
    <row r="2350" spans="1:18" x14ac:dyDescent="0.25">
      <c r="A2350" s="6">
        <v>1410</v>
      </c>
      <c r="B2350" s="7">
        <v>44727</v>
      </c>
      <c r="C2350" t="s">
        <v>119</v>
      </c>
      <c r="D2350" s="6">
        <v>2018</v>
      </c>
      <c r="E2350" s="8">
        <v>15414</v>
      </c>
      <c r="F2350" s="8">
        <v>22000</v>
      </c>
      <c r="G2350" s="8">
        <f t="shared" si="144"/>
        <v>6586</v>
      </c>
      <c r="H2350" s="6">
        <v>15000</v>
      </c>
      <c r="I2350" t="s">
        <v>58</v>
      </c>
      <c r="J2350" t="s">
        <v>72</v>
      </c>
      <c r="K2350" t="s">
        <v>1647</v>
      </c>
      <c r="L2350" t="s">
        <v>100</v>
      </c>
      <c r="M2350" t="s">
        <v>45</v>
      </c>
      <c r="N2350" s="6">
        <v>0</v>
      </c>
      <c r="O2350" t="str">
        <f t="shared" si="145"/>
        <v>Normal</v>
      </c>
      <c r="P2350" t="str">
        <f t="shared" si="146"/>
        <v>Duplicate ID</v>
      </c>
      <c r="Q2350" t="str">
        <f t="shared" si="147"/>
        <v>15,000-19,999</v>
      </c>
      <c r="R2350" s="6">
        <f>IF(COUNTIF($A$2:A2350,A2350)=1,1,0)</f>
        <v>0</v>
      </c>
    </row>
    <row r="2351" spans="1:18" x14ac:dyDescent="0.25">
      <c r="A2351" s="6">
        <v>1569</v>
      </c>
      <c r="B2351" s="7">
        <v>45101</v>
      </c>
      <c r="C2351" t="s">
        <v>1648</v>
      </c>
      <c r="D2351" s="6">
        <v>2020</v>
      </c>
      <c r="E2351" s="8">
        <v>29726</v>
      </c>
      <c r="F2351" s="8">
        <v>31000</v>
      </c>
      <c r="G2351" s="8">
        <f t="shared" si="144"/>
        <v>1274</v>
      </c>
      <c r="H2351" s="6">
        <v>40000</v>
      </c>
      <c r="I2351" t="s">
        <v>34</v>
      </c>
      <c r="J2351" t="s">
        <v>1647</v>
      </c>
      <c r="K2351" t="s">
        <v>1647</v>
      </c>
      <c r="L2351" t="s">
        <v>54</v>
      </c>
      <c r="M2351" t="s">
        <v>1647</v>
      </c>
      <c r="N2351" s="6">
        <v>2</v>
      </c>
      <c r="O2351" t="str">
        <f t="shared" si="145"/>
        <v>Normal</v>
      </c>
      <c r="P2351" t="str">
        <f t="shared" si="146"/>
        <v>Duplicate ID</v>
      </c>
      <c r="Q2351" t="str">
        <f t="shared" si="147"/>
        <v>25,000-30,000</v>
      </c>
      <c r="R2351" s="6">
        <f>IF(COUNTIF($A$2:A2351,A2351)=1,1,0)</f>
        <v>0</v>
      </c>
    </row>
    <row r="2352" spans="1:18" x14ac:dyDescent="0.25">
      <c r="A2352" s="6">
        <v>1447</v>
      </c>
      <c r="B2352" s="7">
        <v>45006</v>
      </c>
      <c r="C2352" t="s">
        <v>1648</v>
      </c>
      <c r="D2352" s="6">
        <v>2018</v>
      </c>
      <c r="E2352" s="8">
        <v>7553</v>
      </c>
      <c r="F2352" s="8">
        <v>9000</v>
      </c>
      <c r="G2352" s="8">
        <f t="shared" si="144"/>
        <v>1447</v>
      </c>
      <c r="H2352" s="6">
        <v>15000</v>
      </c>
      <c r="I2352" t="s">
        <v>41</v>
      </c>
      <c r="J2352" t="s">
        <v>1647</v>
      </c>
      <c r="K2352" t="s">
        <v>96</v>
      </c>
      <c r="L2352" t="s">
        <v>100</v>
      </c>
      <c r="M2352" t="s">
        <v>98</v>
      </c>
      <c r="N2352" s="6" t="s">
        <v>1647</v>
      </c>
      <c r="O2352" t="str">
        <f t="shared" si="145"/>
        <v>Normal</v>
      </c>
      <c r="P2352" t="str">
        <f t="shared" si="146"/>
        <v>Duplicate ID</v>
      </c>
      <c r="Q2352" t="str">
        <f t="shared" si="147"/>
        <v>5,000-9,999</v>
      </c>
      <c r="R2352" s="6">
        <f>IF(COUNTIF($A$2:A2352,A2352)=1,1,0)</f>
        <v>0</v>
      </c>
    </row>
    <row r="2353" spans="1:18" x14ac:dyDescent="0.25">
      <c r="A2353" s="6">
        <v>1163</v>
      </c>
      <c r="B2353" s="7">
        <v>44345</v>
      </c>
      <c r="C2353" t="s">
        <v>51</v>
      </c>
      <c r="D2353" s="6">
        <v>2017</v>
      </c>
      <c r="E2353" s="8">
        <v>29571</v>
      </c>
      <c r="F2353" s="8">
        <v>31000</v>
      </c>
      <c r="G2353" s="8">
        <f t="shared" si="144"/>
        <v>1429</v>
      </c>
      <c r="H2353" s="6">
        <v>60000</v>
      </c>
      <c r="I2353" t="s">
        <v>34</v>
      </c>
      <c r="J2353" t="s">
        <v>72</v>
      </c>
      <c r="K2353" t="s">
        <v>96</v>
      </c>
      <c r="L2353" t="s">
        <v>1647</v>
      </c>
      <c r="M2353" t="s">
        <v>90</v>
      </c>
      <c r="N2353" s="6">
        <v>2</v>
      </c>
      <c r="O2353" t="str">
        <f t="shared" si="145"/>
        <v>Normal</v>
      </c>
      <c r="P2353" t="str">
        <f t="shared" si="146"/>
        <v>Duplicate ID</v>
      </c>
      <c r="Q2353" t="str">
        <f t="shared" si="147"/>
        <v>25,000-30,000</v>
      </c>
      <c r="R2353" s="6">
        <f>IF(COUNTIF($A$2:A2353,A2353)=1,1,0)</f>
        <v>0</v>
      </c>
    </row>
    <row r="2354" spans="1:18" x14ac:dyDescent="0.25">
      <c r="A2354" s="6">
        <v>1299</v>
      </c>
      <c r="B2354" s="7">
        <v>44202</v>
      </c>
      <c r="C2354" t="s">
        <v>119</v>
      </c>
      <c r="D2354" s="6">
        <v>2021</v>
      </c>
      <c r="E2354" s="8">
        <v>2393</v>
      </c>
      <c r="F2354" s="8">
        <v>7000</v>
      </c>
      <c r="G2354" s="8">
        <f t="shared" si="144"/>
        <v>4607</v>
      </c>
      <c r="H2354" s="6">
        <v>40000</v>
      </c>
      <c r="I2354" t="s">
        <v>69</v>
      </c>
      <c r="J2354" t="s">
        <v>35</v>
      </c>
      <c r="K2354" t="s">
        <v>1647</v>
      </c>
      <c r="L2354" t="s">
        <v>48</v>
      </c>
      <c r="M2354" t="s">
        <v>45</v>
      </c>
      <c r="N2354" s="6">
        <v>3</v>
      </c>
      <c r="O2354" t="str">
        <f t="shared" si="145"/>
        <v>Normal</v>
      </c>
      <c r="P2354" t="str">
        <f t="shared" si="146"/>
        <v>Duplicate ID</v>
      </c>
      <c r="Q2354" t="str">
        <f t="shared" si="147"/>
        <v>0-4,999</v>
      </c>
      <c r="R2354" s="6">
        <f>IF(COUNTIF($A$2:A2354,A2354)=1,1,0)</f>
        <v>0</v>
      </c>
    </row>
    <row r="2355" spans="1:18" x14ac:dyDescent="0.25">
      <c r="A2355" s="6">
        <v>1480</v>
      </c>
      <c r="B2355" s="7">
        <v>44522</v>
      </c>
      <c r="C2355" t="s">
        <v>57</v>
      </c>
      <c r="D2355" s="6">
        <v>2020</v>
      </c>
      <c r="E2355" s="8">
        <v>9194</v>
      </c>
      <c r="F2355" s="8">
        <v>12000</v>
      </c>
      <c r="G2355" s="8">
        <f t="shared" si="144"/>
        <v>2806</v>
      </c>
      <c r="H2355" s="6">
        <v>15000</v>
      </c>
      <c r="I2355" t="s">
        <v>41</v>
      </c>
      <c r="J2355" t="s">
        <v>35</v>
      </c>
      <c r="K2355" t="s">
        <v>96</v>
      </c>
      <c r="L2355" t="s">
        <v>48</v>
      </c>
      <c r="M2355" t="s">
        <v>98</v>
      </c>
      <c r="N2355" s="6">
        <v>1</v>
      </c>
      <c r="O2355" t="str">
        <f t="shared" si="145"/>
        <v>Normal</v>
      </c>
      <c r="P2355" t="str">
        <f t="shared" si="146"/>
        <v>Duplicate ID</v>
      </c>
      <c r="Q2355" t="str">
        <f t="shared" si="147"/>
        <v>5,000-9,999</v>
      </c>
      <c r="R2355" s="6">
        <f>IF(COUNTIF($A$2:A2355,A2355)=1,1,0)</f>
        <v>0</v>
      </c>
    </row>
    <row r="2356" spans="1:18" x14ac:dyDescent="0.25">
      <c r="A2356" s="6">
        <v>1349</v>
      </c>
      <c r="B2356" s="7">
        <v>45328</v>
      </c>
      <c r="C2356" t="s">
        <v>40</v>
      </c>
      <c r="D2356" s="6">
        <v>2016</v>
      </c>
      <c r="E2356" s="8">
        <v>13780</v>
      </c>
      <c r="F2356" s="8">
        <v>15000</v>
      </c>
      <c r="G2356" s="8">
        <f t="shared" si="144"/>
        <v>1220</v>
      </c>
      <c r="H2356" s="6">
        <v>15000</v>
      </c>
      <c r="I2356" t="s">
        <v>41</v>
      </c>
      <c r="J2356" t="s">
        <v>72</v>
      </c>
      <c r="K2356" t="s">
        <v>36</v>
      </c>
      <c r="L2356" t="s">
        <v>100</v>
      </c>
      <c r="M2356" t="s">
        <v>45</v>
      </c>
      <c r="N2356" s="6">
        <v>1</v>
      </c>
      <c r="O2356" t="str">
        <f t="shared" si="145"/>
        <v>Normal</v>
      </c>
      <c r="P2356" t="str">
        <f t="shared" si="146"/>
        <v>Duplicate ID</v>
      </c>
      <c r="Q2356" t="str">
        <f t="shared" si="147"/>
        <v>10,000-14,999</v>
      </c>
      <c r="R2356" s="6">
        <f>IF(COUNTIF($A$2:A2356,A2356)=1,1,0)</f>
        <v>0</v>
      </c>
    </row>
    <row r="2357" spans="1:18" x14ac:dyDescent="0.25">
      <c r="A2357" s="6">
        <v>1552</v>
      </c>
      <c r="B2357" s="7">
        <v>45385</v>
      </c>
      <c r="C2357" t="s">
        <v>51</v>
      </c>
      <c r="D2357" s="6">
        <v>2020</v>
      </c>
      <c r="E2357" s="8">
        <v>24944</v>
      </c>
      <c r="F2357" s="8">
        <v>26000</v>
      </c>
      <c r="G2357" s="8">
        <f t="shared" si="144"/>
        <v>1056</v>
      </c>
      <c r="H2357" s="6">
        <v>15000</v>
      </c>
      <c r="I2357" t="s">
        <v>69</v>
      </c>
      <c r="J2357" t="s">
        <v>72</v>
      </c>
      <c r="K2357" t="s">
        <v>1647</v>
      </c>
      <c r="L2357" t="s">
        <v>100</v>
      </c>
      <c r="M2357" t="s">
        <v>98</v>
      </c>
      <c r="N2357" s="6" t="s">
        <v>1647</v>
      </c>
      <c r="O2357" t="str">
        <f t="shared" si="145"/>
        <v>Normal</v>
      </c>
      <c r="P2357" t="str">
        <f t="shared" si="146"/>
        <v>Duplicate ID</v>
      </c>
      <c r="Q2357" t="str">
        <f t="shared" si="147"/>
        <v>20,000-24,999</v>
      </c>
      <c r="R2357" s="6">
        <f>IF(COUNTIF($A$2:A2357,A2357)=1,1,0)</f>
        <v>0</v>
      </c>
    </row>
    <row r="2358" spans="1:18" x14ac:dyDescent="0.25">
      <c r="A2358" s="6">
        <v>1251</v>
      </c>
      <c r="B2358" s="7">
        <v>44346</v>
      </c>
      <c r="C2358" t="s">
        <v>40</v>
      </c>
      <c r="D2358" s="6">
        <v>2017</v>
      </c>
      <c r="E2358" s="8">
        <v>3800</v>
      </c>
      <c r="F2358" s="8">
        <v>7000</v>
      </c>
      <c r="G2358" s="8">
        <f t="shared" si="144"/>
        <v>3200</v>
      </c>
      <c r="H2358" s="6">
        <v>25000</v>
      </c>
      <c r="I2358" t="s">
        <v>58</v>
      </c>
      <c r="J2358" t="s">
        <v>1647</v>
      </c>
      <c r="K2358" t="s">
        <v>1647</v>
      </c>
      <c r="L2358" t="s">
        <v>54</v>
      </c>
      <c r="M2358" t="s">
        <v>98</v>
      </c>
      <c r="N2358" s="6" t="s">
        <v>1647</v>
      </c>
      <c r="O2358" t="str">
        <f t="shared" si="145"/>
        <v>Normal</v>
      </c>
      <c r="P2358" t="str">
        <f t="shared" si="146"/>
        <v>Duplicate ID</v>
      </c>
      <c r="Q2358" t="str">
        <f t="shared" si="147"/>
        <v>0-4,999</v>
      </c>
      <c r="R2358" s="6">
        <f>IF(COUNTIF($A$2:A2358,A2358)=1,1,0)</f>
        <v>0</v>
      </c>
    </row>
    <row r="2359" spans="1:18" x14ac:dyDescent="0.25">
      <c r="A2359" s="6">
        <v>1510</v>
      </c>
      <c r="B2359" s="7">
        <v>44253</v>
      </c>
      <c r="C2359" t="s">
        <v>119</v>
      </c>
      <c r="D2359" s="6"/>
      <c r="E2359" s="8">
        <v>26386</v>
      </c>
      <c r="F2359" s="8">
        <v>31000</v>
      </c>
      <c r="G2359" s="8">
        <f t="shared" si="144"/>
        <v>4614</v>
      </c>
      <c r="H2359" s="6">
        <v>120000</v>
      </c>
      <c r="I2359" t="s">
        <v>69</v>
      </c>
      <c r="J2359" t="s">
        <v>72</v>
      </c>
      <c r="K2359" t="s">
        <v>36</v>
      </c>
      <c r="L2359" t="s">
        <v>54</v>
      </c>
      <c r="M2359" t="s">
        <v>90</v>
      </c>
      <c r="N2359" s="6">
        <v>1</v>
      </c>
      <c r="O2359" t="str">
        <f t="shared" si="145"/>
        <v>Normal</v>
      </c>
      <c r="P2359" t="str">
        <f t="shared" si="146"/>
        <v>Duplicate ID</v>
      </c>
      <c r="Q2359" t="str">
        <f t="shared" si="147"/>
        <v>25,000-30,000</v>
      </c>
      <c r="R2359" s="6">
        <f>IF(COUNTIF($A$2:A2359,A2359)=1,1,0)</f>
        <v>0</v>
      </c>
    </row>
    <row r="2360" spans="1:18" x14ac:dyDescent="0.25">
      <c r="A2360" s="6">
        <v>1499</v>
      </c>
      <c r="B2360" s="7">
        <v>44359</v>
      </c>
      <c r="C2360" t="s">
        <v>1648</v>
      </c>
      <c r="D2360" s="6">
        <v>2014</v>
      </c>
      <c r="E2360" s="8">
        <v>1157</v>
      </c>
      <c r="F2360" s="8">
        <v>7000</v>
      </c>
      <c r="G2360" s="8">
        <f t="shared" si="144"/>
        <v>5843</v>
      </c>
      <c r="H2360" s="6">
        <v>40000</v>
      </c>
      <c r="I2360" t="s">
        <v>34</v>
      </c>
      <c r="J2360" t="s">
        <v>1647</v>
      </c>
      <c r="K2360" t="s">
        <v>96</v>
      </c>
      <c r="L2360" t="s">
        <v>73</v>
      </c>
      <c r="M2360" t="s">
        <v>98</v>
      </c>
      <c r="N2360" s="6">
        <v>1</v>
      </c>
      <c r="O2360" t="str">
        <f t="shared" si="145"/>
        <v>Normal</v>
      </c>
      <c r="P2360" t="str">
        <f t="shared" si="146"/>
        <v>Duplicate ID</v>
      </c>
      <c r="Q2360" t="str">
        <f t="shared" si="147"/>
        <v>0-4,999</v>
      </c>
      <c r="R2360" s="6">
        <f>IF(COUNTIF($A$2:A2360,A2360)=1,1,0)</f>
        <v>0</v>
      </c>
    </row>
    <row r="2361" spans="1:18" x14ac:dyDescent="0.25">
      <c r="A2361" s="6">
        <v>1501</v>
      </c>
      <c r="B2361" s="7">
        <v>45175</v>
      </c>
      <c r="C2361" t="s">
        <v>1648</v>
      </c>
      <c r="D2361" s="6">
        <v>2020</v>
      </c>
      <c r="E2361" s="8">
        <v>8070</v>
      </c>
      <c r="F2361" s="8">
        <v>12000</v>
      </c>
      <c r="G2361" s="8">
        <f t="shared" si="144"/>
        <v>3930</v>
      </c>
      <c r="H2361" s="6">
        <v>15000</v>
      </c>
      <c r="I2361" t="s">
        <v>69</v>
      </c>
      <c r="J2361" t="s">
        <v>72</v>
      </c>
      <c r="K2361" t="s">
        <v>1647</v>
      </c>
      <c r="L2361" t="s">
        <v>48</v>
      </c>
      <c r="M2361" t="s">
        <v>98</v>
      </c>
      <c r="N2361" s="6">
        <v>0</v>
      </c>
      <c r="O2361" t="str">
        <f t="shared" si="145"/>
        <v>Normal</v>
      </c>
      <c r="P2361" t="str">
        <f t="shared" si="146"/>
        <v>Duplicate ID</v>
      </c>
      <c r="Q2361" t="str">
        <f t="shared" si="147"/>
        <v>5,000-9,999</v>
      </c>
      <c r="R2361" s="6">
        <f>IF(COUNTIF($A$2:A2361,A2361)=1,1,0)</f>
        <v>0</v>
      </c>
    </row>
    <row r="2362" spans="1:18" x14ac:dyDescent="0.25">
      <c r="A2362" s="6">
        <v>1174</v>
      </c>
      <c r="B2362" s="7">
        <v>44758</v>
      </c>
      <c r="C2362" t="s">
        <v>32</v>
      </c>
      <c r="D2362" s="6">
        <v>2018</v>
      </c>
      <c r="E2362" s="8">
        <v>29451</v>
      </c>
      <c r="F2362" s="8">
        <v>31000</v>
      </c>
      <c r="G2362" s="8">
        <f t="shared" si="144"/>
        <v>1549</v>
      </c>
      <c r="H2362" s="6">
        <v>40000</v>
      </c>
      <c r="I2362" t="s">
        <v>41</v>
      </c>
      <c r="J2362" t="s">
        <v>72</v>
      </c>
      <c r="K2362" t="s">
        <v>36</v>
      </c>
      <c r="L2362" t="s">
        <v>1647</v>
      </c>
      <c r="M2362" t="s">
        <v>1647</v>
      </c>
      <c r="N2362" s="6">
        <v>3</v>
      </c>
      <c r="O2362" t="str">
        <f t="shared" si="145"/>
        <v>Normal</v>
      </c>
      <c r="P2362" t="str">
        <f t="shared" si="146"/>
        <v>Duplicate ID</v>
      </c>
      <c r="Q2362" t="str">
        <f t="shared" si="147"/>
        <v>25,000-30,000</v>
      </c>
      <c r="R2362" s="6">
        <f>IF(COUNTIF($A$2:A2362,A2362)=1,1,0)</f>
        <v>0</v>
      </c>
    </row>
    <row r="2363" spans="1:18" x14ac:dyDescent="0.25">
      <c r="A2363" s="6">
        <v>1176</v>
      </c>
      <c r="B2363" s="7">
        <v>45368</v>
      </c>
      <c r="C2363" t="s">
        <v>57</v>
      </c>
      <c r="D2363" s="6">
        <v>2020</v>
      </c>
      <c r="E2363" s="8">
        <v>11885</v>
      </c>
      <c r="F2363" s="8">
        <v>15000</v>
      </c>
      <c r="G2363" s="8">
        <f t="shared" si="144"/>
        <v>3115</v>
      </c>
      <c r="H2363" s="6">
        <v>120000</v>
      </c>
      <c r="I2363" t="s">
        <v>58</v>
      </c>
      <c r="J2363" t="s">
        <v>1647</v>
      </c>
      <c r="K2363" t="s">
        <v>1647</v>
      </c>
      <c r="L2363" t="s">
        <v>1647</v>
      </c>
      <c r="M2363" t="s">
        <v>90</v>
      </c>
      <c r="N2363" s="6">
        <v>0</v>
      </c>
      <c r="O2363" t="str">
        <f t="shared" si="145"/>
        <v>Normal</v>
      </c>
      <c r="P2363" t="str">
        <f t="shared" si="146"/>
        <v>Duplicate ID</v>
      </c>
      <c r="Q2363" t="str">
        <f t="shared" si="147"/>
        <v>10,000-14,999</v>
      </c>
      <c r="R2363" s="6">
        <f>IF(COUNTIF($A$2:A2363,A2363)=1,1,0)</f>
        <v>0</v>
      </c>
    </row>
    <row r="2364" spans="1:18" x14ac:dyDescent="0.25">
      <c r="A2364" s="6">
        <v>1216</v>
      </c>
      <c r="B2364" s="7">
        <v>44448</v>
      </c>
      <c r="C2364" t="s">
        <v>51</v>
      </c>
      <c r="D2364" s="6"/>
      <c r="E2364" s="8">
        <v>2224</v>
      </c>
      <c r="F2364" s="8">
        <v>7000</v>
      </c>
      <c r="G2364" s="8">
        <f t="shared" si="144"/>
        <v>4776</v>
      </c>
      <c r="H2364" s="6">
        <v>15000</v>
      </c>
      <c r="I2364" t="s">
        <v>69</v>
      </c>
      <c r="J2364" t="s">
        <v>72</v>
      </c>
      <c r="K2364" t="s">
        <v>1647</v>
      </c>
      <c r="L2364" t="s">
        <v>54</v>
      </c>
      <c r="M2364" t="s">
        <v>45</v>
      </c>
      <c r="N2364" s="6">
        <v>3</v>
      </c>
      <c r="O2364" t="str">
        <f t="shared" si="145"/>
        <v>Normal</v>
      </c>
      <c r="P2364" t="str">
        <f t="shared" si="146"/>
        <v>Duplicate ID</v>
      </c>
      <c r="Q2364" t="str">
        <f t="shared" si="147"/>
        <v>0-4,999</v>
      </c>
      <c r="R2364" s="6">
        <f>IF(COUNTIF($A$2:A2364,A2364)=1,1,0)</f>
        <v>0</v>
      </c>
    </row>
    <row r="2365" spans="1:18" x14ac:dyDescent="0.25">
      <c r="A2365" s="6">
        <v>1113</v>
      </c>
      <c r="B2365" s="7">
        <v>44741</v>
      </c>
      <c r="C2365" t="s">
        <v>1648</v>
      </c>
      <c r="D2365" s="6">
        <v>2021</v>
      </c>
      <c r="E2365" s="8">
        <v>2538</v>
      </c>
      <c r="F2365" s="8">
        <v>9000</v>
      </c>
      <c r="G2365" s="8">
        <f t="shared" si="144"/>
        <v>6462</v>
      </c>
      <c r="H2365" s="6">
        <v>40000</v>
      </c>
      <c r="I2365" t="s">
        <v>34</v>
      </c>
      <c r="J2365" t="s">
        <v>35</v>
      </c>
      <c r="K2365" t="s">
        <v>96</v>
      </c>
      <c r="L2365" t="s">
        <v>54</v>
      </c>
      <c r="M2365" t="s">
        <v>98</v>
      </c>
      <c r="N2365" s="6" t="s">
        <v>1647</v>
      </c>
      <c r="O2365" t="str">
        <f t="shared" si="145"/>
        <v>Normal</v>
      </c>
      <c r="P2365" t="str">
        <f t="shared" si="146"/>
        <v>Duplicate ID</v>
      </c>
      <c r="Q2365" t="str">
        <f t="shared" si="147"/>
        <v>0-4,999</v>
      </c>
      <c r="R2365" s="6">
        <f>IF(COUNTIF($A$2:A2365,A2365)=1,1,0)</f>
        <v>0</v>
      </c>
    </row>
    <row r="2366" spans="1:18" x14ac:dyDescent="0.25">
      <c r="A2366" s="6">
        <v>1379</v>
      </c>
      <c r="B2366" s="7">
        <v>44832</v>
      </c>
      <c r="C2366" t="s">
        <v>119</v>
      </c>
      <c r="D2366" s="6"/>
      <c r="E2366" s="8">
        <v>4708</v>
      </c>
      <c r="F2366" s="8">
        <v>9000</v>
      </c>
      <c r="G2366" s="8">
        <f t="shared" si="144"/>
        <v>4292</v>
      </c>
      <c r="H2366" s="6">
        <v>15000</v>
      </c>
      <c r="I2366" t="s">
        <v>1647</v>
      </c>
      <c r="J2366" t="s">
        <v>72</v>
      </c>
      <c r="K2366" t="s">
        <v>96</v>
      </c>
      <c r="L2366" t="s">
        <v>48</v>
      </c>
      <c r="M2366" t="s">
        <v>98</v>
      </c>
      <c r="N2366" s="6">
        <v>3</v>
      </c>
      <c r="O2366" t="str">
        <f t="shared" si="145"/>
        <v>Normal</v>
      </c>
      <c r="P2366" t="str">
        <f t="shared" si="146"/>
        <v>Duplicate ID</v>
      </c>
      <c r="Q2366" t="str">
        <f t="shared" si="147"/>
        <v>0-4,999</v>
      </c>
      <c r="R2366" s="6">
        <f>IF(COUNTIF($A$2:A2366,A2366)=1,1,0)</f>
        <v>0</v>
      </c>
    </row>
    <row r="2367" spans="1:18" x14ac:dyDescent="0.25">
      <c r="A2367" s="6">
        <v>1361</v>
      </c>
      <c r="B2367" s="7">
        <v>45348</v>
      </c>
      <c r="C2367" t="s">
        <v>79</v>
      </c>
      <c r="D2367" s="6">
        <v>2018</v>
      </c>
      <c r="E2367" s="8">
        <v>29617</v>
      </c>
      <c r="F2367" s="8">
        <v>31000</v>
      </c>
      <c r="G2367" s="8">
        <f t="shared" si="144"/>
        <v>1383</v>
      </c>
      <c r="H2367" s="6">
        <v>60000</v>
      </c>
      <c r="I2367" t="s">
        <v>69</v>
      </c>
      <c r="J2367" t="s">
        <v>35</v>
      </c>
      <c r="K2367" t="s">
        <v>1647</v>
      </c>
      <c r="L2367" t="s">
        <v>48</v>
      </c>
      <c r="M2367" t="s">
        <v>45</v>
      </c>
      <c r="N2367" s="6">
        <v>2</v>
      </c>
      <c r="O2367" t="str">
        <f t="shared" si="145"/>
        <v>Normal</v>
      </c>
      <c r="P2367" t="str">
        <f t="shared" si="146"/>
        <v>Duplicate ID</v>
      </c>
      <c r="Q2367" t="str">
        <f t="shared" si="147"/>
        <v>25,000-30,000</v>
      </c>
      <c r="R2367" s="6">
        <f>IF(COUNTIF($A$2:A2367,A2367)=1,1,0)</f>
        <v>0</v>
      </c>
    </row>
    <row r="2368" spans="1:18" x14ac:dyDescent="0.25">
      <c r="A2368" s="6">
        <v>1294</v>
      </c>
      <c r="B2368" s="7">
        <v>44324</v>
      </c>
      <c r="C2368" t="s">
        <v>51</v>
      </c>
      <c r="D2368" s="6">
        <v>2016</v>
      </c>
      <c r="E2368" s="8">
        <v>5021</v>
      </c>
      <c r="F2368" s="8">
        <v>9000</v>
      </c>
      <c r="G2368" s="8">
        <f t="shared" si="144"/>
        <v>3979</v>
      </c>
      <c r="H2368" s="6">
        <v>60000</v>
      </c>
      <c r="I2368" t="s">
        <v>58</v>
      </c>
      <c r="J2368" t="s">
        <v>1647</v>
      </c>
      <c r="K2368" t="s">
        <v>1647</v>
      </c>
      <c r="L2368" t="s">
        <v>1647</v>
      </c>
      <c r="M2368" t="s">
        <v>98</v>
      </c>
      <c r="N2368" s="6">
        <v>1</v>
      </c>
      <c r="O2368" t="str">
        <f t="shared" si="145"/>
        <v>Normal</v>
      </c>
      <c r="P2368" t="str">
        <f t="shared" si="146"/>
        <v>Duplicate ID</v>
      </c>
      <c r="Q2368" t="str">
        <f t="shared" si="147"/>
        <v>5,000-9,999</v>
      </c>
      <c r="R2368" s="6">
        <f>IF(COUNTIF($A$2:A2368,A2368)=1,1,0)</f>
        <v>0</v>
      </c>
    </row>
    <row r="2369" spans="1:18" x14ac:dyDescent="0.25">
      <c r="A2369" s="6">
        <v>1170</v>
      </c>
      <c r="B2369" s="7">
        <v>44487</v>
      </c>
      <c r="C2369" t="s">
        <v>1648</v>
      </c>
      <c r="D2369" s="6">
        <v>2019</v>
      </c>
      <c r="E2369" s="8">
        <v>14741</v>
      </c>
      <c r="F2369" s="8">
        <v>18000</v>
      </c>
      <c r="G2369" s="8">
        <f t="shared" si="144"/>
        <v>3259</v>
      </c>
      <c r="H2369" s="6">
        <v>120000</v>
      </c>
      <c r="I2369" t="s">
        <v>69</v>
      </c>
      <c r="J2369" t="s">
        <v>35</v>
      </c>
      <c r="K2369" t="s">
        <v>96</v>
      </c>
      <c r="L2369" t="s">
        <v>100</v>
      </c>
      <c r="M2369" t="s">
        <v>1647</v>
      </c>
      <c r="N2369" s="6">
        <v>3</v>
      </c>
      <c r="O2369" t="str">
        <f t="shared" si="145"/>
        <v>Normal</v>
      </c>
      <c r="P2369" t="str">
        <f t="shared" si="146"/>
        <v>Duplicate ID</v>
      </c>
      <c r="Q2369" t="str">
        <f t="shared" si="147"/>
        <v>10,000-14,999</v>
      </c>
      <c r="R2369" s="6">
        <f>IF(COUNTIF($A$2:A2369,A2369)=1,1,0)</f>
        <v>0</v>
      </c>
    </row>
    <row r="2370" spans="1:18" x14ac:dyDescent="0.25">
      <c r="A2370" s="6">
        <v>1063</v>
      </c>
      <c r="B2370" s="7">
        <v>44268</v>
      </c>
      <c r="C2370" t="s">
        <v>119</v>
      </c>
      <c r="D2370" s="6">
        <v>2018</v>
      </c>
      <c r="E2370" s="8">
        <v>22743</v>
      </c>
      <c r="F2370" s="8">
        <v>26000</v>
      </c>
      <c r="G2370" s="8">
        <f t="shared" ref="G2370:G2433" si="148">IF(OR(F2370="",E2370=""),"",F2370-E2370)</f>
        <v>3257</v>
      </c>
      <c r="H2370" s="6">
        <v>120000</v>
      </c>
      <c r="I2370" t="s">
        <v>34</v>
      </c>
      <c r="J2370" t="s">
        <v>35</v>
      </c>
      <c r="K2370" t="s">
        <v>1647</v>
      </c>
      <c r="L2370" t="s">
        <v>73</v>
      </c>
      <c r="M2370" t="s">
        <v>90</v>
      </c>
      <c r="N2370" s="6">
        <v>1</v>
      </c>
      <c r="O2370" t="str">
        <f t="shared" ref="O2370:O2433" si="149">IF(E2370&lt;1000,"Outlier","Normal")</f>
        <v>Normal</v>
      </c>
      <c r="P2370" t="str">
        <f t="shared" ref="P2370:P2433" si="150">IF(COUNTIF($A$2:$A$2501,A2370)&gt;1,"Duplicate ID","Unique ID")</f>
        <v>Duplicate ID</v>
      </c>
      <c r="Q2370" t="str">
        <f t="shared" ref="Q2370:Q2433" si="151">IF(E2370&lt;5000,"0-4,999",IF(E2370&lt;10000,"5,000-9,999",IF(E2370&lt;15000,"10,000-14,999",IF(E2370&lt;20000,"15,000-19,999",IF(E2370&lt;25000,"20,000-24,999","25,000-30,000")))))</f>
        <v>20,000-24,999</v>
      </c>
      <c r="R2370" s="6">
        <f>IF(COUNTIF($A$2:A2370,A2370)=1,1,0)</f>
        <v>0</v>
      </c>
    </row>
    <row r="2371" spans="1:18" x14ac:dyDescent="0.25">
      <c r="A2371" s="6">
        <v>1557</v>
      </c>
      <c r="B2371" s="7">
        <v>44379</v>
      </c>
      <c r="C2371" t="s">
        <v>40</v>
      </c>
      <c r="D2371" s="6">
        <v>2018</v>
      </c>
      <c r="E2371" s="8">
        <v>12411</v>
      </c>
      <c r="F2371" s="8">
        <v>15000</v>
      </c>
      <c r="G2371" s="8">
        <f t="shared" si="148"/>
        <v>2589</v>
      </c>
      <c r="H2371" s="6">
        <v>15000</v>
      </c>
      <c r="I2371" t="s">
        <v>58</v>
      </c>
      <c r="J2371" t="s">
        <v>35</v>
      </c>
      <c r="K2371" t="s">
        <v>36</v>
      </c>
      <c r="L2371" t="s">
        <v>73</v>
      </c>
      <c r="M2371" t="s">
        <v>126</v>
      </c>
      <c r="N2371" s="6">
        <v>0</v>
      </c>
      <c r="O2371" t="str">
        <f t="shared" si="149"/>
        <v>Normal</v>
      </c>
      <c r="P2371" t="str">
        <f t="shared" si="150"/>
        <v>Duplicate ID</v>
      </c>
      <c r="Q2371" t="str">
        <f t="shared" si="151"/>
        <v>10,000-14,999</v>
      </c>
      <c r="R2371" s="6">
        <f>IF(COUNTIF($A$2:A2371,A2371)=1,1,0)</f>
        <v>0</v>
      </c>
    </row>
    <row r="2372" spans="1:18" x14ac:dyDescent="0.25">
      <c r="A2372" s="6">
        <v>1513</v>
      </c>
      <c r="B2372" s="7">
        <v>44712</v>
      </c>
      <c r="C2372" t="s">
        <v>119</v>
      </c>
      <c r="D2372" s="6">
        <v>2018</v>
      </c>
      <c r="E2372" s="8">
        <v>3103</v>
      </c>
      <c r="F2372" s="8">
        <v>7000</v>
      </c>
      <c r="G2372" s="8">
        <f t="shared" si="148"/>
        <v>3897</v>
      </c>
      <c r="H2372" s="6">
        <v>60000</v>
      </c>
      <c r="I2372" t="s">
        <v>69</v>
      </c>
      <c r="J2372" t="s">
        <v>35</v>
      </c>
      <c r="K2372" t="s">
        <v>96</v>
      </c>
      <c r="L2372" t="s">
        <v>54</v>
      </c>
      <c r="M2372" t="s">
        <v>90</v>
      </c>
      <c r="N2372" s="6" t="s">
        <v>1647</v>
      </c>
      <c r="O2372" t="str">
        <f t="shared" si="149"/>
        <v>Normal</v>
      </c>
      <c r="P2372" t="str">
        <f t="shared" si="150"/>
        <v>Duplicate ID</v>
      </c>
      <c r="Q2372" t="str">
        <f t="shared" si="151"/>
        <v>0-4,999</v>
      </c>
      <c r="R2372" s="6">
        <f>IF(COUNTIF($A$2:A2372,A2372)=1,1,0)</f>
        <v>0</v>
      </c>
    </row>
    <row r="2373" spans="1:18" x14ac:dyDescent="0.25">
      <c r="A2373" s="6">
        <v>1421</v>
      </c>
      <c r="B2373" s="7">
        <v>44591</v>
      </c>
      <c r="C2373" t="s">
        <v>79</v>
      </c>
      <c r="D2373" s="6">
        <v>2015</v>
      </c>
      <c r="E2373" s="8">
        <v>18736</v>
      </c>
      <c r="F2373" s="8">
        <v>22000</v>
      </c>
      <c r="G2373" s="8">
        <f t="shared" si="148"/>
        <v>3264</v>
      </c>
      <c r="H2373" s="6">
        <v>15000</v>
      </c>
      <c r="I2373" t="s">
        <v>58</v>
      </c>
      <c r="J2373" t="s">
        <v>72</v>
      </c>
      <c r="K2373" t="s">
        <v>36</v>
      </c>
      <c r="L2373" t="s">
        <v>48</v>
      </c>
      <c r="M2373" t="s">
        <v>1647</v>
      </c>
      <c r="N2373" s="6">
        <v>1</v>
      </c>
      <c r="O2373" t="str">
        <f t="shared" si="149"/>
        <v>Normal</v>
      </c>
      <c r="P2373" t="str">
        <f t="shared" si="150"/>
        <v>Duplicate ID</v>
      </c>
      <c r="Q2373" t="str">
        <f t="shared" si="151"/>
        <v>15,000-19,999</v>
      </c>
      <c r="R2373" s="6">
        <f>IF(COUNTIF($A$2:A2373,A2373)=1,1,0)</f>
        <v>0</v>
      </c>
    </row>
    <row r="2374" spans="1:18" x14ac:dyDescent="0.25">
      <c r="A2374" s="6">
        <v>1434</v>
      </c>
      <c r="B2374" s="7">
        <v>45010</v>
      </c>
      <c r="C2374" t="s">
        <v>1648</v>
      </c>
      <c r="D2374" s="6">
        <v>2015</v>
      </c>
      <c r="E2374" s="8">
        <v>11141</v>
      </c>
      <c r="F2374" s="8">
        <v>15000</v>
      </c>
      <c r="G2374" s="8">
        <f t="shared" si="148"/>
        <v>3859</v>
      </c>
      <c r="H2374" s="6">
        <v>40000</v>
      </c>
      <c r="I2374" t="s">
        <v>58</v>
      </c>
      <c r="J2374" t="s">
        <v>1647</v>
      </c>
      <c r="K2374" t="s">
        <v>1647</v>
      </c>
      <c r="L2374" t="s">
        <v>54</v>
      </c>
      <c r="M2374" t="s">
        <v>1647</v>
      </c>
      <c r="N2374" s="6">
        <v>3</v>
      </c>
      <c r="O2374" t="str">
        <f t="shared" si="149"/>
        <v>Normal</v>
      </c>
      <c r="P2374" t="str">
        <f t="shared" si="150"/>
        <v>Duplicate ID</v>
      </c>
      <c r="Q2374" t="str">
        <f t="shared" si="151"/>
        <v>10,000-14,999</v>
      </c>
      <c r="R2374" s="6">
        <f>IF(COUNTIF($A$2:A2374,A2374)=1,1,0)</f>
        <v>0</v>
      </c>
    </row>
    <row r="2375" spans="1:18" x14ac:dyDescent="0.25">
      <c r="A2375" s="6">
        <v>1334</v>
      </c>
      <c r="B2375" s="7">
        <v>44485</v>
      </c>
      <c r="C2375" t="s">
        <v>119</v>
      </c>
      <c r="D2375" s="6">
        <v>2015</v>
      </c>
      <c r="E2375" s="8">
        <v>25627</v>
      </c>
      <c r="F2375" s="8">
        <v>31000</v>
      </c>
      <c r="G2375" s="8">
        <f t="shared" si="148"/>
        <v>5373</v>
      </c>
      <c r="H2375" s="6">
        <v>120000</v>
      </c>
      <c r="I2375" t="s">
        <v>41</v>
      </c>
      <c r="J2375" t="s">
        <v>1647</v>
      </c>
      <c r="K2375" t="s">
        <v>1647</v>
      </c>
      <c r="L2375" t="s">
        <v>73</v>
      </c>
      <c r="M2375" t="s">
        <v>98</v>
      </c>
      <c r="N2375" s="6">
        <v>1</v>
      </c>
      <c r="O2375" t="str">
        <f t="shared" si="149"/>
        <v>Normal</v>
      </c>
      <c r="P2375" t="str">
        <f t="shared" si="150"/>
        <v>Duplicate ID</v>
      </c>
      <c r="Q2375" t="str">
        <f t="shared" si="151"/>
        <v>25,000-30,000</v>
      </c>
      <c r="R2375" s="6">
        <f>IF(COUNTIF($A$2:A2375,A2375)=1,1,0)</f>
        <v>0</v>
      </c>
    </row>
    <row r="2376" spans="1:18" x14ac:dyDescent="0.25">
      <c r="A2376" s="6">
        <v>1172</v>
      </c>
      <c r="B2376" s="7">
        <v>45059</v>
      </c>
      <c r="C2376" t="s">
        <v>119</v>
      </c>
      <c r="D2376" s="6">
        <v>2020</v>
      </c>
      <c r="E2376" s="8">
        <v>13146</v>
      </c>
      <c r="F2376" s="8">
        <v>18000</v>
      </c>
      <c r="G2376" s="8">
        <f t="shared" si="148"/>
        <v>4854</v>
      </c>
      <c r="H2376" s="6">
        <v>120000</v>
      </c>
      <c r="I2376" t="s">
        <v>69</v>
      </c>
      <c r="J2376" t="s">
        <v>35</v>
      </c>
      <c r="K2376" t="s">
        <v>96</v>
      </c>
      <c r="L2376" t="s">
        <v>1647</v>
      </c>
      <c r="M2376" t="s">
        <v>45</v>
      </c>
      <c r="N2376" s="6">
        <v>0</v>
      </c>
      <c r="O2376" t="str">
        <f t="shared" si="149"/>
        <v>Normal</v>
      </c>
      <c r="P2376" t="str">
        <f t="shared" si="150"/>
        <v>Duplicate ID</v>
      </c>
      <c r="Q2376" t="str">
        <f t="shared" si="151"/>
        <v>10,000-14,999</v>
      </c>
      <c r="R2376" s="6">
        <f>IF(COUNTIF($A$2:A2376,A2376)=1,1,0)</f>
        <v>0</v>
      </c>
    </row>
    <row r="2377" spans="1:18" x14ac:dyDescent="0.25">
      <c r="A2377" s="6">
        <v>1578</v>
      </c>
      <c r="B2377" s="7">
        <v>45182</v>
      </c>
      <c r="C2377" t="s">
        <v>1648</v>
      </c>
      <c r="D2377" s="6"/>
      <c r="E2377" s="8">
        <v>26444</v>
      </c>
      <c r="F2377" s="8">
        <v>31000</v>
      </c>
      <c r="G2377" s="8">
        <f t="shared" si="148"/>
        <v>4556</v>
      </c>
      <c r="H2377" s="6">
        <v>25000</v>
      </c>
      <c r="I2377" t="s">
        <v>41</v>
      </c>
      <c r="J2377" t="s">
        <v>35</v>
      </c>
      <c r="K2377" t="s">
        <v>36</v>
      </c>
      <c r="L2377" t="s">
        <v>48</v>
      </c>
      <c r="M2377" t="s">
        <v>126</v>
      </c>
      <c r="N2377" s="6" t="s">
        <v>1647</v>
      </c>
      <c r="O2377" t="str">
        <f t="shared" si="149"/>
        <v>Normal</v>
      </c>
      <c r="P2377" t="str">
        <f t="shared" si="150"/>
        <v>Duplicate ID</v>
      </c>
      <c r="Q2377" t="str">
        <f t="shared" si="151"/>
        <v>25,000-30,000</v>
      </c>
      <c r="R2377" s="6">
        <f>IF(COUNTIF($A$2:A2377,A2377)=1,1,0)</f>
        <v>0</v>
      </c>
    </row>
    <row r="2378" spans="1:18" x14ac:dyDescent="0.25">
      <c r="A2378" s="6">
        <v>1009</v>
      </c>
      <c r="B2378" s="7">
        <v>44457</v>
      </c>
      <c r="C2378" t="s">
        <v>40</v>
      </c>
      <c r="D2378" s="6">
        <v>2018</v>
      </c>
      <c r="E2378" s="8">
        <v>15462</v>
      </c>
      <c r="F2378" s="8">
        <v>22000</v>
      </c>
      <c r="G2378" s="8">
        <f t="shared" si="148"/>
        <v>6538</v>
      </c>
      <c r="H2378" s="6">
        <v>120000</v>
      </c>
      <c r="I2378" t="s">
        <v>41</v>
      </c>
      <c r="J2378" t="s">
        <v>35</v>
      </c>
      <c r="K2378" t="s">
        <v>36</v>
      </c>
      <c r="L2378" t="s">
        <v>54</v>
      </c>
      <c r="M2378" t="s">
        <v>126</v>
      </c>
      <c r="N2378" s="6" t="s">
        <v>1647</v>
      </c>
      <c r="O2378" t="str">
        <f t="shared" si="149"/>
        <v>Normal</v>
      </c>
      <c r="P2378" t="str">
        <f t="shared" si="150"/>
        <v>Duplicate ID</v>
      </c>
      <c r="Q2378" t="str">
        <f t="shared" si="151"/>
        <v>15,000-19,999</v>
      </c>
      <c r="R2378" s="6">
        <f>IF(COUNTIF($A$2:A2378,A2378)=1,1,0)</f>
        <v>0</v>
      </c>
    </row>
    <row r="2379" spans="1:18" x14ac:dyDescent="0.25">
      <c r="A2379" s="6">
        <v>1175</v>
      </c>
      <c r="B2379" s="7">
        <v>44980</v>
      </c>
      <c r="C2379" t="s">
        <v>40</v>
      </c>
      <c r="D2379" s="6">
        <v>2018</v>
      </c>
      <c r="E2379" s="8">
        <v>11012</v>
      </c>
      <c r="F2379" s="8">
        <v>18000</v>
      </c>
      <c r="G2379" s="8">
        <f t="shared" si="148"/>
        <v>6988</v>
      </c>
      <c r="H2379" s="6">
        <v>40000</v>
      </c>
      <c r="I2379" t="s">
        <v>34</v>
      </c>
      <c r="J2379" t="s">
        <v>35</v>
      </c>
      <c r="K2379" t="s">
        <v>36</v>
      </c>
      <c r="L2379" t="s">
        <v>73</v>
      </c>
      <c r="M2379" t="s">
        <v>126</v>
      </c>
      <c r="N2379" s="6">
        <v>3</v>
      </c>
      <c r="O2379" t="str">
        <f t="shared" si="149"/>
        <v>Normal</v>
      </c>
      <c r="P2379" t="str">
        <f t="shared" si="150"/>
        <v>Duplicate ID</v>
      </c>
      <c r="Q2379" t="str">
        <f t="shared" si="151"/>
        <v>10,000-14,999</v>
      </c>
      <c r="R2379" s="6">
        <f>IF(COUNTIF($A$2:A2379,A2379)=1,1,0)</f>
        <v>0</v>
      </c>
    </row>
    <row r="2380" spans="1:18" x14ac:dyDescent="0.25">
      <c r="A2380" s="6">
        <v>1217</v>
      </c>
      <c r="B2380" s="7">
        <v>44679</v>
      </c>
      <c r="C2380" t="s">
        <v>51</v>
      </c>
      <c r="D2380" s="6">
        <v>2020</v>
      </c>
      <c r="E2380" s="8">
        <v>19822</v>
      </c>
      <c r="F2380" s="8">
        <v>26000</v>
      </c>
      <c r="G2380" s="8">
        <f t="shared" si="148"/>
        <v>6178</v>
      </c>
      <c r="H2380" s="6">
        <v>25000</v>
      </c>
      <c r="I2380" t="s">
        <v>69</v>
      </c>
      <c r="J2380" t="s">
        <v>35</v>
      </c>
      <c r="K2380" t="s">
        <v>36</v>
      </c>
      <c r="L2380" t="s">
        <v>48</v>
      </c>
      <c r="M2380" t="s">
        <v>90</v>
      </c>
      <c r="N2380" s="6">
        <v>2</v>
      </c>
      <c r="O2380" t="str">
        <f t="shared" si="149"/>
        <v>Normal</v>
      </c>
      <c r="P2380" t="str">
        <f t="shared" si="150"/>
        <v>Duplicate ID</v>
      </c>
      <c r="Q2380" t="str">
        <f t="shared" si="151"/>
        <v>15,000-19,999</v>
      </c>
      <c r="R2380" s="6">
        <f>IF(COUNTIF($A$2:A2380,A2380)=1,1,0)</f>
        <v>0</v>
      </c>
    </row>
    <row r="2381" spans="1:18" x14ac:dyDescent="0.25">
      <c r="A2381" s="6">
        <v>1054</v>
      </c>
      <c r="B2381" s="7">
        <v>44678</v>
      </c>
      <c r="C2381" t="s">
        <v>119</v>
      </c>
      <c r="D2381" s="6">
        <v>2018</v>
      </c>
      <c r="E2381" s="8">
        <v>7882</v>
      </c>
      <c r="F2381" s="8">
        <v>9000</v>
      </c>
      <c r="G2381" s="8">
        <f t="shared" si="148"/>
        <v>1118</v>
      </c>
      <c r="H2381" s="6">
        <v>40000</v>
      </c>
      <c r="I2381" t="s">
        <v>69</v>
      </c>
      <c r="J2381" t="s">
        <v>35</v>
      </c>
      <c r="K2381" t="s">
        <v>96</v>
      </c>
      <c r="L2381" t="s">
        <v>100</v>
      </c>
      <c r="M2381" t="s">
        <v>126</v>
      </c>
      <c r="N2381" s="6">
        <v>1</v>
      </c>
      <c r="O2381" t="str">
        <f t="shared" si="149"/>
        <v>Normal</v>
      </c>
      <c r="P2381" t="str">
        <f t="shared" si="150"/>
        <v>Duplicate ID</v>
      </c>
      <c r="Q2381" t="str">
        <f t="shared" si="151"/>
        <v>5,000-9,999</v>
      </c>
      <c r="R2381" s="6">
        <f>IF(COUNTIF($A$2:A2381,A2381)=1,1,0)</f>
        <v>0</v>
      </c>
    </row>
    <row r="2382" spans="1:18" x14ac:dyDescent="0.25">
      <c r="A2382" s="6">
        <v>1499</v>
      </c>
      <c r="B2382" s="7">
        <v>44297</v>
      </c>
      <c r="C2382" t="s">
        <v>51</v>
      </c>
      <c r="D2382" s="6">
        <v>2022</v>
      </c>
      <c r="E2382" s="8">
        <v>14162</v>
      </c>
      <c r="F2382" s="8">
        <v>18000</v>
      </c>
      <c r="G2382" s="8">
        <f t="shared" si="148"/>
        <v>3838</v>
      </c>
      <c r="H2382" s="6">
        <v>25000</v>
      </c>
      <c r="I2382" t="s">
        <v>58</v>
      </c>
      <c r="J2382" t="s">
        <v>35</v>
      </c>
      <c r="K2382" t="s">
        <v>36</v>
      </c>
      <c r="L2382" t="s">
        <v>1647</v>
      </c>
      <c r="M2382" t="s">
        <v>126</v>
      </c>
      <c r="N2382" s="6" t="s">
        <v>1647</v>
      </c>
      <c r="O2382" t="str">
        <f t="shared" si="149"/>
        <v>Normal</v>
      </c>
      <c r="P2382" t="str">
        <f t="shared" si="150"/>
        <v>Duplicate ID</v>
      </c>
      <c r="Q2382" t="str">
        <f t="shared" si="151"/>
        <v>10,000-14,999</v>
      </c>
      <c r="R2382" s="6">
        <f>IF(COUNTIF($A$2:A2382,A2382)=1,1,0)</f>
        <v>0</v>
      </c>
    </row>
    <row r="2383" spans="1:18" x14ac:dyDescent="0.25">
      <c r="A2383" s="6">
        <v>1309</v>
      </c>
      <c r="B2383" s="7">
        <v>44205</v>
      </c>
      <c r="C2383" t="s">
        <v>1648</v>
      </c>
      <c r="D2383" s="6">
        <v>2014</v>
      </c>
      <c r="E2383" s="8">
        <v>8790</v>
      </c>
      <c r="F2383" s="8">
        <v>12000</v>
      </c>
      <c r="G2383" s="8">
        <f t="shared" si="148"/>
        <v>3210</v>
      </c>
      <c r="H2383" s="6">
        <v>40000</v>
      </c>
      <c r="I2383" t="s">
        <v>41</v>
      </c>
      <c r="J2383" t="s">
        <v>72</v>
      </c>
      <c r="K2383" t="s">
        <v>96</v>
      </c>
      <c r="L2383" t="s">
        <v>73</v>
      </c>
      <c r="M2383" t="s">
        <v>1647</v>
      </c>
      <c r="N2383" s="6">
        <v>1</v>
      </c>
      <c r="O2383" t="str">
        <f t="shared" si="149"/>
        <v>Normal</v>
      </c>
      <c r="P2383" t="str">
        <f t="shared" si="150"/>
        <v>Duplicate ID</v>
      </c>
      <c r="Q2383" t="str">
        <f t="shared" si="151"/>
        <v>5,000-9,999</v>
      </c>
      <c r="R2383" s="6">
        <f>IF(COUNTIF($A$2:A2383,A2383)=1,1,0)</f>
        <v>0</v>
      </c>
    </row>
    <row r="2384" spans="1:18" x14ac:dyDescent="0.25">
      <c r="A2384" s="6">
        <v>1132</v>
      </c>
      <c r="B2384" s="7">
        <v>44691</v>
      </c>
      <c r="C2384" t="s">
        <v>119</v>
      </c>
      <c r="D2384" s="6">
        <v>2018</v>
      </c>
      <c r="E2384" s="8">
        <v>15352</v>
      </c>
      <c r="F2384" s="8">
        <v>22000</v>
      </c>
      <c r="G2384" s="8">
        <f t="shared" si="148"/>
        <v>6648</v>
      </c>
      <c r="H2384" s="6">
        <v>120000</v>
      </c>
      <c r="I2384" t="s">
        <v>58</v>
      </c>
      <c r="J2384" t="s">
        <v>72</v>
      </c>
      <c r="K2384" t="s">
        <v>96</v>
      </c>
      <c r="L2384" t="s">
        <v>54</v>
      </c>
      <c r="M2384" t="s">
        <v>45</v>
      </c>
      <c r="N2384" s="6">
        <v>2</v>
      </c>
      <c r="O2384" t="str">
        <f t="shared" si="149"/>
        <v>Normal</v>
      </c>
      <c r="P2384" t="str">
        <f t="shared" si="150"/>
        <v>Duplicate ID</v>
      </c>
      <c r="Q2384" t="str">
        <f t="shared" si="151"/>
        <v>15,000-19,999</v>
      </c>
      <c r="R2384" s="6">
        <f>IF(COUNTIF($A$2:A2384,A2384)=1,1,0)</f>
        <v>0</v>
      </c>
    </row>
    <row r="2385" spans="1:18" x14ac:dyDescent="0.25">
      <c r="A2385" s="6">
        <v>1365</v>
      </c>
      <c r="B2385" s="7">
        <v>45105</v>
      </c>
      <c r="C2385" t="s">
        <v>1648</v>
      </c>
      <c r="D2385" s="6">
        <v>2020</v>
      </c>
      <c r="E2385" s="8">
        <v>6958</v>
      </c>
      <c r="F2385" s="8">
        <v>9000</v>
      </c>
      <c r="G2385" s="8">
        <f t="shared" si="148"/>
        <v>2042</v>
      </c>
      <c r="H2385" s="6">
        <v>60000</v>
      </c>
      <c r="I2385" t="s">
        <v>41</v>
      </c>
      <c r="J2385" t="s">
        <v>72</v>
      </c>
      <c r="K2385" t="s">
        <v>96</v>
      </c>
      <c r="L2385" t="s">
        <v>73</v>
      </c>
      <c r="M2385" t="s">
        <v>90</v>
      </c>
      <c r="N2385" s="6">
        <v>3</v>
      </c>
      <c r="O2385" t="str">
        <f t="shared" si="149"/>
        <v>Normal</v>
      </c>
      <c r="P2385" t="str">
        <f t="shared" si="150"/>
        <v>Duplicate ID</v>
      </c>
      <c r="Q2385" t="str">
        <f t="shared" si="151"/>
        <v>5,000-9,999</v>
      </c>
      <c r="R2385" s="6">
        <f>IF(COUNTIF($A$2:A2385,A2385)=1,1,0)</f>
        <v>0</v>
      </c>
    </row>
    <row r="2386" spans="1:18" x14ac:dyDescent="0.25">
      <c r="A2386" s="6">
        <v>1594</v>
      </c>
      <c r="B2386" s="7">
        <v>44702</v>
      </c>
      <c r="C2386" t="s">
        <v>1648</v>
      </c>
      <c r="D2386" s="6">
        <v>2020</v>
      </c>
      <c r="E2386" s="8">
        <v>2403</v>
      </c>
      <c r="F2386" s="8">
        <v>9000</v>
      </c>
      <c r="G2386" s="8">
        <f t="shared" si="148"/>
        <v>6597</v>
      </c>
      <c r="H2386" s="6">
        <v>40000</v>
      </c>
      <c r="I2386" t="s">
        <v>58</v>
      </c>
      <c r="J2386" t="s">
        <v>1647</v>
      </c>
      <c r="K2386" t="s">
        <v>96</v>
      </c>
      <c r="L2386" t="s">
        <v>100</v>
      </c>
      <c r="M2386" t="s">
        <v>98</v>
      </c>
      <c r="N2386" s="6">
        <v>0</v>
      </c>
      <c r="O2386" t="str">
        <f t="shared" si="149"/>
        <v>Normal</v>
      </c>
      <c r="P2386" t="str">
        <f t="shared" si="150"/>
        <v>Duplicate ID</v>
      </c>
      <c r="Q2386" t="str">
        <f t="shared" si="151"/>
        <v>0-4,999</v>
      </c>
      <c r="R2386" s="6">
        <f>IF(COUNTIF($A$2:A2386,A2386)=1,1,0)</f>
        <v>0</v>
      </c>
    </row>
    <row r="2387" spans="1:18" x14ac:dyDescent="0.25">
      <c r="A2387" s="6">
        <v>1212</v>
      </c>
      <c r="B2387" s="7">
        <v>44398</v>
      </c>
      <c r="C2387" t="s">
        <v>32</v>
      </c>
      <c r="D2387" s="6">
        <v>2015</v>
      </c>
      <c r="E2387" s="8">
        <v>15744</v>
      </c>
      <c r="F2387" s="8">
        <v>22000</v>
      </c>
      <c r="G2387" s="8">
        <f t="shared" si="148"/>
        <v>6256</v>
      </c>
      <c r="H2387" s="6">
        <v>15000</v>
      </c>
      <c r="I2387" t="s">
        <v>58</v>
      </c>
      <c r="J2387" t="s">
        <v>1647</v>
      </c>
      <c r="K2387" t="s">
        <v>36</v>
      </c>
      <c r="L2387" t="s">
        <v>48</v>
      </c>
      <c r="M2387" t="s">
        <v>90</v>
      </c>
      <c r="N2387" s="6">
        <v>3</v>
      </c>
      <c r="O2387" t="str">
        <f t="shared" si="149"/>
        <v>Normal</v>
      </c>
      <c r="P2387" t="str">
        <f t="shared" si="150"/>
        <v>Duplicate ID</v>
      </c>
      <c r="Q2387" t="str">
        <f t="shared" si="151"/>
        <v>15,000-19,999</v>
      </c>
      <c r="R2387" s="6">
        <f>IF(COUNTIF($A$2:A2387,A2387)=1,1,0)</f>
        <v>0</v>
      </c>
    </row>
    <row r="2388" spans="1:18" x14ac:dyDescent="0.25">
      <c r="A2388" s="6">
        <v>1193</v>
      </c>
      <c r="B2388" s="7">
        <v>45166</v>
      </c>
      <c r="C2388" t="s">
        <v>51</v>
      </c>
      <c r="D2388" s="6">
        <v>2022</v>
      </c>
      <c r="E2388" s="8">
        <v>7343</v>
      </c>
      <c r="F2388" s="8">
        <v>12000</v>
      </c>
      <c r="G2388" s="8">
        <f t="shared" si="148"/>
        <v>4657</v>
      </c>
      <c r="H2388" s="6">
        <v>40000</v>
      </c>
      <c r="I2388" t="s">
        <v>58</v>
      </c>
      <c r="J2388" t="s">
        <v>1647</v>
      </c>
      <c r="K2388" t="s">
        <v>1647</v>
      </c>
      <c r="L2388" t="s">
        <v>73</v>
      </c>
      <c r="M2388" t="s">
        <v>90</v>
      </c>
      <c r="N2388" s="6">
        <v>3</v>
      </c>
      <c r="O2388" t="str">
        <f t="shared" si="149"/>
        <v>Normal</v>
      </c>
      <c r="P2388" t="str">
        <f t="shared" si="150"/>
        <v>Duplicate ID</v>
      </c>
      <c r="Q2388" t="str">
        <f t="shared" si="151"/>
        <v>5,000-9,999</v>
      </c>
      <c r="R2388" s="6">
        <f>IF(COUNTIF($A$2:A2388,A2388)=1,1,0)</f>
        <v>0</v>
      </c>
    </row>
    <row r="2389" spans="1:18" x14ac:dyDescent="0.25">
      <c r="A2389" s="6">
        <v>1248</v>
      </c>
      <c r="B2389" s="7">
        <v>44906</v>
      </c>
      <c r="C2389" t="s">
        <v>32</v>
      </c>
      <c r="D2389" s="6"/>
      <c r="E2389" s="8">
        <v>4383</v>
      </c>
      <c r="F2389" s="8">
        <v>9000</v>
      </c>
      <c r="G2389" s="8">
        <f t="shared" si="148"/>
        <v>4617</v>
      </c>
      <c r="H2389" s="6">
        <v>25000</v>
      </c>
      <c r="I2389" t="s">
        <v>41</v>
      </c>
      <c r="J2389" t="s">
        <v>72</v>
      </c>
      <c r="K2389" t="s">
        <v>36</v>
      </c>
      <c r="L2389" t="s">
        <v>73</v>
      </c>
      <c r="M2389" t="s">
        <v>126</v>
      </c>
      <c r="N2389" s="6">
        <v>3</v>
      </c>
      <c r="O2389" t="str">
        <f t="shared" si="149"/>
        <v>Normal</v>
      </c>
      <c r="P2389" t="str">
        <f t="shared" si="150"/>
        <v>Duplicate ID</v>
      </c>
      <c r="Q2389" t="str">
        <f t="shared" si="151"/>
        <v>0-4,999</v>
      </c>
      <c r="R2389" s="6">
        <f>IF(COUNTIF($A$2:A2389,A2389)=1,1,0)</f>
        <v>0</v>
      </c>
    </row>
    <row r="2390" spans="1:18" x14ac:dyDescent="0.25">
      <c r="A2390" s="6">
        <v>1090</v>
      </c>
      <c r="B2390" s="7">
        <v>44863</v>
      </c>
      <c r="C2390" t="s">
        <v>57</v>
      </c>
      <c r="D2390" s="6">
        <v>2016</v>
      </c>
      <c r="E2390" s="8">
        <v>2793</v>
      </c>
      <c r="F2390" s="8">
        <v>7000</v>
      </c>
      <c r="G2390" s="8">
        <f t="shared" si="148"/>
        <v>4207</v>
      </c>
      <c r="H2390" s="6">
        <v>120000</v>
      </c>
      <c r="I2390" t="s">
        <v>58</v>
      </c>
      <c r="J2390" t="s">
        <v>72</v>
      </c>
      <c r="K2390" t="s">
        <v>96</v>
      </c>
      <c r="L2390" t="s">
        <v>100</v>
      </c>
      <c r="M2390" t="s">
        <v>98</v>
      </c>
      <c r="N2390" s="6">
        <v>2</v>
      </c>
      <c r="O2390" t="str">
        <f t="shared" si="149"/>
        <v>Normal</v>
      </c>
      <c r="P2390" t="str">
        <f t="shared" si="150"/>
        <v>Duplicate ID</v>
      </c>
      <c r="Q2390" t="str">
        <f t="shared" si="151"/>
        <v>0-4,999</v>
      </c>
      <c r="R2390" s="6">
        <f>IF(COUNTIF($A$2:A2390,A2390)=1,1,0)</f>
        <v>0</v>
      </c>
    </row>
    <row r="2391" spans="1:18" x14ac:dyDescent="0.25">
      <c r="A2391" s="6">
        <v>1095</v>
      </c>
      <c r="B2391" s="7">
        <v>45053</v>
      </c>
      <c r="C2391" t="s">
        <v>51</v>
      </c>
      <c r="D2391" s="6">
        <v>2018</v>
      </c>
      <c r="E2391" s="8">
        <v>9385</v>
      </c>
      <c r="F2391" s="8">
        <v>15000</v>
      </c>
      <c r="G2391" s="8">
        <f t="shared" si="148"/>
        <v>5615</v>
      </c>
      <c r="H2391" s="6">
        <v>25000</v>
      </c>
      <c r="I2391" t="s">
        <v>41</v>
      </c>
      <c r="J2391" t="s">
        <v>35</v>
      </c>
      <c r="K2391" t="s">
        <v>96</v>
      </c>
      <c r="L2391" t="s">
        <v>100</v>
      </c>
      <c r="M2391" t="s">
        <v>90</v>
      </c>
      <c r="N2391" s="6">
        <v>3</v>
      </c>
      <c r="O2391" t="str">
        <f t="shared" si="149"/>
        <v>Normal</v>
      </c>
      <c r="P2391" t="str">
        <f t="shared" si="150"/>
        <v>Duplicate ID</v>
      </c>
      <c r="Q2391" t="str">
        <f t="shared" si="151"/>
        <v>5,000-9,999</v>
      </c>
      <c r="R2391" s="6">
        <f>IF(COUNTIF($A$2:A2391,A2391)=1,1,0)</f>
        <v>0</v>
      </c>
    </row>
    <row r="2392" spans="1:18" x14ac:dyDescent="0.25">
      <c r="A2392" s="6">
        <v>1520</v>
      </c>
      <c r="B2392" s="7">
        <v>45142</v>
      </c>
      <c r="C2392" t="s">
        <v>79</v>
      </c>
      <c r="D2392" s="6">
        <v>2022</v>
      </c>
      <c r="E2392" s="8">
        <v>12713</v>
      </c>
      <c r="F2392" s="8">
        <v>15000</v>
      </c>
      <c r="G2392" s="8">
        <f t="shared" si="148"/>
        <v>2287</v>
      </c>
      <c r="H2392" s="6">
        <v>40000</v>
      </c>
      <c r="I2392" t="s">
        <v>1647</v>
      </c>
      <c r="J2392" t="s">
        <v>1647</v>
      </c>
      <c r="K2392" t="s">
        <v>96</v>
      </c>
      <c r="L2392" t="s">
        <v>48</v>
      </c>
      <c r="M2392" t="s">
        <v>126</v>
      </c>
      <c r="N2392" s="6">
        <v>0</v>
      </c>
      <c r="O2392" t="str">
        <f t="shared" si="149"/>
        <v>Normal</v>
      </c>
      <c r="P2392" t="str">
        <f t="shared" si="150"/>
        <v>Duplicate ID</v>
      </c>
      <c r="Q2392" t="str">
        <f t="shared" si="151"/>
        <v>10,000-14,999</v>
      </c>
      <c r="R2392" s="6">
        <f>IF(COUNTIF($A$2:A2392,A2392)=1,1,0)</f>
        <v>0</v>
      </c>
    </row>
    <row r="2393" spans="1:18" x14ac:dyDescent="0.25">
      <c r="A2393" s="6">
        <v>1044</v>
      </c>
      <c r="B2393" s="7">
        <v>44226</v>
      </c>
      <c r="C2393" t="s">
        <v>57</v>
      </c>
      <c r="D2393" s="6">
        <v>2017</v>
      </c>
      <c r="E2393" s="8">
        <v>20677</v>
      </c>
      <c r="F2393" s="8">
        <v>22000</v>
      </c>
      <c r="G2393" s="8">
        <f t="shared" si="148"/>
        <v>1323</v>
      </c>
      <c r="H2393" s="6">
        <v>25000</v>
      </c>
      <c r="I2393" t="s">
        <v>58</v>
      </c>
      <c r="J2393" t="s">
        <v>35</v>
      </c>
      <c r="K2393" t="s">
        <v>96</v>
      </c>
      <c r="L2393" t="s">
        <v>1647</v>
      </c>
      <c r="M2393" t="s">
        <v>98</v>
      </c>
      <c r="N2393" s="6">
        <v>3</v>
      </c>
      <c r="O2393" t="str">
        <f t="shared" si="149"/>
        <v>Normal</v>
      </c>
      <c r="P2393" t="str">
        <f t="shared" si="150"/>
        <v>Duplicate ID</v>
      </c>
      <c r="Q2393" t="str">
        <f t="shared" si="151"/>
        <v>20,000-24,999</v>
      </c>
      <c r="R2393" s="6">
        <f>IF(COUNTIF($A$2:A2393,A2393)=1,1,0)</f>
        <v>0</v>
      </c>
    </row>
    <row r="2394" spans="1:18" x14ac:dyDescent="0.25">
      <c r="A2394" s="6">
        <v>1423</v>
      </c>
      <c r="B2394" s="7">
        <v>45326</v>
      </c>
      <c r="C2394" t="s">
        <v>1648</v>
      </c>
      <c r="D2394" s="6">
        <v>2019</v>
      </c>
      <c r="E2394" s="8">
        <v>13972</v>
      </c>
      <c r="F2394" s="8">
        <v>18000</v>
      </c>
      <c r="G2394" s="8">
        <f t="shared" si="148"/>
        <v>4028</v>
      </c>
      <c r="H2394" s="6">
        <v>60000</v>
      </c>
      <c r="I2394" t="s">
        <v>1647</v>
      </c>
      <c r="J2394" t="s">
        <v>35</v>
      </c>
      <c r="K2394" t="s">
        <v>36</v>
      </c>
      <c r="L2394" t="s">
        <v>54</v>
      </c>
      <c r="M2394" t="s">
        <v>45</v>
      </c>
      <c r="N2394" s="6">
        <v>3</v>
      </c>
      <c r="O2394" t="str">
        <f t="shared" si="149"/>
        <v>Normal</v>
      </c>
      <c r="P2394" t="str">
        <f t="shared" si="150"/>
        <v>Duplicate ID</v>
      </c>
      <c r="Q2394" t="str">
        <f t="shared" si="151"/>
        <v>10,000-14,999</v>
      </c>
      <c r="R2394" s="6">
        <f>IF(COUNTIF($A$2:A2394,A2394)=1,1,0)</f>
        <v>0</v>
      </c>
    </row>
    <row r="2395" spans="1:18" x14ac:dyDescent="0.25">
      <c r="A2395" s="6">
        <v>1362</v>
      </c>
      <c r="B2395" s="7">
        <v>44972</v>
      </c>
      <c r="C2395" t="s">
        <v>57</v>
      </c>
      <c r="D2395" s="6">
        <v>2017</v>
      </c>
      <c r="E2395" s="8">
        <v>8649</v>
      </c>
      <c r="F2395" s="8">
        <v>12000</v>
      </c>
      <c r="G2395" s="8">
        <f t="shared" si="148"/>
        <v>3351</v>
      </c>
      <c r="H2395" s="6">
        <v>120000</v>
      </c>
      <c r="I2395" t="s">
        <v>69</v>
      </c>
      <c r="J2395" t="s">
        <v>35</v>
      </c>
      <c r="K2395" t="s">
        <v>96</v>
      </c>
      <c r="L2395" t="s">
        <v>54</v>
      </c>
      <c r="M2395" t="s">
        <v>98</v>
      </c>
      <c r="N2395" s="6">
        <v>1</v>
      </c>
      <c r="O2395" t="str">
        <f t="shared" si="149"/>
        <v>Normal</v>
      </c>
      <c r="P2395" t="str">
        <f t="shared" si="150"/>
        <v>Duplicate ID</v>
      </c>
      <c r="Q2395" t="str">
        <f t="shared" si="151"/>
        <v>5,000-9,999</v>
      </c>
      <c r="R2395" s="6">
        <f>IF(COUNTIF($A$2:A2395,A2395)=1,1,0)</f>
        <v>0</v>
      </c>
    </row>
    <row r="2396" spans="1:18" x14ac:dyDescent="0.25">
      <c r="A2396" s="6">
        <v>1321</v>
      </c>
      <c r="B2396" s="7">
        <v>44614</v>
      </c>
      <c r="C2396" t="s">
        <v>51</v>
      </c>
      <c r="D2396" s="6">
        <v>2015</v>
      </c>
      <c r="E2396" s="8">
        <v>25945</v>
      </c>
      <c r="F2396" s="8">
        <v>31000</v>
      </c>
      <c r="G2396" s="8">
        <f t="shared" si="148"/>
        <v>5055</v>
      </c>
      <c r="H2396" s="6">
        <v>40000</v>
      </c>
      <c r="I2396" t="s">
        <v>69</v>
      </c>
      <c r="J2396" t="s">
        <v>35</v>
      </c>
      <c r="K2396" t="s">
        <v>96</v>
      </c>
      <c r="L2396" t="s">
        <v>48</v>
      </c>
      <c r="M2396" t="s">
        <v>98</v>
      </c>
      <c r="N2396" s="6">
        <v>2</v>
      </c>
      <c r="O2396" t="str">
        <f t="shared" si="149"/>
        <v>Normal</v>
      </c>
      <c r="P2396" t="str">
        <f t="shared" si="150"/>
        <v>Duplicate ID</v>
      </c>
      <c r="Q2396" t="str">
        <f t="shared" si="151"/>
        <v>25,000-30,000</v>
      </c>
      <c r="R2396" s="6">
        <f>IF(COUNTIF($A$2:A2396,A2396)=1,1,0)</f>
        <v>0</v>
      </c>
    </row>
    <row r="2397" spans="1:18" x14ac:dyDescent="0.25">
      <c r="A2397" s="6">
        <v>1042</v>
      </c>
      <c r="B2397" s="7">
        <v>44222</v>
      </c>
      <c r="C2397" t="s">
        <v>79</v>
      </c>
      <c r="D2397" s="6"/>
      <c r="E2397" s="8">
        <v>21627</v>
      </c>
      <c r="F2397" s="8">
        <v>26000</v>
      </c>
      <c r="G2397" s="8">
        <f t="shared" si="148"/>
        <v>4373</v>
      </c>
      <c r="H2397" s="6">
        <v>40000</v>
      </c>
      <c r="I2397" t="s">
        <v>58</v>
      </c>
      <c r="J2397" t="s">
        <v>35</v>
      </c>
      <c r="K2397" t="s">
        <v>96</v>
      </c>
      <c r="L2397" t="s">
        <v>54</v>
      </c>
      <c r="M2397" t="s">
        <v>90</v>
      </c>
      <c r="N2397" s="6">
        <v>1</v>
      </c>
      <c r="O2397" t="str">
        <f t="shared" si="149"/>
        <v>Normal</v>
      </c>
      <c r="P2397" t="str">
        <f t="shared" si="150"/>
        <v>Duplicate ID</v>
      </c>
      <c r="Q2397" t="str">
        <f t="shared" si="151"/>
        <v>20,000-24,999</v>
      </c>
      <c r="R2397" s="6">
        <f>IF(COUNTIF($A$2:A2397,A2397)=1,1,0)</f>
        <v>0</v>
      </c>
    </row>
    <row r="2398" spans="1:18" x14ac:dyDescent="0.25">
      <c r="A2398" s="6">
        <v>1008</v>
      </c>
      <c r="B2398" s="7">
        <v>44377</v>
      </c>
      <c r="C2398" t="s">
        <v>79</v>
      </c>
      <c r="D2398" s="6">
        <v>2018</v>
      </c>
      <c r="E2398" s="8">
        <v>15856</v>
      </c>
      <c r="F2398" s="8">
        <v>18000</v>
      </c>
      <c r="G2398" s="8">
        <f t="shared" si="148"/>
        <v>2144</v>
      </c>
      <c r="H2398" s="6">
        <v>120000</v>
      </c>
      <c r="I2398" t="s">
        <v>69</v>
      </c>
      <c r="J2398" t="s">
        <v>35</v>
      </c>
      <c r="K2398" t="s">
        <v>96</v>
      </c>
      <c r="L2398" t="s">
        <v>54</v>
      </c>
      <c r="M2398" t="s">
        <v>45</v>
      </c>
      <c r="N2398" s="6">
        <v>3</v>
      </c>
      <c r="O2398" t="str">
        <f t="shared" si="149"/>
        <v>Normal</v>
      </c>
      <c r="P2398" t="str">
        <f t="shared" si="150"/>
        <v>Duplicate ID</v>
      </c>
      <c r="Q2398" t="str">
        <f t="shared" si="151"/>
        <v>15,000-19,999</v>
      </c>
      <c r="R2398" s="6">
        <f>IF(COUNTIF($A$2:A2398,A2398)=1,1,0)</f>
        <v>0</v>
      </c>
    </row>
    <row r="2399" spans="1:18" x14ac:dyDescent="0.25">
      <c r="A2399" s="6">
        <v>1496</v>
      </c>
      <c r="B2399" s="7">
        <v>44667</v>
      </c>
      <c r="C2399" t="s">
        <v>79</v>
      </c>
      <c r="D2399" s="6">
        <v>2017</v>
      </c>
      <c r="E2399" s="8">
        <v>28932</v>
      </c>
      <c r="F2399" s="8">
        <v>31000</v>
      </c>
      <c r="G2399" s="8">
        <f t="shared" si="148"/>
        <v>2068</v>
      </c>
      <c r="H2399" s="6">
        <v>120000</v>
      </c>
      <c r="I2399" t="s">
        <v>58</v>
      </c>
      <c r="J2399" t="s">
        <v>72</v>
      </c>
      <c r="K2399" t="s">
        <v>96</v>
      </c>
      <c r="L2399" t="s">
        <v>100</v>
      </c>
      <c r="M2399" t="s">
        <v>126</v>
      </c>
      <c r="N2399" s="6">
        <v>1</v>
      </c>
      <c r="O2399" t="str">
        <f t="shared" si="149"/>
        <v>Normal</v>
      </c>
      <c r="P2399" t="str">
        <f t="shared" si="150"/>
        <v>Duplicate ID</v>
      </c>
      <c r="Q2399" t="str">
        <f t="shared" si="151"/>
        <v>25,000-30,000</v>
      </c>
      <c r="R2399" s="6">
        <f>IF(COUNTIF($A$2:A2399,A2399)=1,1,0)</f>
        <v>0</v>
      </c>
    </row>
    <row r="2400" spans="1:18" x14ac:dyDescent="0.25">
      <c r="A2400" s="6">
        <v>1183</v>
      </c>
      <c r="B2400" s="7">
        <v>44514</v>
      </c>
      <c r="C2400" t="s">
        <v>1648</v>
      </c>
      <c r="D2400" s="6">
        <v>2014</v>
      </c>
      <c r="E2400" s="8">
        <v>4014</v>
      </c>
      <c r="F2400" s="8">
        <v>9000</v>
      </c>
      <c r="G2400" s="8">
        <f t="shared" si="148"/>
        <v>4986</v>
      </c>
      <c r="H2400" s="6">
        <v>25000</v>
      </c>
      <c r="I2400" t="s">
        <v>58</v>
      </c>
      <c r="J2400" t="s">
        <v>72</v>
      </c>
      <c r="K2400" t="s">
        <v>36</v>
      </c>
      <c r="L2400" t="s">
        <v>54</v>
      </c>
      <c r="M2400" t="s">
        <v>90</v>
      </c>
      <c r="N2400" s="6" t="s">
        <v>1647</v>
      </c>
      <c r="O2400" t="str">
        <f t="shared" si="149"/>
        <v>Normal</v>
      </c>
      <c r="P2400" t="str">
        <f t="shared" si="150"/>
        <v>Duplicate ID</v>
      </c>
      <c r="Q2400" t="str">
        <f t="shared" si="151"/>
        <v>0-4,999</v>
      </c>
      <c r="R2400" s="6">
        <f>IF(COUNTIF($A$2:A2400,A2400)=1,1,0)</f>
        <v>0</v>
      </c>
    </row>
    <row r="2401" spans="1:18" x14ac:dyDescent="0.25">
      <c r="A2401" s="6">
        <v>1581</v>
      </c>
      <c r="B2401" s="7">
        <v>44822</v>
      </c>
      <c r="C2401" t="s">
        <v>32</v>
      </c>
      <c r="D2401" s="6">
        <v>2016</v>
      </c>
      <c r="E2401" s="8">
        <v>20288</v>
      </c>
      <c r="F2401" s="8">
        <v>22000</v>
      </c>
      <c r="G2401" s="8">
        <f t="shared" si="148"/>
        <v>1712</v>
      </c>
      <c r="H2401" s="6">
        <v>15000</v>
      </c>
      <c r="I2401" t="s">
        <v>1647</v>
      </c>
      <c r="J2401" t="s">
        <v>72</v>
      </c>
      <c r="K2401" t="s">
        <v>1647</v>
      </c>
      <c r="L2401" t="s">
        <v>54</v>
      </c>
      <c r="M2401" t="s">
        <v>90</v>
      </c>
      <c r="N2401" s="6" t="s">
        <v>1647</v>
      </c>
      <c r="O2401" t="str">
        <f t="shared" si="149"/>
        <v>Normal</v>
      </c>
      <c r="P2401" t="str">
        <f t="shared" si="150"/>
        <v>Duplicate ID</v>
      </c>
      <c r="Q2401" t="str">
        <f t="shared" si="151"/>
        <v>20,000-24,999</v>
      </c>
      <c r="R2401" s="6">
        <f>IF(COUNTIF($A$2:A2401,A2401)=1,1,0)</f>
        <v>0</v>
      </c>
    </row>
    <row r="2402" spans="1:18" x14ac:dyDescent="0.25">
      <c r="A2402" s="6">
        <v>1510</v>
      </c>
      <c r="B2402" s="7">
        <v>44799</v>
      </c>
      <c r="C2402" t="s">
        <v>40</v>
      </c>
      <c r="D2402" s="6">
        <v>2022</v>
      </c>
      <c r="E2402" s="8">
        <v>28260</v>
      </c>
      <c r="F2402" s="8">
        <v>31000</v>
      </c>
      <c r="G2402" s="8">
        <f t="shared" si="148"/>
        <v>2740</v>
      </c>
      <c r="H2402" s="6">
        <v>80000</v>
      </c>
      <c r="I2402" t="s">
        <v>1647</v>
      </c>
      <c r="J2402" t="s">
        <v>1647</v>
      </c>
      <c r="K2402" t="s">
        <v>36</v>
      </c>
      <c r="L2402" t="s">
        <v>54</v>
      </c>
      <c r="M2402" t="s">
        <v>45</v>
      </c>
      <c r="N2402" s="6">
        <v>3</v>
      </c>
      <c r="O2402" t="str">
        <f t="shared" si="149"/>
        <v>Normal</v>
      </c>
      <c r="P2402" t="str">
        <f t="shared" si="150"/>
        <v>Duplicate ID</v>
      </c>
      <c r="Q2402" t="str">
        <f t="shared" si="151"/>
        <v>25,000-30,000</v>
      </c>
      <c r="R2402" s="6">
        <f>IF(COUNTIF($A$2:A2402,A2402)=1,1,0)</f>
        <v>0</v>
      </c>
    </row>
    <row r="2403" spans="1:18" x14ac:dyDescent="0.25">
      <c r="A2403" s="6">
        <v>1227</v>
      </c>
      <c r="B2403" s="7">
        <v>45347</v>
      </c>
      <c r="C2403" t="s">
        <v>1648</v>
      </c>
      <c r="D2403" s="6">
        <v>2020</v>
      </c>
      <c r="E2403" s="8">
        <v>22472</v>
      </c>
      <c r="F2403" s="8">
        <v>26000</v>
      </c>
      <c r="G2403" s="8">
        <f t="shared" si="148"/>
        <v>3528</v>
      </c>
      <c r="H2403" s="6">
        <v>80000</v>
      </c>
      <c r="I2403" t="s">
        <v>69</v>
      </c>
      <c r="J2403" t="s">
        <v>35</v>
      </c>
      <c r="K2403" t="s">
        <v>1647</v>
      </c>
      <c r="L2403" t="s">
        <v>48</v>
      </c>
      <c r="M2403" t="s">
        <v>1647</v>
      </c>
      <c r="N2403" s="6">
        <v>1</v>
      </c>
      <c r="O2403" t="str">
        <f t="shared" si="149"/>
        <v>Normal</v>
      </c>
      <c r="P2403" t="str">
        <f t="shared" si="150"/>
        <v>Duplicate ID</v>
      </c>
      <c r="Q2403" t="str">
        <f t="shared" si="151"/>
        <v>20,000-24,999</v>
      </c>
      <c r="R2403" s="6">
        <f>IF(COUNTIF($A$2:A2403,A2403)=1,1,0)</f>
        <v>0</v>
      </c>
    </row>
    <row r="2404" spans="1:18" x14ac:dyDescent="0.25">
      <c r="A2404" s="6">
        <v>1342</v>
      </c>
      <c r="B2404" s="7">
        <v>44567</v>
      </c>
      <c r="C2404" t="s">
        <v>79</v>
      </c>
      <c r="D2404" s="6">
        <v>2014</v>
      </c>
      <c r="E2404" s="8">
        <v>16255</v>
      </c>
      <c r="F2404" s="8">
        <v>22000</v>
      </c>
      <c r="G2404" s="8">
        <f t="shared" si="148"/>
        <v>5745</v>
      </c>
      <c r="H2404" s="6">
        <v>40000</v>
      </c>
      <c r="I2404" t="s">
        <v>58</v>
      </c>
      <c r="J2404" t="s">
        <v>72</v>
      </c>
      <c r="K2404" t="s">
        <v>96</v>
      </c>
      <c r="L2404" t="s">
        <v>100</v>
      </c>
      <c r="M2404" t="s">
        <v>90</v>
      </c>
      <c r="N2404" s="6">
        <v>1</v>
      </c>
      <c r="O2404" t="str">
        <f t="shared" si="149"/>
        <v>Normal</v>
      </c>
      <c r="P2404" t="str">
        <f t="shared" si="150"/>
        <v>Duplicate ID</v>
      </c>
      <c r="Q2404" t="str">
        <f t="shared" si="151"/>
        <v>15,000-19,999</v>
      </c>
      <c r="R2404" s="6">
        <f>IF(COUNTIF($A$2:A2404,A2404)=1,1,0)</f>
        <v>0</v>
      </c>
    </row>
    <row r="2405" spans="1:18" x14ac:dyDescent="0.25">
      <c r="A2405" s="6">
        <v>1422</v>
      </c>
      <c r="B2405" s="7">
        <v>44819</v>
      </c>
      <c r="C2405" t="s">
        <v>51</v>
      </c>
      <c r="D2405" s="6">
        <v>2021</v>
      </c>
      <c r="E2405" s="8">
        <v>8993</v>
      </c>
      <c r="F2405" s="8">
        <v>12000</v>
      </c>
      <c r="G2405" s="8">
        <f t="shared" si="148"/>
        <v>3007</v>
      </c>
      <c r="H2405" s="6">
        <v>60000</v>
      </c>
      <c r="I2405" t="s">
        <v>58</v>
      </c>
      <c r="J2405" t="s">
        <v>72</v>
      </c>
      <c r="K2405" t="s">
        <v>36</v>
      </c>
      <c r="L2405" t="s">
        <v>54</v>
      </c>
      <c r="M2405" t="s">
        <v>98</v>
      </c>
      <c r="N2405" s="6">
        <v>1</v>
      </c>
      <c r="O2405" t="str">
        <f t="shared" si="149"/>
        <v>Normal</v>
      </c>
      <c r="P2405" t="str">
        <f t="shared" si="150"/>
        <v>Duplicate ID</v>
      </c>
      <c r="Q2405" t="str">
        <f t="shared" si="151"/>
        <v>5,000-9,999</v>
      </c>
      <c r="R2405" s="6">
        <f>IF(COUNTIF($A$2:A2405,A2405)=1,1,0)</f>
        <v>0</v>
      </c>
    </row>
    <row r="2406" spans="1:18" x14ac:dyDescent="0.25">
      <c r="A2406" s="6">
        <v>1440</v>
      </c>
      <c r="B2406" s="7">
        <v>44711</v>
      </c>
      <c r="C2406" t="s">
        <v>57</v>
      </c>
      <c r="D2406" s="6">
        <v>2018</v>
      </c>
      <c r="E2406" s="8">
        <v>8774</v>
      </c>
      <c r="F2406" s="8">
        <v>15000</v>
      </c>
      <c r="G2406" s="8">
        <f t="shared" si="148"/>
        <v>6226</v>
      </c>
      <c r="H2406" s="6">
        <v>40000</v>
      </c>
      <c r="I2406" t="s">
        <v>69</v>
      </c>
      <c r="J2406" t="s">
        <v>1647</v>
      </c>
      <c r="K2406" t="s">
        <v>96</v>
      </c>
      <c r="L2406" t="s">
        <v>73</v>
      </c>
      <c r="M2406" t="s">
        <v>1647</v>
      </c>
      <c r="N2406" s="6">
        <v>0</v>
      </c>
      <c r="O2406" t="str">
        <f t="shared" si="149"/>
        <v>Normal</v>
      </c>
      <c r="P2406" t="str">
        <f t="shared" si="150"/>
        <v>Duplicate ID</v>
      </c>
      <c r="Q2406" t="str">
        <f t="shared" si="151"/>
        <v>5,000-9,999</v>
      </c>
      <c r="R2406" s="6">
        <f>IF(COUNTIF($A$2:A2406,A2406)=1,1,0)</f>
        <v>0</v>
      </c>
    </row>
    <row r="2407" spans="1:18" x14ac:dyDescent="0.25">
      <c r="A2407" s="6">
        <v>1395</v>
      </c>
      <c r="B2407" s="7">
        <v>45321</v>
      </c>
      <c r="C2407" t="s">
        <v>79</v>
      </c>
      <c r="D2407" s="6">
        <v>2022</v>
      </c>
      <c r="E2407" s="8">
        <v>20887</v>
      </c>
      <c r="F2407" s="8">
        <v>26000</v>
      </c>
      <c r="G2407" s="8">
        <f t="shared" si="148"/>
        <v>5113</v>
      </c>
      <c r="H2407" s="6">
        <v>25000</v>
      </c>
      <c r="I2407" t="s">
        <v>1647</v>
      </c>
      <c r="J2407" t="s">
        <v>1647</v>
      </c>
      <c r="K2407" t="s">
        <v>36</v>
      </c>
      <c r="L2407" t="s">
        <v>54</v>
      </c>
      <c r="M2407" t="s">
        <v>45</v>
      </c>
      <c r="N2407" s="6" t="s">
        <v>1647</v>
      </c>
      <c r="O2407" t="str">
        <f t="shared" si="149"/>
        <v>Normal</v>
      </c>
      <c r="P2407" t="str">
        <f t="shared" si="150"/>
        <v>Duplicate ID</v>
      </c>
      <c r="Q2407" t="str">
        <f t="shared" si="151"/>
        <v>20,000-24,999</v>
      </c>
      <c r="R2407" s="6">
        <f>IF(COUNTIF($A$2:A2407,A2407)=1,1,0)</f>
        <v>0</v>
      </c>
    </row>
    <row r="2408" spans="1:18" x14ac:dyDescent="0.25">
      <c r="A2408" s="6">
        <v>1085</v>
      </c>
      <c r="B2408" s="7">
        <v>44934</v>
      </c>
      <c r="C2408" t="s">
        <v>119</v>
      </c>
      <c r="D2408" s="6">
        <v>2014</v>
      </c>
      <c r="E2408" s="8">
        <v>8676</v>
      </c>
      <c r="F2408" s="8">
        <v>15000</v>
      </c>
      <c r="G2408" s="8">
        <f t="shared" si="148"/>
        <v>6324</v>
      </c>
      <c r="H2408" s="6">
        <v>120000</v>
      </c>
      <c r="I2408" t="s">
        <v>34</v>
      </c>
      <c r="J2408" t="s">
        <v>35</v>
      </c>
      <c r="K2408" t="s">
        <v>36</v>
      </c>
      <c r="L2408" t="s">
        <v>54</v>
      </c>
      <c r="M2408" t="s">
        <v>45</v>
      </c>
      <c r="N2408" s="6">
        <v>0</v>
      </c>
      <c r="O2408" t="str">
        <f t="shared" si="149"/>
        <v>Normal</v>
      </c>
      <c r="P2408" t="str">
        <f t="shared" si="150"/>
        <v>Duplicate ID</v>
      </c>
      <c r="Q2408" t="str">
        <f t="shared" si="151"/>
        <v>5,000-9,999</v>
      </c>
      <c r="R2408" s="6">
        <f>IF(COUNTIF($A$2:A2408,A2408)=1,1,0)</f>
        <v>0</v>
      </c>
    </row>
    <row r="2409" spans="1:18" x14ac:dyDescent="0.25">
      <c r="A2409" s="6">
        <v>1557</v>
      </c>
      <c r="B2409" s="7">
        <v>44704</v>
      </c>
      <c r="C2409" t="s">
        <v>119</v>
      </c>
      <c r="D2409" s="6">
        <v>2018</v>
      </c>
      <c r="E2409" s="8">
        <v>9540</v>
      </c>
      <c r="F2409" s="8">
        <v>15000</v>
      </c>
      <c r="G2409" s="8">
        <f t="shared" si="148"/>
        <v>5460</v>
      </c>
      <c r="H2409" s="6">
        <v>15000</v>
      </c>
      <c r="I2409" t="s">
        <v>69</v>
      </c>
      <c r="J2409" t="s">
        <v>72</v>
      </c>
      <c r="K2409" t="s">
        <v>96</v>
      </c>
      <c r="L2409" t="s">
        <v>73</v>
      </c>
      <c r="M2409" t="s">
        <v>90</v>
      </c>
      <c r="N2409" s="6">
        <v>1</v>
      </c>
      <c r="O2409" t="str">
        <f t="shared" si="149"/>
        <v>Normal</v>
      </c>
      <c r="P2409" t="str">
        <f t="shared" si="150"/>
        <v>Duplicate ID</v>
      </c>
      <c r="Q2409" t="str">
        <f t="shared" si="151"/>
        <v>5,000-9,999</v>
      </c>
      <c r="R2409" s="6">
        <f>IF(COUNTIF($A$2:A2409,A2409)=1,1,0)</f>
        <v>0</v>
      </c>
    </row>
    <row r="2410" spans="1:18" x14ac:dyDescent="0.25">
      <c r="A2410" s="6">
        <v>1002</v>
      </c>
      <c r="B2410" s="7">
        <v>45325</v>
      </c>
      <c r="C2410" t="s">
        <v>1648</v>
      </c>
      <c r="D2410" s="6">
        <v>2021</v>
      </c>
      <c r="E2410" s="8">
        <v>9004</v>
      </c>
      <c r="F2410" s="8">
        <v>15000</v>
      </c>
      <c r="G2410" s="8">
        <f t="shared" si="148"/>
        <v>5996</v>
      </c>
      <c r="H2410" s="6">
        <v>120000</v>
      </c>
      <c r="I2410" t="s">
        <v>41</v>
      </c>
      <c r="J2410" t="s">
        <v>35</v>
      </c>
      <c r="K2410" t="s">
        <v>96</v>
      </c>
      <c r="L2410" t="s">
        <v>100</v>
      </c>
      <c r="M2410" t="s">
        <v>126</v>
      </c>
      <c r="N2410" s="6" t="s">
        <v>1647</v>
      </c>
      <c r="O2410" t="str">
        <f t="shared" si="149"/>
        <v>Normal</v>
      </c>
      <c r="P2410" t="str">
        <f t="shared" si="150"/>
        <v>Duplicate ID</v>
      </c>
      <c r="Q2410" t="str">
        <f t="shared" si="151"/>
        <v>5,000-9,999</v>
      </c>
      <c r="R2410" s="6">
        <f>IF(COUNTIF($A$2:A2410,A2410)=1,1,0)</f>
        <v>0</v>
      </c>
    </row>
    <row r="2411" spans="1:18" x14ac:dyDescent="0.25">
      <c r="A2411" s="6">
        <v>1246</v>
      </c>
      <c r="B2411" s="7">
        <v>44510</v>
      </c>
      <c r="C2411" t="s">
        <v>79</v>
      </c>
      <c r="D2411" s="6">
        <v>2016</v>
      </c>
      <c r="E2411" s="8">
        <v>863</v>
      </c>
      <c r="F2411" s="8">
        <v>7000</v>
      </c>
      <c r="G2411" s="8">
        <f t="shared" si="148"/>
        <v>6137</v>
      </c>
      <c r="H2411" s="6">
        <v>15000</v>
      </c>
      <c r="I2411" t="s">
        <v>58</v>
      </c>
      <c r="J2411" t="s">
        <v>35</v>
      </c>
      <c r="K2411" t="s">
        <v>96</v>
      </c>
      <c r="L2411" t="s">
        <v>100</v>
      </c>
      <c r="M2411" t="s">
        <v>126</v>
      </c>
      <c r="N2411" s="6">
        <v>2</v>
      </c>
      <c r="O2411" t="str">
        <f t="shared" si="149"/>
        <v>Outlier</v>
      </c>
      <c r="P2411" t="str">
        <f t="shared" si="150"/>
        <v>Duplicate ID</v>
      </c>
      <c r="Q2411" t="str">
        <f t="shared" si="151"/>
        <v>0-4,999</v>
      </c>
      <c r="R2411" s="6">
        <f>IF(COUNTIF($A$2:A2411,A2411)=1,1,0)</f>
        <v>0</v>
      </c>
    </row>
    <row r="2412" spans="1:18" x14ac:dyDescent="0.25">
      <c r="A2412" s="6">
        <v>1046</v>
      </c>
      <c r="B2412" s="7">
        <v>45190</v>
      </c>
      <c r="C2412" t="s">
        <v>40</v>
      </c>
      <c r="D2412" s="6"/>
      <c r="E2412" s="8">
        <v>9625</v>
      </c>
      <c r="F2412" s="8">
        <v>12000</v>
      </c>
      <c r="G2412" s="8">
        <f t="shared" si="148"/>
        <v>2375</v>
      </c>
      <c r="H2412" s="6">
        <v>15000</v>
      </c>
      <c r="I2412" t="s">
        <v>34</v>
      </c>
      <c r="J2412" t="s">
        <v>72</v>
      </c>
      <c r="K2412" t="s">
        <v>36</v>
      </c>
      <c r="L2412" t="s">
        <v>73</v>
      </c>
      <c r="M2412" t="s">
        <v>126</v>
      </c>
      <c r="N2412" s="6">
        <v>1</v>
      </c>
      <c r="O2412" t="str">
        <f t="shared" si="149"/>
        <v>Normal</v>
      </c>
      <c r="P2412" t="str">
        <f t="shared" si="150"/>
        <v>Duplicate ID</v>
      </c>
      <c r="Q2412" t="str">
        <f t="shared" si="151"/>
        <v>5,000-9,999</v>
      </c>
      <c r="R2412" s="6">
        <f>IF(COUNTIF($A$2:A2412,A2412)=1,1,0)</f>
        <v>0</v>
      </c>
    </row>
    <row r="2413" spans="1:18" x14ac:dyDescent="0.25">
      <c r="A2413" s="6">
        <v>1497</v>
      </c>
      <c r="B2413" s="7">
        <v>45131</v>
      </c>
      <c r="C2413" t="s">
        <v>79</v>
      </c>
      <c r="D2413" s="6"/>
      <c r="E2413" s="8">
        <v>5200</v>
      </c>
      <c r="F2413" s="8">
        <v>7000</v>
      </c>
      <c r="G2413" s="8">
        <f t="shared" si="148"/>
        <v>1800</v>
      </c>
      <c r="H2413" s="6">
        <v>25000</v>
      </c>
      <c r="I2413" t="s">
        <v>41</v>
      </c>
      <c r="J2413" t="s">
        <v>35</v>
      </c>
      <c r="K2413" t="s">
        <v>36</v>
      </c>
      <c r="L2413" t="s">
        <v>73</v>
      </c>
      <c r="M2413" t="s">
        <v>126</v>
      </c>
      <c r="N2413" s="6">
        <v>3</v>
      </c>
      <c r="O2413" t="str">
        <f t="shared" si="149"/>
        <v>Normal</v>
      </c>
      <c r="P2413" t="str">
        <f t="shared" si="150"/>
        <v>Duplicate ID</v>
      </c>
      <c r="Q2413" t="str">
        <f t="shared" si="151"/>
        <v>5,000-9,999</v>
      </c>
      <c r="R2413" s="6">
        <f>IF(COUNTIF($A$2:A2413,A2413)=1,1,0)</f>
        <v>0</v>
      </c>
    </row>
    <row r="2414" spans="1:18" x14ac:dyDescent="0.25">
      <c r="A2414" s="6">
        <v>1542</v>
      </c>
      <c r="B2414" s="7">
        <v>44829</v>
      </c>
      <c r="C2414" t="s">
        <v>79</v>
      </c>
      <c r="D2414" s="6">
        <v>2019</v>
      </c>
      <c r="E2414" s="8">
        <v>11592</v>
      </c>
      <c r="F2414" s="8">
        <v>15000</v>
      </c>
      <c r="G2414" s="8">
        <f t="shared" si="148"/>
        <v>3408</v>
      </c>
      <c r="H2414" s="6">
        <v>25000</v>
      </c>
      <c r="I2414" t="s">
        <v>1647</v>
      </c>
      <c r="J2414" t="s">
        <v>35</v>
      </c>
      <c r="K2414" t="s">
        <v>96</v>
      </c>
      <c r="L2414" t="s">
        <v>73</v>
      </c>
      <c r="M2414" t="s">
        <v>45</v>
      </c>
      <c r="N2414" s="6">
        <v>2</v>
      </c>
      <c r="O2414" t="str">
        <f t="shared" si="149"/>
        <v>Normal</v>
      </c>
      <c r="P2414" t="str">
        <f t="shared" si="150"/>
        <v>Duplicate ID</v>
      </c>
      <c r="Q2414" t="str">
        <f t="shared" si="151"/>
        <v>10,000-14,999</v>
      </c>
      <c r="R2414" s="6">
        <f>IF(COUNTIF($A$2:A2414,A2414)=1,1,0)</f>
        <v>0</v>
      </c>
    </row>
    <row r="2415" spans="1:18" x14ac:dyDescent="0.25">
      <c r="A2415" s="6">
        <v>1476</v>
      </c>
      <c r="B2415" s="7">
        <v>44429</v>
      </c>
      <c r="C2415" t="s">
        <v>1648</v>
      </c>
      <c r="D2415" s="6">
        <v>2018</v>
      </c>
      <c r="E2415" s="8">
        <v>24056</v>
      </c>
      <c r="F2415" s="8">
        <v>26000</v>
      </c>
      <c r="G2415" s="8">
        <f t="shared" si="148"/>
        <v>1944</v>
      </c>
      <c r="H2415" s="6">
        <v>80000</v>
      </c>
      <c r="I2415" t="s">
        <v>1647</v>
      </c>
      <c r="J2415" t="s">
        <v>35</v>
      </c>
      <c r="K2415" t="s">
        <v>36</v>
      </c>
      <c r="L2415" t="s">
        <v>48</v>
      </c>
      <c r="M2415" t="s">
        <v>90</v>
      </c>
      <c r="N2415" s="6" t="s">
        <v>1647</v>
      </c>
      <c r="O2415" t="str">
        <f t="shared" si="149"/>
        <v>Normal</v>
      </c>
      <c r="P2415" t="str">
        <f t="shared" si="150"/>
        <v>Duplicate ID</v>
      </c>
      <c r="Q2415" t="str">
        <f t="shared" si="151"/>
        <v>20,000-24,999</v>
      </c>
      <c r="R2415" s="6">
        <f>IF(COUNTIF($A$2:A2415,A2415)=1,1,0)</f>
        <v>0</v>
      </c>
    </row>
    <row r="2416" spans="1:18" x14ac:dyDescent="0.25">
      <c r="A2416" s="6">
        <v>1532</v>
      </c>
      <c r="B2416" s="7">
        <v>44683</v>
      </c>
      <c r="C2416" t="s">
        <v>57</v>
      </c>
      <c r="D2416" s="6">
        <v>2014</v>
      </c>
      <c r="E2416" s="8">
        <v>16619</v>
      </c>
      <c r="F2416" s="8">
        <v>18000</v>
      </c>
      <c r="G2416" s="8">
        <f t="shared" si="148"/>
        <v>1381</v>
      </c>
      <c r="H2416" s="6">
        <v>15000</v>
      </c>
      <c r="I2416" t="s">
        <v>58</v>
      </c>
      <c r="J2416" t="s">
        <v>72</v>
      </c>
      <c r="K2416" t="s">
        <v>1647</v>
      </c>
      <c r="L2416" t="s">
        <v>73</v>
      </c>
      <c r="M2416" t="s">
        <v>90</v>
      </c>
      <c r="N2416" s="6">
        <v>1</v>
      </c>
      <c r="O2416" t="str">
        <f t="shared" si="149"/>
        <v>Normal</v>
      </c>
      <c r="P2416" t="str">
        <f t="shared" si="150"/>
        <v>Duplicate ID</v>
      </c>
      <c r="Q2416" t="str">
        <f t="shared" si="151"/>
        <v>15,000-19,999</v>
      </c>
      <c r="R2416" s="6">
        <f>IF(COUNTIF($A$2:A2416,A2416)=1,1,0)</f>
        <v>0</v>
      </c>
    </row>
    <row r="2417" spans="1:18" x14ac:dyDescent="0.25">
      <c r="A2417" s="6">
        <v>1025</v>
      </c>
      <c r="B2417" s="7">
        <v>44222</v>
      </c>
      <c r="C2417" t="s">
        <v>57</v>
      </c>
      <c r="D2417" s="6">
        <v>2015</v>
      </c>
      <c r="E2417" s="8">
        <v>19420</v>
      </c>
      <c r="F2417" s="8">
        <v>26000</v>
      </c>
      <c r="G2417" s="8">
        <f t="shared" si="148"/>
        <v>6580</v>
      </c>
      <c r="H2417" s="6">
        <v>120000</v>
      </c>
      <c r="I2417" t="s">
        <v>58</v>
      </c>
      <c r="J2417" t="s">
        <v>72</v>
      </c>
      <c r="K2417" t="s">
        <v>36</v>
      </c>
      <c r="L2417" t="s">
        <v>1647</v>
      </c>
      <c r="M2417" t="s">
        <v>90</v>
      </c>
      <c r="N2417" s="6">
        <v>1</v>
      </c>
      <c r="O2417" t="str">
        <f t="shared" si="149"/>
        <v>Normal</v>
      </c>
      <c r="P2417" t="str">
        <f t="shared" si="150"/>
        <v>Duplicate ID</v>
      </c>
      <c r="Q2417" t="str">
        <f t="shared" si="151"/>
        <v>15,000-19,999</v>
      </c>
      <c r="R2417" s="6">
        <f>IF(COUNTIF($A$2:A2417,A2417)=1,1,0)</f>
        <v>0</v>
      </c>
    </row>
    <row r="2418" spans="1:18" x14ac:dyDescent="0.25">
      <c r="A2418" s="6">
        <v>1151</v>
      </c>
      <c r="B2418" s="7">
        <v>44936</v>
      </c>
      <c r="C2418" t="s">
        <v>79</v>
      </c>
      <c r="D2418" s="6">
        <v>2016</v>
      </c>
      <c r="E2418" s="8">
        <v>28688</v>
      </c>
      <c r="F2418" s="8">
        <v>31000</v>
      </c>
      <c r="G2418" s="8">
        <f t="shared" si="148"/>
        <v>2312</v>
      </c>
      <c r="H2418" s="6">
        <v>60000</v>
      </c>
      <c r="I2418" t="s">
        <v>58</v>
      </c>
      <c r="J2418" t="s">
        <v>35</v>
      </c>
      <c r="K2418" t="s">
        <v>36</v>
      </c>
      <c r="L2418" t="s">
        <v>48</v>
      </c>
      <c r="M2418" t="s">
        <v>98</v>
      </c>
      <c r="N2418" s="6" t="s">
        <v>1647</v>
      </c>
      <c r="O2418" t="str">
        <f t="shared" si="149"/>
        <v>Normal</v>
      </c>
      <c r="P2418" t="str">
        <f t="shared" si="150"/>
        <v>Duplicate ID</v>
      </c>
      <c r="Q2418" t="str">
        <f t="shared" si="151"/>
        <v>25,000-30,000</v>
      </c>
      <c r="R2418" s="6">
        <f>IF(COUNTIF($A$2:A2418,A2418)=1,1,0)</f>
        <v>0</v>
      </c>
    </row>
    <row r="2419" spans="1:18" x14ac:dyDescent="0.25">
      <c r="A2419" s="6">
        <v>1395</v>
      </c>
      <c r="B2419" s="7">
        <v>44539</v>
      </c>
      <c r="C2419" t="s">
        <v>79</v>
      </c>
      <c r="D2419" s="6">
        <v>2018</v>
      </c>
      <c r="E2419" s="8">
        <v>9238</v>
      </c>
      <c r="F2419" s="8">
        <v>12000</v>
      </c>
      <c r="G2419" s="8">
        <f t="shared" si="148"/>
        <v>2762</v>
      </c>
      <c r="H2419" s="6">
        <v>80000</v>
      </c>
      <c r="I2419" t="s">
        <v>41</v>
      </c>
      <c r="J2419" t="s">
        <v>72</v>
      </c>
      <c r="K2419" t="s">
        <v>96</v>
      </c>
      <c r="L2419" t="s">
        <v>1647</v>
      </c>
      <c r="M2419" t="s">
        <v>126</v>
      </c>
      <c r="N2419" s="6">
        <v>0</v>
      </c>
      <c r="O2419" t="str">
        <f t="shared" si="149"/>
        <v>Normal</v>
      </c>
      <c r="P2419" t="str">
        <f t="shared" si="150"/>
        <v>Duplicate ID</v>
      </c>
      <c r="Q2419" t="str">
        <f t="shared" si="151"/>
        <v>5,000-9,999</v>
      </c>
      <c r="R2419" s="6">
        <f>IF(COUNTIF($A$2:A2419,A2419)=1,1,0)</f>
        <v>0</v>
      </c>
    </row>
    <row r="2420" spans="1:18" x14ac:dyDescent="0.25">
      <c r="A2420" s="6">
        <v>1183</v>
      </c>
      <c r="B2420" s="7">
        <v>44211</v>
      </c>
      <c r="C2420" t="s">
        <v>1648</v>
      </c>
      <c r="D2420" s="6">
        <v>2021</v>
      </c>
      <c r="E2420" s="8">
        <v>23889</v>
      </c>
      <c r="F2420" s="8">
        <v>26000</v>
      </c>
      <c r="G2420" s="8">
        <f t="shared" si="148"/>
        <v>2111</v>
      </c>
      <c r="H2420" s="6">
        <v>120000</v>
      </c>
      <c r="I2420" t="s">
        <v>69</v>
      </c>
      <c r="J2420" t="s">
        <v>35</v>
      </c>
      <c r="K2420" t="s">
        <v>96</v>
      </c>
      <c r="L2420" t="s">
        <v>48</v>
      </c>
      <c r="M2420" t="s">
        <v>90</v>
      </c>
      <c r="N2420" s="6">
        <v>0</v>
      </c>
      <c r="O2420" t="str">
        <f t="shared" si="149"/>
        <v>Normal</v>
      </c>
      <c r="P2420" t="str">
        <f t="shared" si="150"/>
        <v>Duplicate ID</v>
      </c>
      <c r="Q2420" t="str">
        <f t="shared" si="151"/>
        <v>20,000-24,999</v>
      </c>
      <c r="R2420" s="6">
        <f>IF(COUNTIF($A$2:A2420,A2420)=1,1,0)</f>
        <v>0</v>
      </c>
    </row>
    <row r="2421" spans="1:18" x14ac:dyDescent="0.25">
      <c r="A2421" s="6">
        <v>1085</v>
      </c>
      <c r="B2421" s="7">
        <v>44809</v>
      </c>
      <c r="C2421" t="s">
        <v>57</v>
      </c>
      <c r="D2421" s="6">
        <v>2016</v>
      </c>
      <c r="E2421" s="8">
        <v>1303</v>
      </c>
      <c r="F2421" s="8">
        <v>7000</v>
      </c>
      <c r="G2421" s="8">
        <f t="shared" si="148"/>
        <v>5697</v>
      </c>
      <c r="H2421" s="6">
        <v>80000</v>
      </c>
      <c r="I2421" t="s">
        <v>58</v>
      </c>
      <c r="J2421" t="s">
        <v>35</v>
      </c>
      <c r="K2421" t="s">
        <v>96</v>
      </c>
      <c r="L2421" t="s">
        <v>73</v>
      </c>
      <c r="M2421" t="s">
        <v>45</v>
      </c>
      <c r="N2421" s="6">
        <v>1</v>
      </c>
      <c r="O2421" t="str">
        <f t="shared" si="149"/>
        <v>Normal</v>
      </c>
      <c r="P2421" t="str">
        <f t="shared" si="150"/>
        <v>Duplicate ID</v>
      </c>
      <c r="Q2421" t="str">
        <f t="shared" si="151"/>
        <v>0-4,999</v>
      </c>
      <c r="R2421" s="6">
        <f>IF(COUNTIF($A$2:A2421,A2421)=1,1,0)</f>
        <v>0</v>
      </c>
    </row>
    <row r="2422" spans="1:18" x14ac:dyDescent="0.25">
      <c r="A2422" s="6">
        <v>1028</v>
      </c>
      <c r="B2422" s="7">
        <v>44898</v>
      </c>
      <c r="C2422" t="s">
        <v>40</v>
      </c>
      <c r="D2422" s="6"/>
      <c r="E2422" s="8">
        <v>16504</v>
      </c>
      <c r="F2422" s="8">
        <v>18000</v>
      </c>
      <c r="G2422" s="8">
        <f t="shared" si="148"/>
        <v>1496</v>
      </c>
      <c r="H2422" s="6">
        <v>15000</v>
      </c>
      <c r="I2422" t="s">
        <v>69</v>
      </c>
      <c r="J2422" t="s">
        <v>1647</v>
      </c>
      <c r="K2422" t="s">
        <v>96</v>
      </c>
      <c r="L2422" t="s">
        <v>100</v>
      </c>
      <c r="M2422" t="s">
        <v>1647</v>
      </c>
      <c r="N2422" s="6">
        <v>2</v>
      </c>
      <c r="O2422" t="str">
        <f t="shared" si="149"/>
        <v>Normal</v>
      </c>
      <c r="P2422" t="str">
        <f t="shared" si="150"/>
        <v>Duplicate ID</v>
      </c>
      <c r="Q2422" t="str">
        <f t="shared" si="151"/>
        <v>15,000-19,999</v>
      </c>
      <c r="R2422" s="6">
        <f>IF(COUNTIF($A$2:A2422,A2422)=1,1,0)</f>
        <v>0</v>
      </c>
    </row>
    <row r="2423" spans="1:18" x14ac:dyDescent="0.25">
      <c r="A2423" s="6">
        <v>1516</v>
      </c>
      <c r="B2423" s="7">
        <v>45213</v>
      </c>
      <c r="C2423" t="s">
        <v>1648</v>
      </c>
      <c r="D2423" s="6">
        <v>2021</v>
      </c>
      <c r="E2423" s="8">
        <v>28094</v>
      </c>
      <c r="F2423" s="8">
        <v>31000</v>
      </c>
      <c r="G2423" s="8">
        <f t="shared" si="148"/>
        <v>2906</v>
      </c>
      <c r="H2423" s="6">
        <v>15000</v>
      </c>
      <c r="I2423" t="s">
        <v>41</v>
      </c>
      <c r="J2423" t="s">
        <v>1647</v>
      </c>
      <c r="K2423" t="s">
        <v>36</v>
      </c>
      <c r="L2423" t="s">
        <v>73</v>
      </c>
      <c r="M2423" t="s">
        <v>98</v>
      </c>
      <c r="N2423" s="6">
        <v>3</v>
      </c>
      <c r="O2423" t="str">
        <f t="shared" si="149"/>
        <v>Normal</v>
      </c>
      <c r="P2423" t="str">
        <f t="shared" si="150"/>
        <v>Duplicate ID</v>
      </c>
      <c r="Q2423" t="str">
        <f t="shared" si="151"/>
        <v>25,000-30,000</v>
      </c>
      <c r="R2423" s="6">
        <f>IF(COUNTIF($A$2:A2423,A2423)=1,1,0)</f>
        <v>0</v>
      </c>
    </row>
    <row r="2424" spans="1:18" x14ac:dyDescent="0.25">
      <c r="A2424" s="6">
        <v>1237</v>
      </c>
      <c r="B2424" s="7">
        <v>45241</v>
      </c>
      <c r="C2424" t="s">
        <v>119</v>
      </c>
      <c r="D2424" s="6">
        <v>2018</v>
      </c>
      <c r="E2424" s="8">
        <v>14217</v>
      </c>
      <c r="F2424" s="8">
        <v>18000</v>
      </c>
      <c r="G2424" s="8">
        <f t="shared" si="148"/>
        <v>3783</v>
      </c>
      <c r="H2424" s="6">
        <v>15000</v>
      </c>
      <c r="I2424" t="s">
        <v>1647</v>
      </c>
      <c r="J2424" t="s">
        <v>35</v>
      </c>
      <c r="K2424" t="s">
        <v>96</v>
      </c>
      <c r="L2424" t="s">
        <v>100</v>
      </c>
      <c r="M2424" t="s">
        <v>98</v>
      </c>
      <c r="N2424" s="6" t="s">
        <v>1647</v>
      </c>
      <c r="O2424" t="str">
        <f t="shared" si="149"/>
        <v>Normal</v>
      </c>
      <c r="P2424" t="str">
        <f t="shared" si="150"/>
        <v>Duplicate ID</v>
      </c>
      <c r="Q2424" t="str">
        <f t="shared" si="151"/>
        <v>10,000-14,999</v>
      </c>
      <c r="R2424" s="6">
        <f>IF(COUNTIF($A$2:A2424,A2424)=1,1,0)</f>
        <v>0</v>
      </c>
    </row>
    <row r="2425" spans="1:18" x14ac:dyDescent="0.25">
      <c r="A2425" s="6">
        <v>1026</v>
      </c>
      <c r="B2425" s="7">
        <v>45353</v>
      </c>
      <c r="C2425" t="s">
        <v>1648</v>
      </c>
      <c r="D2425" s="6">
        <v>2017</v>
      </c>
      <c r="E2425" s="8">
        <v>9465</v>
      </c>
      <c r="F2425" s="8">
        <v>12000</v>
      </c>
      <c r="G2425" s="8">
        <f t="shared" si="148"/>
        <v>2535</v>
      </c>
      <c r="H2425" s="6">
        <v>80000</v>
      </c>
      <c r="I2425" t="s">
        <v>58</v>
      </c>
      <c r="J2425" t="s">
        <v>35</v>
      </c>
      <c r="K2425" t="s">
        <v>96</v>
      </c>
      <c r="L2425" t="s">
        <v>73</v>
      </c>
      <c r="M2425" t="s">
        <v>126</v>
      </c>
      <c r="N2425" s="6">
        <v>1</v>
      </c>
      <c r="O2425" t="str">
        <f t="shared" si="149"/>
        <v>Normal</v>
      </c>
      <c r="P2425" t="str">
        <f t="shared" si="150"/>
        <v>Duplicate ID</v>
      </c>
      <c r="Q2425" t="str">
        <f t="shared" si="151"/>
        <v>5,000-9,999</v>
      </c>
      <c r="R2425" s="6">
        <f>IF(COUNTIF($A$2:A2425,A2425)=1,1,0)</f>
        <v>0</v>
      </c>
    </row>
    <row r="2426" spans="1:18" x14ac:dyDescent="0.25">
      <c r="A2426" s="6">
        <v>1392</v>
      </c>
      <c r="B2426" s="7">
        <v>44597</v>
      </c>
      <c r="C2426" t="s">
        <v>40</v>
      </c>
      <c r="D2426" s="6">
        <v>2017</v>
      </c>
      <c r="E2426" s="8">
        <v>13501</v>
      </c>
      <c r="F2426" s="8">
        <v>18000</v>
      </c>
      <c r="G2426" s="8">
        <f t="shared" si="148"/>
        <v>4499</v>
      </c>
      <c r="H2426" s="6">
        <v>15000</v>
      </c>
      <c r="I2426" t="s">
        <v>41</v>
      </c>
      <c r="J2426" t="s">
        <v>72</v>
      </c>
      <c r="K2426" t="s">
        <v>36</v>
      </c>
      <c r="L2426" t="s">
        <v>100</v>
      </c>
      <c r="M2426" t="s">
        <v>45</v>
      </c>
      <c r="N2426" s="6">
        <v>0</v>
      </c>
      <c r="O2426" t="str">
        <f t="shared" si="149"/>
        <v>Normal</v>
      </c>
      <c r="P2426" t="str">
        <f t="shared" si="150"/>
        <v>Duplicate ID</v>
      </c>
      <c r="Q2426" t="str">
        <f t="shared" si="151"/>
        <v>10,000-14,999</v>
      </c>
      <c r="R2426" s="6">
        <f>IF(COUNTIF($A$2:A2426,A2426)=1,1,0)</f>
        <v>0</v>
      </c>
    </row>
    <row r="2427" spans="1:18" x14ac:dyDescent="0.25">
      <c r="A2427" s="6">
        <v>1279</v>
      </c>
      <c r="B2427" s="7">
        <v>45157</v>
      </c>
      <c r="C2427" t="s">
        <v>79</v>
      </c>
      <c r="D2427" s="6">
        <v>2019</v>
      </c>
      <c r="E2427" s="8">
        <v>2476</v>
      </c>
      <c r="F2427" s="8">
        <v>9000</v>
      </c>
      <c r="G2427" s="8">
        <f t="shared" si="148"/>
        <v>6524</v>
      </c>
      <c r="H2427" s="6">
        <v>15000</v>
      </c>
      <c r="I2427" t="s">
        <v>41</v>
      </c>
      <c r="J2427" t="s">
        <v>72</v>
      </c>
      <c r="K2427" t="s">
        <v>36</v>
      </c>
      <c r="L2427" t="s">
        <v>48</v>
      </c>
      <c r="M2427" t="s">
        <v>45</v>
      </c>
      <c r="N2427" s="6" t="s">
        <v>1647</v>
      </c>
      <c r="O2427" t="str">
        <f t="shared" si="149"/>
        <v>Normal</v>
      </c>
      <c r="P2427" t="str">
        <f t="shared" si="150"/>
        <v>Duplicate ID</v>
      </c>
      <c r="Q2427" t="str">
        <f t="shared" si="151"/>
        <v>0-4,999</v>
      </c>
      <c r="R2427" s="6">
        <f>IF(COUNTIF($A$2:A2427,A2427)=1,1,0)</f>
        <v>0</v>
      </c>
    </row>
    <row r="2428" spans="1:18" x14ac:dyDescent="0.25">
      <c r="A2428" s="6">
        <v>1199</v>
      </c>
      <c r="B2428" s="7">
        <v>45027</v>
      </c>
      <c r="C2428" t="s">
        <v>79</v>
      </c>
      <c r="D2428" s="6">
        <v>2021</v>
      </c>
      <c r="E2428" s="8">
        <v>20445</v>
      </c>
      <c r="F2428" s="8">
        <v>26000</v>
      </c>
      <c r="G2428" s="8">
        <f t="shared" si="148"/>
        <v>5555</v>
      </c>
      <c r="H2428" s="6">
        <v>80000</v>
      </c>
      <c r="I2428" t="s">
        <v>69</v>
      </c>
      <c r="J2428" t="s">
        <v>35</v>
      </c>
      <c r="K2428" t="s">
        <v>96</v>
      </c>
      <c r="L2428" t="s">
        <v>73</v>
      </c>
      <c r="M2428" t="s">
        <v>45</v>
      </c>
      <c r="N2428" s="6">
        <v>2</v>
      </c>
      <c r="O2428" t="str">
        <f t="shared" si="149"/>
        <v>Normal</v>
      </c>
      <c r="P2428" t="str">
        <f t="shared" si="150"/>
        <v>Duplicate ID</v>
      </c>
      <c r="Q2428" t="str">
        <f t="shared" si="151"/>
        <v>20,000-24,999</v>
      </c>
      <c r="R2428" s="6">
        <f>IF(COUNTIF($A$2:A2428,A2428)=1,1,0)</f>
        <v>0</v>
      </c>
    </row>
    <row r="2429" spans="1:18" x14ac:dyDescent="0.25">
      <c r="A2429" s="6">
        <v>1102</v>
      </c>
      <c r="B2429" s="7">
        <v>44451</v>
      </c>
      <c r="C2429" t="s">
        <v>40</v>
      </c>
      <c r="D2429" s="6">
        <v>2017</v>
      </c>
      <c r="E2429" s="8">
        <v>7489</v>
      </c>
      <c r="F2429" s="8">
        <v>9000</v>
      </c>
      <c r="G2429" s="8">
        <f t="shared" si="148"/>
        <v>1511</v>
      </c>
      <c r="H2429" s="6">
        <v>80000</v>
      </c>
      <c r="I2429" t="s">
        <v>69</v>
      </c>
      <c r="J2429" t="s">
        <v>72</v>
      </c>
      <c r="K2429" t="s">
        <v>96</v>
      </c>
      <c r="L2429" t="s">
        <v>48</v>
      </c>
      <c r="M2429" t="s">
        <v>98</v>
      </c>
      <c r="N2429" s="6">
        <v>3</v>
      </c>
      <c r="O2429" t="str">
        <f t="shared" si="149"/>
        <v>Normal</v>
      </c>
      <c r="P2429" t="str">
        <f t="shared" si="150"/>
        <v>Duplicate ID</v>
      </c>
      <c r="Q2429" t="str">
        <f t="shared" si="151"/>
        <v>5,000-9,999</v>
      </c>
      <c r="R2429" s="6">
        <f>IF(COUNTIF($A$2:A2429,A2429)=1,1,0)</f>
        <v>0</v>
      </c>
    </row>
    <row r="2430" spans="1:18" x14ac:dyDescent="0.25">
      <c r="A2430" s="6">
        <v>1408</v>
      </c>
      <c r="B2430" s="7">
        <v>45353</v>
      </c>
      <c r="C2430" t="s">
        <v>1648</v>
      </c>
      <c r="D2430" s="6">
        <v>2015</v>
      </c>
      <c r="E2430" s="8">
        <v>18805</v>
      </c>
      <c r="F2430" s="8">
        <v>22000</v>
      </c>
      <c r="G2430" s="8">
        <f t="shared" si="148"/>
        <v>3195</v>
      </c>
      <c r="H2430" s="6">
        <v>25000</v>
      </c>
      <c r="I2430" t="s">
        <v>58</v>
      </c>
      <c r="J2430" t="s">
        <v>35</v>
      </c>
      <c r="K2430" t="s">
        <v>96</v>
      </c>
      <c r="L2430" t="s">
        <v>48</v>
      </c>
      <c r="M2430" t="s">
        <v>45</v>
      </c>
      <c r="N2430" s="6">
        <v>2</v>
      </c>
      <c r="O2430" t="str">
        <f t="shared" si="149"/>
        <v>Normal</v>
      </c>
      <c r="P2430" t="str">
        <f t="shared" si="150"/>
        <v>Duplicate ID</v>
      </c>
      <c r="Q2430" t="str">
        <f t="shared" si="151"/>
        <v>15,000-19,999</v>
      </c>
      <c r="R2430" s="6">
        <f>IF(COUNTIF($A$2:A2430,A2430)=1,1,0)</f>
        <v>0</v>
      </c>
    </row>
    <row r="2431" spans="1:18" x14ac:dyDescent="0.25">
      <c r="A2431" s="6">
        <v>1210</v>
      </c>
      <c r="B2431" s="7">
        <v>44509</v>
      </c>
      <c r="C2431" t="s">
        <v>40</v>
      </c>
      <c r="D2431" s="6">
        <v>2021</v>
      </c>
      <c r="E2431" s="8">
        <v>28944</v>
      </c>
      <c r="F2431" s="8">
        <v>31000</v>
      </c>
      <c r="G2431" s="8">
        <f t="shared" si="148"/>
        <v>2056</v>
      </c>
      <c r="H2431" s="6">
        <v>15000</v>
      </c>
      <c r="I2431" t="s">
        <v>58</v>
      </c>
      <c r="J2431" t="s">
        <v>72</v>
      </c>
      <c r="K2431" t="s">
        <v>96</v>
      </c>
      <c r="L2431" t="s">
        <v>1647</v>
      </c>
      <c r="M2431" t="s">
        <v>90</v>
      </c>
      <c r="N2431" s="6">
        <v>3</v>
      </c>
      <c r="O2431" t="str">
        <f t="shared" si="149"/>
        <v>Normal</v>
      </c>
      <c r="P2431" t="str">
        <f t="shared" si="150"/>
        <v>Duplicate ID</v>
      </c>
      <c r="Q2431" t="str">
        <f t="shared" si="151"/>
        <v>25,000-30,000</v>
      </c>
      <c r="R2431" s="6">
        <f>IF(COUNTIF($A$2:A2431,A2431)=1,1,0)</f>
        <v>0</v>
      </c>
    </row>
    <row r="2432" spans="1:18" x14ac:dyDescent="0.25">
      <c r="A2432" s="6">
        <v>1060</v>
      </c>
      <c r="B2432" s="7">
        <v>44501</v>
      </c>
      <c r="C2432" t="s">
        <v>1648</v>
      </c>
      <c r="D2432" s="6">
        <v>2018</v>
      </c>
      <c r="E2432" s="8">
        <v>9447</v>
      </c>
      <c r="F2432" s="8">
        <v>12000</v>
      </c>
      <c r="G2432" s="8">
        <f t="shared" si="148"/>
        <v>2553</v>
      </c>
      <c r="H2432" s="6">
        <v>40000</v>
      </c>
      <c r="I2432" t="s">
        <v>58</v>
      </c>
      <c r="J2432" t="s">
        <v>1647</v>
      </c>
      <c r="K2432" t="s">
        <v>96</v>
      </c>
      <c r="L2432" t="s">
        <v>1647</v>
      </c>
      <c r="M2432" t="s">
        <v>1647</v>
      </c>
      <c r="N2432" s="6">
        <v>3</v>
      </c>
      <c r="O2432" t="str">
        <f t="shared" si="149"/>
        <v>Normal</v>
      </c>
      <c r="P2432" t="str">
        <f t="shared" si="150"/>
        <v>Duplicate ID</v>
      </c>
      <c r="Q2432" t="str">
        <f t="shared" si="151"/>
        <v>5,000-9,999</v>
      </c>
      <c r="R2432" s="6">
        <f>IF(COUNTIF($A$2:A2432,A2432)=1,1,0)</f>
        <v>0</v>
      </c>
    </row>
    <row r="2433" spans="1:18" x14ac:dyDescent="0.25">
      <c r="A2433" s="6">
        <v>1194</v>
      </c>
      <c r="B2433" s="7">
        <v>44548</v>
      </c>
      <c r="C2433" t="s">
        <v>119</v>
      </c>
      <c r="D2433" s="6">
        <v>2019</v>
      </c>
      <c r="E2433" s="8">
        <v>26244</v>
      </c>
      <c r="F2433" s="8">
        <v>31000</v>
      </c>
      <c r="G2433" s="8">
        <f t="shared" si="148"/>
        <v>4756</v>
      </c>
      <c r="H2433" s="6">
        <v>25000</v>
      </c>
      <c r="I2433" t="s">
        <v>41</v>
      </c>
      <c r="J2433" t="s">
        <v>35</v>
      </c>
      <c r="K2433" t="s">
        <v>96</v>
      </c>
      <c r="L2433" t="s">
        <v>73</v>
      </c>
      <c r="M2433" t="s">
        <v>90</v>
      </c>
      <c r="N2433" s="6" t="s">
        <v>1647</v>
      </c>
      <c r="O2433" t="str">
        <f t="shared" si="149"/>
        <v>Normal</v>
      </c>
      <c r="P2433" t="str">
        <f t="shared" si="150"/>
        <v>Duplicate ID</v>
      </c>
      <c r="Q2433" t="str">
        <f t="shared" si="151"/>
        <v>25,000-30,000</v>
      </c>
      <c r="R2433" s="6">
        <f>IF(COUNTIF($A$2:A2433,A2433)=1,1,0)</f>
        <v>0</v>
      </c>
    </row>
    <row r="2434" spans="1:18" x14ac:dyDescent="0.25">
      <c r="A2434" s="6">
        <v>1315</v>
      </c>
      <c r="B2434" s="7">
        <v>45279</v>
      </c>
      <c r="C2434" t="s">
        <v>79</v>
      </c>
      <c r="D2434" s="6">
        <v>2018</v>
      </c>
      <c r="E2434" s="8">
        <v>19152</v>
      </c>
      <c r="F2434" s="8">
        <v>26000</v>
      </c>
      <c r="G2434" s="8">
        <f t="shared" ref="G2434:G2497" si="152">IF(OR(F2434="",E2434=""),"",F2434-E2434)</f>
        <v>6848</v>
      </c>
      <c r="H2434" s="6">
        <v>25000</v>
      </c>
      <c r="I2434" t="s">
        <v>58</v>
      </c>
      <c r="J2434" t="s">
        <v>72</v>
      </c>
      <c r="K2434" t="s">
        <v>36</v>
      </c>
      <c r="L2434" t="s">
        <v>1647</v>
      </c>
      <c r="M2434" t="s">
        <v>90</v>
      </c>
      <c r="N2434" s="6">
        <v>2</v>
      </c>
      <c r="O2434" t="str">
        <f t="shared" ref="O2434:O2501" si="153">IF(E2434&lt;1000,"Outlier","Normal")</f>
        <v>Normal</v>
      </c>
      <c r="P2434" t="str">
        <f t="shared" ref="P2434:P2501" si="154">IF(COUNTIF($A$2:$A$2501,A2434)&gt;1,"Duplicate ID","Unique ID")</f>
        <v>Duplicate ID</v>
      </c>
      <c r="Q2434" t="str">
        <f t="shared" ref="Q2434:Q2501" si="155">IF(E2434&lt;5000,"0-4,999",IF(E2434&lt;10000,"5,000-9,999",IF(E2434&lt;15000,"10,000-14,999",IF(E2434&lt;20000,"15,000-19,999",IF(E2434&lt;25000,"20,000-24,999","25,000-30,000")))))</f>
        <v>15,000-19,999</v>
      </c>
      <c r="R2434" s="6">
        <f>IF(COUNTIF($A$2:A2434,A2434)=1,1,0)</f>
        <v>0</v>
      </c>
    </row>
    <row r="2435" spans="1:18" x14ac:dyDescent="0.25">
      <c r="A2435" s="6">
        <v>1079</v>
      </c>
      <c r="B2435" s="7">
        <v>44688</v>
      </c>
      <c r="C2435" t="s">
        <v>79</v>
      </c>
      <c r="D2435" s="6">
        <v>2018</v>
      </c>
      <c r="E2435" s="8">
        <v>15183</v>
      </c>
      <c r="F2435" s="8">
        <v>22000</v>
      </c>
      <c r="G2435" s="8">
        <f t="shared" si="152"/>
        <v>6817</v>
      </c>
      <c r="H2435" s="6">
        <v>25000</v>
      </c>
      <c r="I2435" t="s">
        <v>34</v>
      </c>
      <c r="J2435" t="s">
        <v>35</v>
      </c>
      <c r="K2435" t="s">
        <v>36</v>
      </c>
      <c r="L2435" t="s">
        <v>48</v>
      </c>
      <c r="M2435" t="s">
        <v>90</v>
      </c>
      <c r="N2435" s="6">
        <v>2</v>
      </c>
      <c r="O2435" t="str">
        <f t="shared" si="153"/>
        <v>Normal</v>
      </c>
      <c r="P2435" t="str">
        <f t="shared" si="154"/>
        <v>Duplicate ID</v>
      </c>
      <c r="Q2435" t="str">
        <f t="shared" si="155"/>
        <v>15,000-19,999</v>
      </c>
      <c r="R2435" s="6">
        <f>IF(COUNTIF($A$2:A2435,A2435)=1,1,0)</f>
        <v>0</v>
      </c>
    </row>
    <row r="2436" spans="1:18" x14ac:dyDescent="0.25">
      <c r="A2436" s="6">
        <v>1057</v>
      </c>
      <c r="B2436" s="7">
        <v>44520</v>
      </c>
      <c r="C2436" t="s">
        <v>119</v>
      </c>
      <c r="D2436" s="6">
        <v>2017</v>
      </c>
      <c r="E2436" s="8">
        <v>13802</v>
      </c>
      <c r="F2436" s="8">
        <v>18000</v>
      </c>
      <c r="G2436" s="8">
        <f t="shared" si="152"/>
        <v>4198</v>
      </c>
      <c r="H2436" s="6">
        <v>15000</v>
      </c>
      <c r="I2436" t="s">
        <v>69</v>
      </c>
      <c r="J2436" t="s">
        <v>35</v>
      </c>
      <c r="K2436" t="s">
        <v>36</v>
      </c>
      <c r="L2436" t="s">
        <v>54</v>
      </c>
      <c r="M2436" t="s">
        <v>90</v>
      </c>
      <c r="N2436" s="6">
        <v>0</v>
      </c>
      <c r="O2436" t="str">
        <f t="shared" si="153"/>
        <v>Normal</v>
      </c>
      <c r="P2436" t="str">
        <f t="shared" si="154"/>
        <v>Duplicate ID</v>
      </c>
      <c r="Q2436" t="str">
        <f t="shared" si="155"/>
        <v>10,000-14,999</v>
      </c>
      <c r="R2436" s="6">
        <f>IF(COUNTIF($A$2:A2436,A2436)=1,1,0)</f>
        <v>0</v>
      </c>
    </row>
    <row r="2437" spans="1:18" x14ac:dyDescent="0.25">
      <c r="A2437" s="6">
        <v>1181</v>
      </c>
      <c r="B2437" s="7">
        <v>44900</v>
      </c>
      <c r="C2437" t="s">
        <v>79</v>
      </c>
      <c r="D2437" s="6">
        <v>2020</v>
      </c>
      <c r="E2437" s="8">
        <v>8356</v>
      </c>
      <c r="F2437" s="8">
        <v>15000</v>
      </c>
      <c r="G2437" s="8">
        <f t="shared" si="152"/>
        <v>6644</v>
      </c>
      <c r="H2437" s="6">
        <v>40000</v>
      </c>
      <c r="I2437" t="s">
        <v>34</v>
      </c>
      <c r="J2437" t="s">
        <v>35</v>
      </c>
      <c r="K2437" t="s">
        <v>36</v>
      </c>
      <c r="L2437" t="s">
        <v>100</v>
      </c>
      <c r="M2437" t="s">
        <v>45</v>
      </c>
      <c r="N2437" s="6">
        <v>3</v>
      </c>
      <c r="O2437" t="str">
        <f t="shared" si="153"/>
        <v>Normal</v>
      </c>
      <c r="P2437" t="str">
        <f t="shared" si="154"/>
        <v>Duplicate ID</v>
      </c>
      <c r="Q2437" t="str">
        <f t="shared" si="155"/>
        <v>5,000-9,999</v>
      </c>
      <c r="R2437" s="6">
        <f>IF(COUNTIF($A$2:A2437,A2437)=1,1,0)</f>
        <v>0</v>
      </c>
    </row>
    <row r="2438" spans="1:18" x14ac:dyDescent="0.25">
      <c r="A2438" s="6">
        <v>1120</v>
      </c>
      <c r="B2438" s="7">
        <v>44940</v>
      </c>
      <c r="C2438" t="s">
        <v>40</v>
      </c>
      <c r="D2438" s="6">
        <v>2018</v>
      </c>
      <c r="E2438" s="8">
        <v>14020</v>
      </c>
      <c r="F2438" s="8">
        <v>18000</v>
      </c>
      <c r="G2438" s="8">
        <f t="shared" si="152"/>
        <v>3980</v>
      </c>
      <c r="H2438" s="6">
        <v>40000</v>
      </c>
      <c r="I2438" t="s">
        <v>58</v>
      </c>
      <c r="J2438" t="s">
        <v>72</v>
      </c>
      <c r="K2438" t="s">
        <v>96</v>
      </c>
      <c r="L2438" t="s">
        <v>100</v>
      </c>
      <c r="M2438" t="s">
        <v>126</v>
      </c>
      <c r="N2438" s="6">
        <v>0</v>
      </c>
      <c r="O2438" t="str">
        <f t="shared" si="153"/>
        <v>Normal</v>
      </c>
      <c r="P2438" t="str">
        <f t="shared" si="154"/>
        <v>Duplicate ID</v>
      </c>
      <c r="Q2438" t="str">
        <f t="shared" si="155"/>
        <v>10,000-14,999</v>
      </c>
      <c r="R2438" s="6">
        <f>IF(COUNTIF($A$2:A2438,A2438)=1,1,0)</f>
        <v>0</v>
      </c>
    </row>
    <row r="2439" spans="1:18" x14ac:dyDescent="0.25">
      <c r="A2439" s="6">
        <v>1300</v>
      </c>
      <c r="B2439" s="7">
        <v>44739</v>
      </c>
      <c r="C2439" t="s">
        <v>32</v>
      </c>
      <c r="D2439" s="6">
        <v>2021</v>
      </c>
      <c r="E2439" s="8">
        <v>16283</v>
      </c>
      <c r="F2439" s="8">
        <v>22000</v>
      </c>
      <c r="G2439" s="8">
        <f t="shared" si="152"/>
        <v>5717</v>
      </c>
      <c r="H2439" s="6">
        <v>40000</v>
      </c>
      <c r="I2439" t="s">
        <v>58</v>
      </c>
      <c r="J2439" t="s">
        <v>35</v>
      </c>
      <c r="K2439" t="s">
        <v>1647</v>
      </c>
      <c r="L2439" t="s">
        <v>1647</v>
      </c>
      <c r="M2439" t="s">
        <v>45</v>
      </c>
      <c r="N2439" s="6">
        <v>1</v>
      </c>
      <c r="O2439" t="str">
        <f t="shared" si="153"/>
        <v>Normal</v>
      </c>
      <c r="P2439" t="str">
        <f t="shared" si="154"/>
        <v>Duplicate ID</v>
      </c>
      <c r="Q2439" t="str">
        <f t="shared" si="155"/>
        <v>15,000-19,999</v>
      </c>
      <c r="R2439" s="6">
        <f>IF(COUNTIF($A$2:A2439,A2439)=1,1,0)</f>
        <v>0</v>
      </c>
    </row>
    <row r="2440" spans="1:18" x14ac:dyDescent="0.25">
      <c r="A2440" s="6">
        <v>1076</v>
      </c>
      <c r="B2440" s="7">
        <v>44948</v>
      </c>
      <c r="C2440" t="s">
        <v>51</v>
      </c>
      <c r="D2440" s="6">
        <v>2020</v>
      </c>
      <c r="E2440" s="8">
        <v>13102</v>
      </c>
      <c r="F2440" s="8">
        <v>15000</v>
      </c>
      <c r="G2440" s="8">
        <f t="shared" si="152"/>
        <v>1898</v>
      </c>
      <c r="H2440" s="6">
        <v>80000</v>
      </c>
      <c r="I2440" t="s">
        <v>34</v>
      </c>
      <c r="J2440" t="s">
        <v>72</v>
      </c>
      <c r="K2440" t="s">
        <v>96</v>
      </c>
      <c r="L2440" t="s">
        <v>100</v>
      </c>
      <c r="M2440" t="s">
        <v>45</v>
      </c>
      <c r="N2440" s="6">
        <v>3</v>
      </c>
      <c r="O2440" t="str">
        <f t="shared" si="153"/>
        <v>Normal</v>
      </c>
      <c r="P2440" t="str">
        <f t="shared" si="154"/>
        <v>Duplicate ID</v>
      </c>
      <c r="Q2440" t="str">
        <f t="shared" si="155"/>
        <v>10,000-14,999</v>
      </c>
      <c r="R2440" s="6">
        <f>IF(COUNTIF($A$2:A2440,A2440)=1,1,0)</f>
        <v>0</v>
      </c>
    </row>
    <row r="2441" spans="1:18" x14ac:dyDescent="0.25">
      <c r="A2441" s="6">
        <v>1209</v>
      </c>
      <c r="B2441" s="7">
        <v>45100</v>
      </c>
      <c r="C2441" t="s">
        <v>51</v>
      </c>
      <c r="D2441" s="6">
        <v>2016</v>
      </c>
      <c r="E2441" s="8">
        <v>27926</v>
      </c>
      <c r="F2441" s="8">
        <v>31000</v>
      </c>
      <c r="G2441" s="8">
        <f t="shared" si="152"/>
        <v>3074</v>
      </c>
      <c r="H2441" s="6">
        <v>25000</v>
      </c>
      <c r="I2441" t="s">
        <v>1647</v>
      </c>
      <c r="J2441" t="s">
        <v>72</v>
      </c>
      <c r="K2441" t="s">
        <v>1647</v>
      </c>
      <c r="L2441" t="s">
        <v>73</v>
      </c>
      <c r="M2441" t="s">
        <v>45</v>
      </c>
      <c r="N2441" s="6">
        <v>1</v>
      </c>
      <c r="O2441" t="str">
        <f t="shared" si="153"/>
        <v>Normal</v>
      </c>
      <c r="P2441" t="str">
        <f t="shared" si="154"/>
        <v>Duplicate ID</v>
      </c>
      <c r="Q2441" t="str">
        <f t="shared" si="155"/>
        <v>25,000-30,000</v>
      </c>
      <c r="R2441" s="6">
        <f>IF(COUNTIF($A$2:A2441,A2441)=1,1,0)</f>
        <v>0</v>
      </c>
    </row>
    <row r="2442" spans="1:18" x14ac:dyDescent="0.25">
      <c r="A2442" s="6">
        <v>1377</v>
      </c>
      <c r="B2442" s="7">
        <v>44731</v>
      </c>
      <c r="C2442" t="s">
        <v>40</v>
      </c>
      <c r="D2442" s="6">
        <v>2014</v>
      </c>
      <c r="E2442" s="8">
        <v>29024</v>
      </c>
      <c r="F2442" s="8">
        <v>31000</v>
      </c>
      <c r="G2442" s="8">
        <f t="shared" si="152"/>
        <v>1976</v>
      </c>
      <c r="H2442" s="6">
        <v>40000</v>
      </c>
      <c r="I2442" t="s">
        <v>58</v>
      </c>
      <c r="J2442" t="s">
        <v>72</v>
      </c>
      <c r="K2442" t="s">
        <v>96</v>
      </c>
      <c r="L2442" t="s">
        <v>100</v>
      </c>
      <c r="M2442" t="s">
        <v>90</v>
      </c>
      <c r="N2442" s="6">
        <v>0</v>
      </c>
      <c r="O2442" t="str">
        <f t="shared" si="153"/>
        <v>Normal</v>
      </c>
      <c r="P2442" t="str">
        <f t="shared" si="154"/>
        <v>Duplicate ID</v>
      </c>
      <c r="Q2442" t="str">
        <f t="shared" si="155"/>
        <v>25,000-30,000</v>
      </c>
      <c r="R2442" s="6">
        <f>IF(COUNTIF($A$2:A2442,A2442)=1,1,0)</f>
        <v>0</v>
      </c>
    </row>
    <row r="2443" spans="1:18" x14ac:dyDescent="0.25">
      <c r="A2443" s="6">
        <v>1078</v>
      </c>
      <c r="B2443" s="7">
        <v>44599</v>
      </c>
      <c r="C2443" t="s">
        <v>51</v>
      </c>
      <c r="D2443" s="6">
        <v>2021</v>
      </c>
      <c r="E2443" s="8">
        <v>8344</v>
      </c>
      <c r="F2443" s="8">
        <v>12000</v>
      </c>
      <c r="G2443" s="8">
        <f t="shared" si="152"/>
        <v>3656</v>
      </c>
      <c r="H2443" s="6">
        <v>40000</v>
      </c>
      <c r="I2443" t="s">
        <v>34</v>
      </c>
      <c r="J2443" t="s">
        <v>72</v>
      </c>
      <c r="K2443" t="s">
        <v>36</v>
      </c>
      <c r="L2443" t="s">
        <v>48</v>
      </c>
      <c r="M2443" t="s">
        <v>1647</v>
      </c>
      <c r="N2443" s="6">
        <v>3</v>
      </c>
      <c r="O2443" t="str">
        <f t="shared" si="153"/>
        <v>Normal</v>
      </c>
      <c r="P2443" t="str">
        <f t="shared" si="154"/>
        <v>Duplicate ID</v>
      </c>
      <c r="Q2443" t="str">
        <f t="shared" si="155"/>
        <v>5,000-9,999</v>
      </c>
      <c r="R2443" s="6">
        <f>IF(COUNTIF($A$2:A2443,A2443)=1,1,0)</f>
        <v>0</v>
      </c>
    </row>
    <row r="2444" spans="1:18" x14ac:dyDescent="0.25">
      <c r="A2444" s="6">
        <v>1275</v>
      </c>
      <c r="B2444" s="7">
        <v>44342</v>
      </c>
      <c r="C2444" t="s">
        <v>57</v>
      </c>
      <c r="D2444" s="6">
        <v>2018</v>
      </c>
      <c r="E2444" s="8">
        <v>13612</v>
      </c>
      <c r="F2444" s="8">
        <v>15000</v>
      </c>
      <c r="G2444" s="8">
        <f t="shared" si="152"/>
        <v>1388</v>
      </c>
      <c r="H2444" s="6">
        <v>120000</v>
      </c>
      <c r="I2444" t="s">
        <v>34</v>
      </c>
      <c r="J2444" t="s">
        <v>35</v>
      </c>
      <c r="K2444" t="s">
        <v>36</v>
      </c>
      <c r="L2444" t="s">
        <v>48</v>
      </c>
      <c r="M2444" t="s">
        <v>98</v>
      </c>
      <c r="N2444" s="6">
        <v>1</v>
      </c>
      <c r="O2444" t="str">
        <f t="shared" si="153"/>
        <v>Normal</v>
      </c>
      <c r="P2444" t="str">
        <f t="shared" si="154"/>
        <v>Duplicate ID</v>
      </c>
      <c r="Q2444" t="str">
        <f t="shared" si="155"/>
        <v>10,000-14,999</v>
      </c>
      <c r="R2444" s="6">
        <f>IF(COUNTIF($A$2:A2444,A2444)=1,1,0)</f>
        <v>0</v>
      </c>
    </row>
    <row r="2445" spans="1:18" x14ac:dyDescent="0.25">
      <c r="A2445" s="6">
        <v>1502</v>
      </c>
      <c r="B2445" s="7">
        <v>45259</v>
      </c>
      <c r="C2445" t="s">
        <v>1648</v>
      </c>
      <c r="D2445" s="6">
        <v>2018</v>
      </c>
      <c r="E2445" s="8">
        <v>7477</v>
      </c>
      <c r="F2445" s="8">
        <v>9000</v>
      </c>
      <c r="G2445" s="8">
        <f t="shared" si="152"/>
        <v>1523</v>
      </c>
      <c r="H2445" s="6">
        <v>25000</v>
      </c>
      <c r="I2445" t="s">
        <v>69</v>
      </c>
      <c r="J2445" t="s">
        <v>35</v>
      </c>
      <c r="K2445" t="s">
        <v>96</v>
      </c>
      <c r="L2445" t="s">
        <v>73</v>
      </c>
      <c r="M2445" t="s">
        <v>45</v>
      </c>
      <c r="N2445" s="6">
        <v>3</v>
      </c>
      <c r="O2445" t="str">
        <f t="shared" si="153"/>
        <v>Normal</v>
      </c>
      <c r="P2445" t="str">
        <f t="shared" si="154"/>
        <v>Duplicate ID</v>
      </c>
      <c r="Q2445" t="str">
        <f t="shared" si="155"/>
        <v>5,000-9,999</v>
      </c>
      <c r="R2445" s="6">
        <f>IF(COUNTIF($A$2:A2445,A2445)=1,1,0)</f>
        <v>0</v>
      </c>
    </row>
    <row r="2446" spans="1:18" x14ac:dyDescent="0.25">
      <c r="A2446" s="6">
        <v>1326</v>
      </c>
      <c r="B2446" s="7">
        <v>44534</v>
      </c>
      <c r="C2446" t="s">
        <v>40</v>
      </c>
      <c r="D2446" s="6">
        <v>2019</v>
      </c>
      <c r="E2446" s="8">
        <v>5120</v>
      </c>
      <c r="F2446" s="8">
        <v>7000</v>
      </c>
      <c r="G2446" s="8">
        <f t="shared" si="152"/>
        <v>1880</v>
      </c>
      <c r="H2446" s="6">
        <v>15000</v>
      </c>
      <c r="I2446" t="s">
        <v>34</v>
      </c>
      <c r="J2446" t="s">
        <v>35</v>
      </c>
      <c r="K2446" t="s">
        <v>36</v>
      </c>
      <c r="L2446" t="s">
        <v>54</v>
      </c>
      <c r="M2446" t="s">
        <v>126</v>
      </c>
      <c r="N2446" s="6">
        <v>1</v>
      </c>
      <c r="O2446" t="str">
        <f t="shared" si="153"/>
        <v>Normal</v>
      </c>
      <c r="P2446" t="str">
        <f t="shared" si="154"/>
        <v>Duplicate ID</v>
      </c>
      <c r="Q2446" t="str">
        <f t="shared" si="155"/>
        <v>5,000-9,999</v>
      </c>
      <c r="R2446" s="6">
        <f>IF(COUNTIF($A$2:A2446,A2446)=1,1,0)</f>
        <v>0</v>
      </c>
    </row>
    <row r="2447" spans="1:18" x14ac:dyDescent="0.25">
      <c r="A2447" s="6">
        <v>1115</v>
      </c>
      <c r="B2447" s="7">
        <v>44470</v>
      </c>
      <c r="C2447" t="s">
        <v>1648</v>
      </c>
      <c r="D2447" s="6">
        <v>2016</v>
      </c>
      <c r="E2447" s="8">
        <v>23142</v>
      </c>
      <c r="F2447" s="8">
        <v>26000</v>
      </c>
      <c r="G2447" s="8">
        <f t="shared" si="152"/>
        <v>2858</v>
      </c>
      <c r="H2447" s="6">
        <v>80000</v>
      </c>
      <c r="I2447" t="s">
        <v>41</v>
      </c>
      <c r="J2447" t="s">
        <v>72</v>
      </c>
      <c r="K2447" t="s">
        <v>1647</v>
      </c>
      <c r="L2447" t="s">
        <v>1647</v>
      </c>
      <c r="M2447" t="s">
        <v>45</v>
      </c>
      <c r="N2447" s="6">
        <v>1</v>
      </c>
      <c r="O2447" t="str">
        <f t="shared" si="153"/>
        <v>Normal</v>
      </c>
      <c r="P2447" t="str">
        <f t="shared" si="154"/>
        <v>Duplicate ID</v>
      </c>
      <c r="Q2447" t="str">
        <f t="shared" si="155"/>
        <v>20,000-24,999</v>
      </c>
      <c r="R2447" s="6">
        <f>IF(COUNTIF($A$2:A2447,A2447)=1,1,0)</f>
        <v>0</v>
      </c>
    </row>
    <row r="2448" spans="1:18" x14ac:dyDescent="0.25">
      <c r="A2448" s="6">
        <v>1463</v>
      </c>
      <c r="B2448" s="7">
        <v>44976</v>
      </c>
      <c r="C2448" t="s">
        <v>79</v>
      </c>
      <c r="D2448" s="6">
        <v>2014</v>
      </c>
      <c r="E2448" s="8">
        <v>26764</v>
      </c>
      <c r="F2448" s="8">
        <v>31000</v>
      </c>
      <c r="G2448" s="8">
        <f t="shared" si="152"/>
        <v>4236</v>
      </c>
      <c r="H2448" s="6">
        <v>80000</v>
      </c>
      <c r="I2448" t="s">
        <v>41</v>
      </c>
      <c r="J2448" t="s">
        <v>35</v>
      </c>
      <c r="K2448" t="s">
        <v>96</v>
      </c>
      <c r="L2448" t="s">
        <v>73</v>
      </c>
      <c r="M2448" t="s">
        <v>45</v>
      </c>
      <c r="N2448" s="6">
        <v>2</v>
      </c>
      <c r="O2448" t="str">
        <f t="shared" si="153"/>
        <v>Normal</v>
      </c>
      <c r="P2448" t="str">
        <f t="shared" si="154"/>
        <v>Duplicate ID</v>
      </c>
      <c r="Q2448" t="str">
        <f t="shared" si="155"/>
        <v>25,000-30,000</v>
      </c>
      <c r="R2448" s="6">
        <f>IF(COUNTIF($A$2:A2448,A2448)=1,1,0)</f>
        <v>0</v>
      </c>
    </row>
    <row r="2449" spans="1:18" x14ac:dyDescent="0.25">
      <c r="A2449" s="6">
        <v>1228</v>
      </c>
      <c r="B2449" s="7">
        <v>45171</v>
      </c>
      <c r="C2449" t="s">
        <v>32</v>
      </c>
      <c r="D2449" s="6">
        <v>2018</v>
      </c>
      <c r="E2449" s="8">
        <v>19744</v>
      </c>
      <c r="F2449" s="8">
        <v>26000</v>
      </c>
      <c r="G2449" s="8">
        <f t="shared" si="152"/>
        <v>6256</v>
      </c>
      <c r="H2449" s="6">
        <v>15000</v>
      </c>
      <c r="I2449" t="s">
        <v>34</v>
      </c>
      <c r="J2449" t="s">
        <v>35</v>
      </c>
      <c r="K2449" t="s">
        <v>96</v>
      </c>
      <c r="L2449" t="s">
        <v>54</v>
      </c>
      <c r="M2449" t="s">
        <v>90</v>
      </c>
      <c r="N2449" s="6" t="s">
        <v>1647</v>
      </c>
      <c r="O2449" t="str">
        <f t="shared" si="153"/>
        <v>Normal</v>
      </c>
      <c r="P2449" t="str">
        <f t="shared" si="154"/>
        <v>Duplicate ID</v>
      </c>
      <c r="Q2449" t="str">
        <f t="shared" si="155"/>
        <v>15,000-19,999</v>
      </c>
      <c r="R2449" s="6">
        <f>IF(COUNTIF($A$2:A2449,A2449)=1,1,0)</f>
        <v>0</v>
      </c>
    </row>
    <row r="2450" spans="1:18" x14ac:dyDescent="0.25">
      <c r="A2450" s="6">
        <v>1447</v>
      </c>
      <c r="B2450" s="7">
        <v>45160</v>
      </c>
      <c r="C2450" t="s">
        <v>51</v>
      </c>
      <c r="D2450" s="6"/>
      <c r="E2450" s="8">
        <v>14349</v>
      </c>
      <c r="F2450" s="8">
        <v>18000</v>
      </c>
      <c r="G2450" s="8">
        <f t="shared" si="152"/>
        <v>3651</v>
      </c>
      <c r="H2450" s="6">
        <v>60000</v>
      </c>
      <c r="I2450" t="s">
        <v>58</v>
      </c>
      <c r="J2450" t="s">
        <v>1647</v>
      </c>
      <c r="K2450" t="s">
        <v>36</v>
      </c>
      <c r="L2450" t="s">
        <v>73</v>
      </c>
      <c r="M2450" t="s">
        <v>45</v>
      </c>
      <c r="N2450" s="6">
        <v>2</v>
      </c>
      <c r="O2450" t="str">
        <f t="shared" si="153"/>
        <v>Normal</v>
      </c>
      <c r="P2450" t="str">
        <f t="shared" si="154"/>
        <v>Duplicate ID</v>
      </c>
      <c r="Q2450" t="str">
        <f t="shared" si="155"/>
        <v>10,000-14,999</v>
      </c>
      <c r="R2450" s="6">
        <f>IF(COUNTIF($A$2:A2450,A2450)=1,1,0)</f>
        <v>0</v>
      </c>
    </row>
    <row r="2451" spans="1:18" x14ac:dyDescent="0.25">
      <c r="A2451" s="6">
        <v>1213</v>
      </c>
      <c r="B2451" s="7">
        <v>45291</v>
      </c>
      <c r="C2451" t="s">
        <v>1648</v>
      </c>
      <c r="D2451" s="6">
        <v>2021</v>
      </c>
      <c r="E2451" s="8">
        <v>25079</v>
      </c>
      <c r="F2451" s="8">
        <v>31000</v>
      </c>
      <c r="G2451" s="8">
        <f t="shared" si="152"/>
        <v>5921</v>
      </c>
      <c r="H2451" s="6">
        <v>120000</v>
      </c>
      <c r="I2451" t="s">
        <v>41</v>
      </c>
      <c r="J2451" t="s">
        <v>35</v>
      </c>
      <c r="K2451" t="s">
        <v>96</v>
      </c>
      <c r="L2451" t="s">
        <v>100</v>
      </c>
      <c r="M2451" t="s">
        <v>45</v>
      </c>
      <c r="N2451" s="6" t="s">
        <v>1647</v>
      </c>
      <c r="O2451" t="str">
        <f t="shared" si="153"/>
        <v>Normal</v>
      </c>
      <c r="P2451" t="str">
        <f t="shared" si="154"/>
        <v>Duplicate ID</v>
      </c>
      <c r="Q2451" t="str">
        <f t="shared" si="155"/>
        <v>25,000-30,000</v>
      </c>
      <c r="R2451" s="6">
        <f>IF(COUNTIF($A$2:A2451,A2451)=1,1,0)</f>
        <v>0</v>
      </c>
    </row>
    <row r="2452" spans="1:18" x14ac:dyDescent="0.25">
      <c r="A2452" s="6">
        <v>1057</v>
      </c>
      <c r="B2452" s="7">
        <v>45363</v>
      </c>
      <c r="C2452" t="s">
        <v>32</v>
      </c>
      <c r="D2452" s="6">
        <v>2019</v>
      </c>
      <c r="E2452" s="8">
        <v>4117</v>
      </c>
      <c r="F2452" s="8">
        <v>7000</v>
      </c>
      <c r="G2452" s="8">
        <f t="shared" si="152"/>
        <v>2883</v>
      </c>
      <c r="H2452" s="6">
        <v>40000</v>
      </c>
      <c r="I2452" t="s">
        <v>41</v>
      </c>
      <c r="J2452" t="s">
        <v>35</v>
      </c>
      <c r="K2452" t="s">
        <v>1647</v>
      </c>
      <c r="L2452" t="s">
        <v>54</v>
      </c>
      <c r="M2452" t="s">
        <v>1647</v>
      </c>
      <c r="N2452" s="6">
        <v>3</v>
      </c>
      <c r="O2452" t="str">
        <f t="shared" si="153"/>
        <v>Normal</v>
      </c>
      <c r="P2452" t="str">
        <f t="shared" si="154"/>
        <v>Duplicate ID</v>
      </c>
      <c r="Q2452" t="str">
        <f t="shared" si="155"/>
        <v>0-4,999</v>
      </c>
      <c r="R2452" s="6">
        <f>IF(COUNTIF($A$2:A2452,A2452)=1,1,0)</f>
        <v>0</v>
      </c>
    </row>
    <row r="2453" spans="1:18" x14ac:dyDescent="0.25">
      <c r="A2453" s="6">
        <v>1365</v>
      </c>
      <c r="B2453" s="7">
        <v>44630</v>
      </c>
      <c r="C2453" t="s">
        <v>79</v>
      </c>
      <c r="D2453" s="6">
        <v>2020</v>
      </c>
      <c r="E2453" s="8">
        <v>2567</v>
      </c>
      <c r="F2453" s="8">
        <v>7000</v>
      </c>
      <c r="G2453" s="8">
        <f t="shared" si="152"/>
        <v>4433</v>
      </c>
      <c r="H2453" s="6">
        <v>80000</v>
      </c>
      <c r="I2453" t="s">
        <v>41</v>
      </c>
      <c r="J2453" t="s">
        <v>72</v>
      </c>
      <c r="K2453" t="s">
        <v>96</v>
      </c>
      <c r="L2453" t="s">
        <v>73</v>
      </c>
      <c r="M2453" t="s">
        <v>90</v>
      </c>
      <c r="N2453" s="6">
        <v>0</v>
      </c>
      <c r="O2453" t="str">
        <f t="shared" si="153"/>
        <v>Normal</v>
      </c>
      <c r="P2453" t="str">
        <f t="shared" si="154"/>
        <v>Duplicate ID</v>
      </c>
      <c r="Q2453" t="str">
        <f t="shared" si="155"/>
        <v>0-4,999</v>
      </c>
      <c r="R2453" s="6">
        <f>IF(COUNTIF($A$2:A2453,A2453)=1,1,0)</f>
        <v>0</v>
      </c>
    </row>
    <row r="2454" spans="1:18" x14ac:dyDescent="0.25">
      <c r="A2454" s="6">
        <v>1140</v>
      </c>
      <c r="B2454" s="7">
        <v>44535</v>
      </c>
      <c r="C2454" t="s">
        <v>40</v>
      </c>
      <c r="D2454" s="6">
        <v>2015</v>
      </c>
      <c r="E2454" s="8">
        <v>13810</v>
      </c>
      <c r="F2454" s="8">
        <v>18000</v>
      </c>
      <c r="G2454" s="8">
        <f t="shared" si="152"/>
        <v>4190</v>
      </c>
      <c r="H2454" s="6">
        <v>25000</v>
      </c>
      <c r="I2454" t="s">
        <v>41</v>
      </c>
      <c r="J2454" t="s">
        <v>1647</v>
      </c>
      <c r="K2454" t="s">
        <v>36</v>
      </c>
      <c r="L2454" t="s">
        <v>100</v>
      </c>
      <c r="M2454" t="s">
        <v>45</v>
      </c>
      <c r="N2454" s="6">
        <v>2</v>
      </c>
      <c r="O2454" t="str">
        <f t="shared" si="153"/>
        <v>Normal</v>
      </c>
      <c r="P2454" t="str">
        <f t="shared" si="154"/>
        <v>Duplicate ID</v>
      </c>
      <c r="Q2454" t="str">
        <f t="shared" si="155"/>
        <v>10,000-14,999</v>
      </c>
      <c r="R2454" s="6">
        <f>IF(COUNTIF($A$2:A2454,A2454)=1,1,0)</f>
        <v>0</v>
      </c>
    </row>
    <row r="2455" spans="1:18" x14ac:dyDescent="0.25">
      <c r="A2455" s="6">
        <v>1329</v>
      </c>
      <c r="B2455" s="7">
        <v>44676</v>
      </c>
      <c r="C2455" t="s">
        <v>51</v>
      </c>
      <c r="D2455" s="6">
        <v>2014</v>
      </c>
      <c r="E2455" s="8">
        <v>15813</v>
      </c>
      <c r="F2455" s="8">
        <v>22000</v>
      </c>
      <c r="G2455" s="8">
        <f t="shared" si="152"/>
        <v>6187</v>
      </c>
      <c r="H2455" s="6">
        <v>80000</v>
      </c>
      <c r="I2455" t="s">
        <v>69</v>
      </c>
      <c r="J2455" t="s">
        <v>35</v>
      </c>
      <c r="K2455" t="s">
        <v>96</v>
      </c>
      <c r="L2455" t="s">
        <v>48</v>
      </c>
      <c r="M2455" t="s">
        <v>45</v>
      </c>
      <c r="N2455" s="6">
        <v>0</v>
      </c>
      <c r="O2455" t="str">
        <f t="shared" si="153"/>
        <v>Normal</v>
      </c>
      <c r="P2455" t="str">
        <f t="shared" si="154"/>
        <v>Duplicate ID</v>
      </c>
      <c r="Q2455" t="str">
        <f t="shared" si="155"/>
        <v>15,000-19,999</v>
      </c>
      <c r="R2455" s="6">
        <f>IF(COUNTIF($A$2:A2455,A2455)=1,1,0)</f>
        <v>0</v>
      </c>
    </row>
    <row r="2456" spans="1:18" x14ac:dyDescent="0.25">
      <c r="A2456" s="6">
        <v>1497</v>
      </c>
      <c r="B2456" s="7">
        <v>44654</v>
      </c>
      <c r="C2456" t="s">
        <v>1648</v>
      </c>
      <c r="D2456" s="6">
        <v>2020</v>
      </c>
      <c r="E2456" s="8">
        <v>17242</v>
      </c>
      <c r="F2456" s="8">
        <v>22000</v>
      </c>
      <c r="G2456" s="8">
        <f t="shared" si="152"/>
        <v>4758</v>
      </c>
      <c r="H2456" s="6">
        <v>40000</v>
      </c>
      <c r="I2456" t="s">
        <v>69</v>
      </c>
      <c r="J2456" t="s">
        <v>35</v>
      </c>
      <c r="K2456" t="s">
        <v>96</v>
      </c>
      <c r="L2456" t="s">
        <v>73</v>
      </c>
      <c r="M2456" t="s">
        <v>90</v>
      </c>
      <c r="N2456" s="6">
        <v>1</v>
      </c>
      <c r="O2456" t="str">
        <f t="shared" si="153"/>
        <v>Normal</v>
      </c>
      <c r="P2456" t="str">
        <f t="shared" si="154"/>
        <v>Duplicate ID</v>
      </c>
      <c r="Q2456" t="str">
        <f t="shared" si="155"/>
        <v>15,000-19,999</v>
      </c>
      <c r="R2456" s="6">
        <f>IF(COUNTIF($A$2:A2456,A2456)=1,1,0)</f>
        <v>0</v>
      </c>
    </row>
    <row r="2457" spans="1:18" x14ac:dyDescent="0.25">
      <c r="A2457" s="6">
        <v>1084</v>
      </c>
      <c r="B2457" s="7">
        <v>44302</v>
      </c>
      <c r="C2457" t="s">
        <v>51</v>
      </c>
      <c r="D2457" s="6">
        <v>2022</v>
      </c>
      <c r="E2457" s="8">
        <v>13249</v>
      </c>
      <c r="F2457" s="8">
        <v>18000</v>
      </c>
      <c r="G2457" s="8">
        <f t="shared" si="152"/>
        <v>4751</v>
      </c>
      <c r="H2457" s="6">
        <v>60000</v>
      </c>
      <c r="I2457" t="s">
        <v>58</v>
      </c>
      <c r="J2457" t="s">
        <v>72</v>
      </c>
      <c r="K2457" t="s">
        <v>1647</v>
      </c>
      <c r="L2457" t="s">
        <v>100</v>
      </c>
      <c r="M2457" t="s">
        <v>45</v>
      </c>
      <c r="N2457" s="6" t="s">
        <v>1647</v>
      </c>
      <c r="O2457" t="str">
        <f t="shared" si="153"/>
        <v>Normal</v>
      </c>
      <c r="P2457" t="str">
        <f t="shared" si="154"/>
        <v>Duplicate ID</v>
      </c>
      <c r="Q2457" t="str">
        <f t="shared" si="155"/>
        <v>10,000-14,999</v>
      </c>
      <c r="R2457" s="6">
        <f>IF(COUNTIF($A$2:A2457,A2457)=1,1,0)</f>
        <v>0</v>
      </c>
    </row>
    <row r="2458" spans="1:18" x14ac:dyDescent="0.25">
      <c r="A2458" s="6">
        <v>1508</v>
      </c>
      <c r="B2458" s="7">
        <v>45010</v>
      </c>
      <c r="C2458" t="s">
        <v>1648</v>
      </c>
      <c r="D2458" s="6">
        <v>2019</v>
      </c>
      <c r="E2458" s="8">
        <v>5887</v>
      </c>
      <c r="F2458" s="8">
        <v>12000</v>
      </c>
      <c r="G2458" s="8">
        <f t="shared" si="152"/>
        <v>6113</v>
      </c>
      <c r="H2458" s="6">
        <v>25000</v>
      </c>
      <c r="I2458" t="s">
        <v>41</v>
      </c>
      <c r="J2458" t="s">
        <v>35</v>
      </c>
      <c r="K2458" t="s">
        <v>36</v>
      </c>
      <c r="L2458" t="s">
        <v>100</v>
      </c>
      <c r="M2458" t="s">
        <v>1647</v>
      </c>
      <c r="N2458" s="6">
        <v>2</v>
      </c>
      <c r="O2458" t="str">
        <f t="shared" si="153"/>
        <v>Normal</v>
      </c>
      <c r="P2458" t="str">
        <f t="shared" si="154"/>
        <v>Duplicate ID</v>
      </c>
      <c r="Q2458" t="str">
        <f t="shared" si="155"/>
        <v>5,000-9,999</v>
      </c>
      <c r="R2458" s="6">
        <f>IF(COUNTIF($A$2:A2458,A2458)=1,1,0)</f>
        <v>0</v>
      </c>
    </row>
    <row r="2459" spans="1:18" x14ac:dyDescent="0.25">
      <c r="A2459" s="6">
        <v>1268</v>
      </c>
      <c r="B2459" s="7">
        <v>45344</v>
      </c>
      <c r="C2459" t="s">
        <v>119</v>
      </c>
      <c r="D2459" s="6">
        <v>2014</v>
      </c>
      <c r="E2459" s="8">
        <v>29518</v>
      </c>
      <c r="F2459" s="8">
        <v>31000</v>
      </c>
      <c r="G2459" s="8">
        <f t="shared" si="152"/>
        <v>1482</v>
      </c>
      <c r="H2459" s="6">
        <v>15000</v>
      </c>
      <c r="I2459" t="s">
        <v>58</v>
      </c>
      <c r="J2459" t="s">
        <v>72</v>
      </c>
      <c r="K2459" t="s">
        <v>36</v>
      </c>
      <c r="L2459" t="s">
        <v>48</v>
      </c>
      <c r="M2459" t="s">
        <v>45</v>
      </c>
      <c r="N2459" s="6">
        <v>3</v>
      </c>
      <c r="O2459" t="str">
        <f t="shared" si="153"/>
        <v>Normal</v>
      </c>
      <c r="P2459" t="str">
        <f t="shared" si="154"/>
        <v>Duplicate ID</v>
      </c>
      <c r="Q2459" t="str">
        <f t="shared" si="155"/>
        <v>25,000-30,000</v>
      </c>
      <c r="R2459" s="6">
        <f>IF(COUNTIF($A$2:A2459,A2459)=1,1,0)</f>
        <v>0</v>
      </c>
    </row>
    <row r="2460" spans="1:18" x14ac:dyDescent="0.25">
      <c r="A2460" s="6">
        <v>1493</v>
      </c>
      <c r="B2460" s="7">
        <v>44610</v>
      </c>
      <c r="C2460" t="s">
        <v>51</v>
      </c>
      <c r="D2460" s="6">
        <v>2017</v>
      </c>
      <c r="E2460" s="8">
        <v>15207</v>
      </c>
      <c r="F2460" s="8">
        <v>22000</v>
      </c>
      <c r="G2460" s="8">
        <f t="shared" si="152"/>
        <v>6793</v>
      </c>
      <c r="H2460" s="6">
        <v>15000</v>
      </c>
      <c r="I2460" t="s">
        <v>69</v>
      </c>
      <c r="J2460" t="s">
        <v>72</v>
      </c>
      <c r="K2460" t="s">
        <v>36</v>
      </c>
      <c r="L2460" t="s">
        <v>54</v>
      </c>
      <c r="M2460" t="s">
        <v>90</v>
      </c>
      <c r="N2460" s="6">
        <v>3</v>
      </c>
      <c r="O2460" t="str">
        <f t="shared" si="153"/>
        <v>Normal</v>
      </c>
      <c r="P2460" t="str">
        <f t="shared" si="154"/>
        <v>Duplicate ID</v>
      </c>
      <c r="Q2460" t="str">
        <f t="shared" si="155"/>
        <v>15,000-19,999</v>
      </c>
      <c r="R2460" s="6">
        <f>IF(COUNTIF($A$2:A2460,A2460)=1,1,0)</f>
        <v>0</v>
      </c>
    </row>
    <row r="2461" spans="1:18" x14ac:dyDescent="0.25">
      <c r="A2461" s="6">
        <v>1144</v>
      </c>
      <c r="B2461" s="7">
        <v>44922</v>
      </c>
      <c r="C2461" t="s">
        <v>57</v>
      </c>
      <c r="D2461" s="6">
        <v>2014</v>
      </c>
      <c r="E2461" s="8">
        <v>12813</v>
      </c>
      <c r="F2461" s="8">
        <v>18000</v>
      </c>
      <c r="G2461" s="8">
        <f t="shared" si="152"/>
        <v>5187</v>
      </c>
      <c r="H2461" s="6">
        <v>15000</v>
      </c>
      <c r="I2461" t="s">
        <v>34</v>
      </c>
      <c r="J2461" t="s">
        <v>35</v>
      </c>
      <c r="K2461" t="s">
        <v>36</v>
      </c>
      <c r="L2461" t="s">
        <v>1647</v>
      </c>
      <c r="M2461" t="s">
        <v>98</v>
      </c>
      <c r="N2461" s="6" t="s">
        <v>1647</v>
      </c>
      <c r="O2461" t="str">
        <f t="shared" si="153"/>
        <v>Normal</v>
      </c>
      <c r="P2461" t="str">
        <f t="shared" si="154"/>
        <v>Duplicate ID</v>
      </c>
      <c r="Q2461" t="str">
        <f t="shared" si="155"/>
        <v>10,000-14,999</v>
      </c>
      <c r="R2461" s="6">
        <f>IF(COUNTIF($A$2:A2461,A2461)=1,1,0)</f>
        <v>0</v>
      </c>
    </row>
    <row r="2462" spans="1:18" x14ac:dyDescent="0.25">
      <c r="A2462" s="6">
        <v>1391</v>
      </c>
      <c r="B2462" s="7">
        <v>44564</v>
      </c>
      <c r="C2462" t="s">
        <v>1648</v>
      </c>
      <c r="D2462" s="6">
        <v>2017</v>
      </c>
      <c r="E2462" s="8">
        <v>25730</v>
      </c>
      <c r="F2462" s="8">
        <v>31000</v>
      </c>
      <c r="G2462" s="8">
        <f t="shared" si="152"/>
        <v>5270</v>
      </c>
      <c r="H2462" s="6">
        <v>25000</v>
      </c>
      <c r="I2462" t="s">
        <v>58</v>
      </c>
      <c r="J2462" t="s">
        <v>35</v>
      </c>
      <c r="K2462" t="s">
        <v>1647</v>
      </c>
      <c r="L2462" t="s">
        <v>73</v>
      </c>
      <c r="M2462" t="s">
        <v>45</v>
      </c>
      <c r="N2462" s="6">
        <v>0</v>
      </c>
      <c r="O2462" t="str">
        <f t="shared" si="153"/>
        <v>Normal</v>
      </c>
      <c r="P2462" t="str">
        <f t="shared" si="154"/>
        <v>Duplicate ID</v>
      </c>
      <c r="Q2462" t="str">
        <f t="shared" si="155"/>
        <v>25,000-30,000</v>
      </c>
      <c r="R2462" s="6">
        <f>IF(COUNTIF($A$2:A2462,A2462)=1,1,0)</f>
        <v>0</v>
      </c>
    </row>
    <row r="2463" spans="1:18" x14ac:dyDescent="0.25">
      <c r="A2463" s="6">
        <v>1207</v>
      </c>
      <c r="B2463" s="7">
        <v>44699</v>
      </c>
      <c r="C2463" t="s">
        <v>40</v>
      </c>
      <c r="D2463" s="6">
        <v>2021</v>
      </c>
      <c r="E2463" s="8">
        <v>7605</v>
      </c>
      <c r="F2463" s="8">
        <v>9000</v>
      </c>
      <c r="G2463" s="8">
        <f t="shared" si="152"/>
        <v>1395</v>
      </c>
      <c r="H2463" s="6">
        <v>60000</v>
      </c>
      <c r="I2463" t="s">
        <v>41</v>
      </c>
      <c r="J2463" t="s">
        <v>1647</v>
      </c>
      <c r="K2463" t="s">
        <v>96</v>
      </c>
      <c r="L2463" t="s">
        <v>54</v>
      </c>
      <c r="M2463" t="s">
        <v>45</v>
      </c>
      <c r="N2463" s="6">
        <v>0</v>
      </c>
      <c r="O2463" t="str">
        <f t="shared" si="153"/>
        <v>Normal</v>
      </c>
      <c r="P2463" t="str">
        <f t="shared" si="154"/>
        <v>Duplicate ID</v>
      </c>
      <c r="Q2463" t="str">
        <f t="shared" si="155"/>
        <v>5,000-9,999</v>
      </c>
      <c r="R2463" s="6">
        <f>IF(COUNTIF($A$2:A2463,A2463)=1,1,0)</f>
        <v>0</v>
      </c>
    </row>
    <row r="2464" spans="1:18" x14ac:dyDescent="0.25">
      <c r="A2464" s="6">
        <v>1185</v>
      </c>
      <c r="B2464" s="7">
        <v>44308</v>
      </c>
      <c r="C2464" t="s">
        <v>51</v>
      </c>
      <c r="D2464" s="6">
        <v>2017</v>
      </c>
      <c r="E2464" s="8">
        <v>21479</v>
      </c>
      <c r="F2464" s="8">
        <v>26000</v>
      </c>
      <c r="G2464" s="8">
        <f t="shared" si="152"/>
        <v>4521</v>
      </c>
      <c r="H2464" s="6">
        <v>120000</v>
      </c>
      <c r="I2464" t="s">
        <v>41</v>
      </c>
      <c r="J2464" t="s">
        <v>35</v>
      </c>
      <c r="K2464" t="s">
        <v>96</v>
      </c>
      <c r="L2464" t="s">
        <v>1647</v>
      </c>
      <c r="M2464" t="s">
        <v>1647</v>
      </c>
      <c r="N2464" s="6">
        <v>0</v>
      </c>
      <c r="O2464" t="str">
        <f t="shared" si="153"/>
        <v>Normal</v>
      </c>
      <c r="P2464" t="str">
        <f t="shared" si="154"/>
        <v>Duplicate ID</v>
      </c>
      <c r="Q2464" t="str">
        <f t="shared" si="155"/>
        <v>20,000-24,999</v>
      </c>
      <c r="R2464" s="6">
        <f>IF(COUNTIF($A$2:A2464,A2464)=1,1,0)</f>
        <v>0</v>
      </c>
    </row>
    <row r="2465" spans="1:18" x14ac:dyDescent="0.25">
      <c r="A2465" s="6">
        <v>1425</v>
      </c>
      <c r="B2465" s="7">
        <v>44689</v>
      </c>
      <c r="C2465" t="s">
        <v>57</v>
      </c>
      <c r="D2465" s="6">
        <v>2018</v>
      </c>
      <c r="E2465" s="8">
        <v>3246</v>
      </c>
      <c r="F2465" s="8">
        <v>9000</v>
      </c>
      <c r="G2465" s="8">
        <f t="shared" si="152"/>
        <v>5754</v>
      </c>
      <c r="H2465" s="6">
        <v>15000</v>
      </c>
      <c r="I2465" t="s">
        <v>1647</v>
      </c>
      <c r="J2465" t="s">
        <v>72</v>
      </c>
      <c r="K2465" t="s">
        <v>96</v>
      </c>
      <c r="L2465" t="s">
        <v>48</v>
      </c>
      <c r="M2465" t="s">
        <v>90</v>
      </c>
      <c r="N2465" s="6">
        <v>3</v>
      </c>
      <c r="O2465" t="str">
        <f t="shared" si="153"/>
        <v>Normal</v>
      </c>
      <c r="P2465" t="str">
        <f t="shared" si="154"/>
        <v>Duplicate ID</v>
      </c>
      <c r="Q2465" t="str">
        <f t="shared" si="155"/>
        <v>0-4,999</v>
      </c>
      <c r="R2465" s="6">
        <f>IF(COUNTIF($A$2:A2465,A2465)=1,1,0)</f>
        <v>0</v>
      </c>
    </row>
    <row r="2466" spans="1:18" x14ac:dyDescent="0.25">
      <c r="A2466" s="6">
        <v>1305</v>
      </c>
      <c r="B2466" s="7">
        <v>44910</v>
      </c>
      <c r="C2466" t="s">
        <v>51</v>
      </c>
      <c r="D2466" s="6">
        <v>2021</v>
      </c>
      <c r="E2466" s="8">
        <v>22075</v>
      </c>
      <c r="F2466" s="8">
        <v>26000</v>
      </c>
      <c r="G2466" s="8">
        <f t="shared" si="152"/>
        <v>3925</v>
      </c>
      <c r="H2466" s="6">
        <v>40000</v>
      </c>
      <c r="I2466" t="s">
        <v>41</v>
      </c>
      <c r="J2466" t="s">
        <v>1647</v>
      </c>
      <c r="K2466" t="s">
        <v>96</v>
      </c>
      <c r="L2466" t="s">
        <v>54</v>
      </c>
      <c r="M2466" t="s">
        <v>90</v>
      </c>
      <c r="N2466" s="6">
        <v>2</v>
      </c>
      <c r="O2466" t="str">
        <f t="shared" si="153"/>
        <v>Normal</v>
      </c>
      <c r="P2466" t="str">
        <f t="shared" si="154"/>
        <v>Duplicate ID</v>
      </c>
      <c r="Q2466" t="str">
        <f t="shared" si="155"/>
        <v>20,000-24,999</v>
      </c>
      <c r="R2466" s="6">
        <f>IF(COUNTIF($A$2:A2466,A2466)=1,1,0)</f>
        <v>0</v>
      </c>
    </row>
    <row r="2467" spans="1:18" x14ac:dyDescent="0.25">
      <c r="A2467" s="6">
        <v>1587</v>
      </c>
      <c r="B2467" s="7">
        <v>44615</v>
      </c>
      <c r="C2467" t="s">
        <v>32</v>
      </c>
      <c r="D2467" s="6">
        <v>2015</v>
      </c>
      <c r="E2467" s="8">
        <v>2873</v>
      </c>
      <c r="F2467" s="8">
        <v>7000</v>
      </c>
      <c r="G2467" s="8">
        <f t="shared" si="152"/>
        <v>4127</v>
      </c>
      <c r="H2467" s="6">
        <v>25000</v>
      </c>
      <c r="I2467" t="s">
        <v>58</v>
      </c>
      <c r="J2467" t="s">
        <v>35</v>
      </c>
      <c r="K2467" t="s">
        <v>36</v>
      </c>
      <c r="L2467" t="s">
        <v>100</v>
      </c>
      <c r="M2467" t="s">
        <v>126</v>
      </c>
      <c r="N2467" s="6">
        <v>1</v>
      </c>
      <c r="O2467" t="str">
        <f t="shared" si="153"/>
        <v>Normal</v>
      </c>
      <c r="P2467" t="str">
        <f t="shared" si="154"/>
        <v>Duplicate ID</v>
      </c>
      <c r="Q2467" t="str">
        <f t="shared" si="155"/>
        <v>0-4,999</v>
      </c>
      <c r="R2467" s="6">
        <f>IF(COUNTIF($A$2:A2467,A2467)=1,1,0)</f>
        <v>0</v>
      </c>
    </row>
    <row r="2468" spans="1:18" x14ac:dyDescent="0.25">
      <c r="A2468" s="6">
        <v>1322</v>
      </c>
      <c r="B2468" s="7">
        <v>45262</v>
      </c>
      <c r="C2468" t="s">
        <v>79</v>
      </c>
      <c r="D2468" s="6">
        <v>2018</v>
      </c>
      <c r="E2468" s="8">
        <v>2636</v>
      </c>
      <c r="F2468" s="8">
        <v>9000</v>
      </c>
      <c r="G2468" s="8">
        <f t="shared" si="152"/>
        <v>6364</v>
      </c>
      <c r="H2468" s="6">
        <v>40000</v>
      </c>
      <c r="I2468" t="s">
        <v>58</v>
      </c>
      <c r="J2468" t="s">
        <v>72</v>
      </c>
      <c r="K2468" t="s">
        <v>96</v>
      </c>
      <c r="L2468" t="s">
        <v>73</v>
      </c>
      <c r="M2468" t="s">
        <v>98</v>
      </c>
      <c r="N2468" s="6">
        <v>1</v>
      </c>
      <c r="O2468" t="str">
        <f t="shared" si="153"/>
        <v>Normal</v>
      </c>
      <c r="P2468" t="str">
        <f t="shared" si="154"/>
        <v>Duplicate ID</v>
      </c>
      <c r="Q2468" t="str">
        <f t="shared" si="155"/>
        <v>0-4,999</v>
      </c>
      <c r="R2468" s="6">
        <f>IF(COUNTIF($A$2:A2468,A2468)=1,1,0)</f>
        <v>0</v>
      </c>
    </row>
    <row r="2469" spans="1:18" x14ac:dyDescent="0.25">
      <c r="A2469" s="6">
        <v>1327</v>
      </c>
      <c r="B2469" s="7">
        <v>44414</v>
      </c>
      <c r="C2469" t="s">
        <v>1648</v>
      </c>
      <c r="D2469" s="6">
        <v>2014</v>
      </c>
      <c r="E2469" s="8">
        <v>22695</v>
      </c>
      <c r="F2469" s="8">
        <v>26000</v>
      </c>
      <c r="G2469" s="8">
        <f t="shared" si="152"/>
        <v>3305</v>
      </c>
      <c r="H2469" s="6">
        <v>60000</v>
      </c>
      <c r="I2469" t="s">
        <v>69</v>
      </c>
      <c r="J2469" t="s">
        <v>1647</v>
      </c>
      <c r="K2469" t="s">
        <v>96</v>
      </c>
      <c r="L2469" t="s">
        <v>48</v>
      </c>
      <c r="M2469" t="s">
        <v>90</v>
      </c>
      <c r="N2469" s="6">
        <v>0</v>
      </c>
      <c r="O2469" t="str">
        <f t="shared" si="153"/>
        <v>Normal</v>
      </c>
      <c r="P2469" t="str">
        <f t="shared" si="154"/>
        <v>Duplicate ID</v>
      </c>
      <c r="Q2469" t="str">
        <f t="shared" si="155"/>
        <v>20,000-24,999</v>
      </c>
      <c r="R2469" s="6">
        <f>IF(COUNTIF($A$2:A2469,A2469)=1,1,0)</f>
        <v>0</v>
      </c>
    </row>
    <row r="2470" spans="1:18" x14ac:dyDescent="0.25">
      <c r="A2470" s="6">
        <v>1464</v>
      </c>
      <c r="B2470" s="7">
        <v>44475</v>
      </c>
      <c r="C2470" t="s">
        <v>1648</v>
      </c>
      <c r="D2470" s="6">
        <v>2018</v>
      </c>
      <c r="E2470" s="8">
        <v>11912</v>
      </c>
      <c r="F2470" s="8">
        <v>15000</v>
      </c>
      <c r="G2470" s="8">
        <f t="shared" si="152"/>
        <v>3088</v>
      </c>
      <c r="H2470" s="6">
        <v>120000</v>
      </c>
      <c r="I2470" t="s">
        <v>58</v>
      </c>
      <c r="J2470" t="s">
        <v>35</v>
      </c>
      <c r="K2470" t="s">
        <v>36</v>
      </c>
      <c r="L2470" t="s">
        <v>54</v>
      </c>
      <c r="M2470" t="s">
        <v>126</v>
      </c>
      <c r="N2470" s="6">
        <v>3</v>
      </c>
      <c r="O2470" t="str">
        <f t="shared" si="153"/>
        <v>Normal</v>
      </c>
      <c r="P2470" t="str">
        <f t="shared" si="154"/>
        <v>Duplicate ID</v>
      </c>
      <c r="Q2470" t="str">
        <f t="shared" si="155"/>
        <v>10,000-14,999</v>
      </c>
      <c r="R2470" s="6">
        <f>IF(COUNTIF($A$2:A2470,A2470)=1,1,0)</f>
        <v>0</v>
      </c>
    </row>
    <row r="2471" spans="1:18" x14ac:dyDescent="0.25">
      <c r="A2471" s="6">
        <v>1161</v>
      </c>
      <c r="B2471" s="7">
        <v>44265</v>
      </c>
      <c r="C2471" t="s">
        <v>51</v>
      </c>
      <c r="D2471" s="6">
        <v>2021</v>
      </c>
      <c r="E2471" s="8">
        <v>9626</v>
      </c>
      <c r="F2471" s="8">
        <v>12000</v>
      </c>
      <c r="G2471" s="8">
        <f t="shared" si="152"/>
        <v>2374</v>
      </c>
      <c r="H2471" s="6">
        <v>40000</v>
      </c>
      <c r="I2471" t="s">
        <v>58</v>
      </c>
      <c r="J2471" t="s">
        <v>72</v>
      </c>
      <c r="K2471" t="s">
        <v>96</v>
      </c>
      <c r="L2471" t="s">
        <v>73</v>
      </c>
      <c r="M2471" t="s">
        <v>90</v>
      </c>
      <c r="N2471" s="6">
        <v>2</v>
      </c>
      <c r="O2471" t="str">
        <f t="shared" si="153"/>
        <v>Normal</v>
      </c>
      <c r="P2471" t="str">
        <f t="shared" si="154"/>
        <v>Duplicate ID</v>
      </c>
      <c r="Q2471" t="str">
        <f t="shared" si="155"/>
        <v>5,000-9,999</v>
      </c>
      <c r="R2471" s="6">
        <f>IF(COUNTIF($A$2:A2471,A2471)=1,1,0)</f>
        <v>0</v>
      </c>
    </row>
    <row r="2472" spans="1:18" x14ac:dyDescent="0.25">
      <c r="A2472" s="6">
        <v>1307</v>
      </c>
      <c r="B2472" s="7">
        <v>44370</v>
      </c>
      <c r="C2472" t="s">
        <v>57</v>
      </c>
      <c r="D2472" s="6">
        <v>2022</v>
      </c>
      <c r="E2472" s="8">
        <v>12418</v>
      </c>
      <c r="F2472" s="8">
        <v>18000</v>
      </c>
      <c r="G2472" s="8">
        <f t="shared" si="152"/>
        <v>5582</v>
      </c>
      <c r="H2472" s="6">
        <v>80000</v>
      </c>
      <c r="I2472" t="s">
        <v>69</v>
      </c>
      <c r="J2472" t="s">
        <v>1647</v>
      </c>
      <c r="K2472" t="s">
        <v>1647</v>
      </c>
      <c r="L2472" t="s">
        <v>73</v>
      </c>
      <c r="M2472" t="s">
        <v>45</v>
      </c>
      <c r="N2472" s="6">
        <v>2</v>
      </c>
      <c r="O2472" t="str">
        <f t="shared" si="153"/>
        <v>Normal</v>
      </c>
      <c r="P2472" t="str">
        <f t="shared" si="154"/>
        <v>Duplicate ID</v>
      </c>
      <c r="Q2472" t="str">
        <f t="shared" si="155"/>
        <v>10,000-14,999</v>
      </c>
      <c r="R2472" s="6">
        <f>IF(COUNTIF($A$2:A2472,A2472)=1,1,0)</f>
        <v>0</v>
      </c>
    </row>
    <row r="2473" spans="1:18" x14ac:dyDescent="0.25">
      <c r="A2473" s="6">
        <v>1329</v>
      </c>
      <c r="B2473" s="7">
        <v>44711</v>
      </c>
      <c r="C2473" t="s">
        <v>79</v>
      </c>
      <c r="D2473" s="6">
        <v>2018</v>
      </c>
      <c r="E2473" s="8">
        <v>13457</v>
      </c>
      <c r="F2473" s="8">
        <v>18000</v>
      </c>
      <c r="G2473" s="8">
        <f t="shared" si="152"/>
        <v>4543</v>
      </c>
      <c r="H2473" s="6">
        <v>40000</v>
      </c>
      <c r="I2473" t="s">
        <v>69</v>
      </c>
      <c r="J2473" t="s">
        <v>35</v>
      </c>
      <c r="K2473" t="s">
        <v>96</v>
      </c>
      <c r="L2473" t="s">
        <v>100</v>
      </c>
      <c r="M2473" t="s">
        <v>45</v>
      </c>
      <c r="N2473" s="6">
        <v>1</v>
      </c>
      <c r="O2473" t="str">
        <f t="shared" si="153"/>
        <v>Normal</v>
      </c>
      <c r="P2473" t="str">
        <f t="shared" si="154"/>
        <v>Duplicate ID</v>
      </c>
      <c r="Q2473" t="str">
        <f t="shared" si="155"/>
        <v>10,000-14,999</v>
      </c>
      <c r="R2473" s="6">
        <f>IF(COUNTIF($A$2:A2473,A2473)=1,1,0)</f>
        <v>0</v>
      </c>
    </row>
    <row r="2474" spans="1:18" x14ac:dyDescent="0.25">
      <c r="A2474" s="6">
        <v>1009</v>
      </c>
      <c r="B2474" s="7">
        <v>45208</v>
      </c>
      <c r="C2474" t="s">
        <v>79</v>
      </c>
      <c r="D2474" s="6">
        <v>2021</v>
      </c>
      <c r="E2474" s="8">
        <v>18906</v>
      </c>
      <c r="F2474" s="8">
        <v>22000</v>
      </c>
      <c r="G2474" s="8">
        <f t="shared" si="152"/>
        <v>3094</v>
      </c>
      <c r="H2474" s="6">
        <v>40000</v>
      </c>
      <c r="I2474" t="s">
        <v>1647</v>
      </c>
      <c r="J2474" t="s">
        <v>1647</v>
      </c>
      <c r="K2474" t="s">
        <v>96</v>
      </c>
      <c r="L2474" t="s">
        <v>73</v>
      </c>
      <c r="M2474" t="s">
        <v>126</v>
      </c>
      <c r="N2474" s="6">
        <v>2</v>
      </c>
      <c r="O2474" t="str">
        <f t="shared" si="153"/>
        <v>Normal</v>
      </c>
      <c r="P2474" t="str">
        <f t="shared" si="154"/>
        <v>Duplicate ID</v>
      </c>
      <c r="Q2474" t="str">
        <f t="shared" si="155"/>
        <v>15,000-19,999</v>
      </c>
      <c r="R2474" s="6">
        <f>IF(COUNTIF($A$2:A2474,A2474)=1,1,0)</f>
        <v>0</v>
      </c>
    </row>
    <row r="2475" spans="1:18" x14ac:dyDescent="0.25">
      <c r="A2475" s="6">
        <v>1433</v>
      </c>
      <c r="B2475" s="7">
        <v>44664</v>
      </c>
      <c r="C2475" t="s">
        <v>79</v>
      </c>
      <c r="D2475" s="6">
        <v>2021</v>
      </c>
      <c r="E2475" s="8">
        <v>954</v>
      </c>
      <c r="F2475" s="8">
        <v>7000</v>
      </c>
      <c r="G2475" s="8">
        <f t="shared" si="152"/>
        <v>6046</v>
      </c>
      <c r="H2475" s="6">
        <v>120000</v>
      </c>
      <c r="I2475" t="s">
        <v>41</v>
      </c>
      <c r="J2475" t="s">
        <v>35</v>
      </c>
      <c r="K2475" t="s">
        <v>1647</v>
      </c>
      <c r="L2475" t="s">
        <v>73</v>
      </c>
      <c r="M2475" t="s">
        <v>126</v>
      </c>
      <c r="N2475" s="6">
        <v>2</v>
      </c>
      <c r="O2475" t="str">
        <f t="shared" si="153"/>
        <v>Outlier</v>
      </c>
      <c r="P2475" t="str">
        <f t="shared" si="154"/>
        <v>Duplicate ID</v>
      </c>
      <c r="Q2475" t="str">
        <f t="shared" si="155"/>
        <v>0-4,999</v>
      </c>
      <c r="R2475" s="6">
        <f>IF(COUNTIF($A$2:A2475,A2475)=1,1,0)</f>
        <v>0</v>
      </c>
    </row>
    <row r="2476" spans="1:18" x14ac:dyDescent="0.25">
      <c r="A2476" s="6">
        <v>1247</v>
      </c>
      <c r="B2476" s="7">
        <v>45211</v>
      </c>
      <c r="C2476" t="s">
        <v>40</v>
      </c>
      <c r="D2476" s="6">
        <v>2021</v>
      </c>
      <c r="E2476" s="8">
        <v>29735</v>
      </c>
      <c r="F2476" s="8">
        <v>31000</v>
      </c>
      <c r="G2476" s="8">
        <f t="shared" si="152"/>
        <v>1265</v>
      </c>
      <c r="H2476" s="6">
        <v>120000</v>
      </c>
      <c r="I2476" t="s">
        <v>58</v>
      </c>
      <c r="J2476" t="s">
        <v>35</v>
      </c>
      <c r="K2476" t="s">
        <v>96</v>
      </c>
      <c r="L2476" t="s">
        <v>73</v>
      </c>
      <c r="M2476" t="s">
        <v>90</v>
      </c>
      <c r="N2476" s="6">
        <v>2</v>
      </c>
      <c r="O2476" t="str">
        <f t="shared" si="153"/>
        <v>Normal</v>
      </c>
      <c r="P2476" t="str">
        <f t="shared" si="154"/>
        <v>Duplicate ID</v>
      </c>
      <c r="Q2476" t="str">
        <f t="shared" si="155"/>
        <v>25,000-30,000</v>
      </c>
      <c r="R2476" s="6">
        <f>IF(COUNTIF($A$2:A2476,A2476)=1,1,0)</f>
        <v>0</v>
      </c>
    </row>
    <row r="2477" spans="1:18" x14ac:dyDescent="0.25">
      <c r="A2477" s="6">
        <v>1274</v>
      </c>
      <c r="B2477" s="7">
        <v>44986</v>
      </c>
      <c r="C2477" t="s">
        <v>40</v>
      </c>
      <c r="D2477" s="6">
        <v>2021</v>
      </c>
      <c r="E2477" s="8">
        <v>10281</v>
      </c>
      <c r="F2477" s="8">
        <v>12000</v>
      </c>
      <c r="G2477" s="8">
        <f t="shared" si="152"/>
        <v>1719</v>
      </c>
      <c r="H2477" s="6">
        <v>120000</v>
      </c>
      <c r="I2477" t="s">
        <v>69</v>
      </c>
      <c r="J2477" t="s">
        <v>72</v>
      </c>
      <c r="K2477" t="s">
        <v>36</v>
      </c>
      <c r="L2477" t="s">
        <v>1647</v>
      </c>
      <c r="M2477" t="s">
        <v>90</v>
      </c>
      <c r="N2477" s="6">
        <v>1</v>
      </c>
      <c r="O2477" t="str">
        <f t="shared" si="153"/>
        <v>Normal</v>
      </c>
      <c r="P2477" t="str">
        <f t="shared" si="154"/>
        <v>Duplicate ID</v>
      </c>
      <c r="Q2477" t="str">
        <f t="shared" si="155"/>
        <v>10,000-14,999</v>
      </c>
      <c r="R2477" s="6">
        <f>IF(COUNTIF($A$2:A2477,A2477)=1,1,0)</f>
        <v>0</v>
      </c>
    </row>
    <row r="2478" spans="1:18" x14ac:dyDescent="0.25">
      <c r="A2478" s="6">
        <v>1433</v>
      </c>
      <c r="B2478" s="7">
        <v>44303</v>
      </c>
      <c r="C2478" t="s">
        <v>79</v>
      </c>
      <c r="D2478" s="6">
        <v>2021</v>
      </c>
      <c r="E2478" s="8">
        <v>18092</v>
      </c>
      <c r="F2478" s="8">
        <v>22000</v>
      </c>
      <c r="G2478" s="8">
        <f t="shared" si="152"/>
        <v>3908</v>
      </c>
      <c r="H2478" s="6">
        <v>15000</v>
      </c>
      <c r="I2478" t="s">
        <v>41</v>
      </c>
      <c r="J2478" t="s">
        <v>72</v>
      </c>
      <c r="K2478" t="s">
        <v>96</v>
      </c>
      <c r="L2478" t="s">
        <v>48</v>
      </c>
      <c r="M2478" t="s">
        <v>126</v>
      </c>
      <c r="N2478" s="6">
        <v>2</v>
      </c>
      <c r="O2478" t="str">
        <f t="shared" si="153"/>
        <v>Normal</v>
      </c>
      <c r="P2478" t="str">
        <f t="shared" si="154"/>
        <v>Duplicate ID</v>
      </c>
      <c r="Q2478" t="str">
        <f t="shared" si="155"/>
        <v>15,000-19,999</v>
      </c>
      <c r="R2478" s="6">
        <f>IF(COUNTIF($A$2:A2478,A2478)=1,1,0)</f>
        <v>0</v>
      </c>
    </row>
    <row r="2479" spans="1:18" x14ac:dyDescent="0.25">
      <c r="A2479" s="6">
        <v>1573</v>
      </c>
      <c r="B2479" s="7">
        <v>45046</v>
      </c>
      <c r="C2479" t="s">
        <v>79</v>
      </c>
      <c r="D2479" s="6">
        <v>2020</v>
      </c>
      <c r="E2479" s="8">
        <v>21549</v>
      </c>
      <c r="F2479" s="8">
        <v>26000</v>
      </c>
      <c r="G2479" s="8">
        <f t="shared" si="152"/>
        <v>4451</v>
      </c>
      <c r="H2479" s="6">
        <v>15000</v>
      </c>
      <c r="I2479" t="s">
        <v>58</v>
      </c>
      <c r="J2479" t="s">
        <v>72</v>
      </c>
      <c r="K2479" t="s">
        <v>36</v>
      </c>
      <c r="L2479" t="s">
        <v>48</v>
      </c>
      <c r="M2479" t="s">
        <v>45</v>
      </c>
      <c r="N2479" s="6">
        <v>3</v>
      </c>
      <c r="O2479" t="str">
        <f t="shared" si="153"/>
        <v>Normal</v>
      </c>
      <c r="P2479" t="str">
        <f t="shared" si="154"/>
        <v>Duplicate ID</v>
      </c>
      <c r="Q2479" t="str">
        <f t="shared" si="155"/>
        <v>20,000-24,999</v>
      </c>
      <c r="R2479" s="6">
        <f>IF(COUNTIF($A$2:A2479,A2479)=1,1,0)</f>
        <v>0</v>
      </c>
    </row>
    <row r="2480" spans="1:18" x14ac:dyDescent="0.25">
      <c r="A2480" s="6">
        <v>1119</v>
      </c>
      <c r="B2480" s="7">
        <v>45043</v>
      </c>
      <c r="C2480" t="s">
        <v>40</v>
      </c>
      <c r="D2480" s="6">
        <v>2019</v>
      </c>
      <c r="E2480" s="8">
        <v>20022</v>
      </c>
      <c r="F2480" s="8">
        <v>22000</v>
      </c>
      <c r="G2480" s="8">
        <f t="shared" si="152"/>
        <v>1978</v>
      </c>
      <c r="H2480" s="6">
        <v>40000</v>
      </c>
      <c r="I2480" t="s">
        <v>69</v>
      </c>
      <c r="J2480" t="s">
        <v>72</v>
      </c>
      <c r="K2480" t="s">
        <v>36</v>
      </c>
      <c r="L2480" t="s">
        <v>100</v>
      </c>
      <c r="M2480" t="s">
        <v>90</v>
      </c>
      <c r="N2480" s="6">
        <v>2</v>
      </c>
      <c r="O2480" t="str">
        <f t="shared" si="153"/>
        <v>Normal</v>
      </c>
      <c r="P2480" t="str">
        <f t="shared" si="154"/>
        <v>Duplicate ID</v>
      </c>
      <c r="Q2480" t="str">
        <f t="shared" si="155"/>
        <v>20,000-24,999</v>
      </c>
      <c r="R2480" s="6">
        <f>IF(COUNTIF($A$2:A2480,A2480)=1,1,0)</f>
        <v>0</v>
      </c>
    </row>
    <row r="2481" spans="1:18" x14ac:dyDescent="0.25">
      <c r="A2481" s="6">
        <v>1068</v>
      </c>
      <c r="B2481" s="7">
        <v>45024</v>
      </c>
      <c r="C2481" t="s">
        <v>79</v>
      </c>
      <c r="D2481" s="6">
        <v>2015</v>
      </c>
      <c r="E2481" s="8">
        <v>7765</v>
      </c>
      <c r="F2481" s="8">
        <v>12000</v>
      </c>
      <c r="G2481" s="8">
        <f t="shared" si="152"/>
        <v>4235</v>
      </c>
      <c r="H2481" s="6">
        <v>40000</v>
      </c>
      <c r="I2481" t="s">
        <v>34</v>
      </c>
      <c r="J2481" t="s">
        <v>1647</v>
      </c>
      <c r="K2481" t="s">
        <v>96</v>
      </c>
      <c r="L2481" t="s">
        <v>54</v>
      </c>
      <c r="M2481" t="s">
        <v>1647</v>
      </c>
      <c r="N2481" s="6">
        <v>3</v>
      </c>
      <c r="O2481" t="str">
        <f t="shared" si="153"/>
        <v>Normal</v>
      </c>
      <c r="P2481" t="str">
        <f t="shared" si="154"/>
        <v>Duplicate ID</v>
      </c>
      <c r="Q2481" t="str">
        <f t="shared" si="155"/>
        <v>5,000-9,999</v>
      </c>
      <c r="R2481" s="6">
        <f>IF(COUNTIF($A$2:A2481,A2481)=1,1,0)</f>
        <v>0</v>
      </c>
    </row>
    <row r="2482" spans="1:18" x14ac:dyDescent="0.25">
      <c r="A2482" s="6">
        <v>1519</v>
      </c>
      <c r="B2482" s="7">
        <v>45366</v>
      </c>
      <c r="C2482" t="s">
        <v>1648</v>
      </c>
      <c r="D2482" s="6">
        <v>2022</v>
      </c>
      <c r="E2482" s="8">
        <v>13054</v>
      </c>
      <c r="F2482" s="8">
        <v>18000</v>
      </c>
      <c r="G2482" s="8">
        <f t="shared" si="152"/>
        <v>4946</v>
      </c>
      <c r="H2482" s="6">
        <v>80000</v>
      </c>
      <c r="I2482" t="s">
        <v>41</v>
      </c>
      <c r="J2482" t="s">
        <v>1647</v>
      </c>
      <c r="K2482" t="s">
        <v>96</v>
      </c>
      <c r="L2482" t="s">
        <v>100</v>
      </c>
      <c r="M2482" t="s">
        <v>126</v>
      </c>
      <c r="N2482" s="6">
        <v>2</v>
      </c>
      <c r="O2482" t="str">
        <f t="shared" si="153"/>
        <v>Normal</v>
      </c>
      <c r="P2482" t="str">
        <f t="shared" si="154"/>
        <v>Duplicate ID</v>
      </c>
      <c r="Q2482" t="str">
        <f t="shared" si="155"/>
        <v>10,000-14,999</v>
      </c>
      <c r="R2482" s="6">
        <f>IF(COUNTIF($A$2:A2482,A2482)=1,1,0)</f>
        <v>0</v>
      </c>
    </row>
    <row r="2483" spans="1:18" x14ac:dyDescent="0.25">
      <c r="A2483" s="6">
        <v>1398</v>
      </c>
      <c r="B2483" s="7">
        <v>44616</v>
      </c>
      <c r="C2483" t="s">
        <v>57</v>
      </c>
      <c r="D2483" s="6">
        <v>2021</v>
      </c>
      <c r="E2483" s="8">
        <v>195</v>
      </c>
      <c r="F2483" s="8">
        <v>7000</v>
      </c>
      <c r="G2483" s="8">
        <f t="shared" si="152"/>
        <v>6805</v>
      </c>
      <c r="H2483" s="6">
        <v>40000</v>
      </c>
      <c r="I2483" t="s">
        <v>69</v>
      </c>
      <c r="J2483" t="s">
        <v>1647</v>
      </c>
      <c r="K2483" t="s">
        <v>36</v>
      </c>
      <c r="L2483" t="s">
        <v>48</v>
      </c>
      <c r="M2483" t="s">
        <v>45</v>
      </c>
      <c r="N2483" s="6">
        <v>1</v>
      </c>
      <c r="O2483" t="str">
        <f t="shared" si="153"/>
        <v>Outlier</v>
      </c>
      <c r="P2483" t="str">
        <f t="shared" si="154"/>
        <v>Duplicate ID</v>
      </c>
      <c r="Q2483" t="str">
        <f t="shared" si="155"/>
        <v>0-4,999</v>
      </c>
      <c r="R2483" s="6">
        <f>IF(COUNTIF($A$2:A2483,A2483)=1,1,0)</f>
        <v>0</v>
      </c>
    </row>
    <row r="2484" spans="1:18" x14ac:dyDescent="0.25">
      <c r="A2484" s="6">
        <v>1415</v>
      </c>
      <c r="B2484" s="7">
        <v>44773</v>
      </c>
      <c r="C2484" t="s">
        <v>119</v>
      </c>
      <c r="D2484" s="6">
        <v>2014</v>
      </c>
      <c r="E2484" s="8">
        <v>4046</v>
      </c>
      <c r="F2484" s="8">
        <v>9000</v>
      </c>
      <c r="G2484" s="8">
        <f t="shared" si="152"/>
        <v>4954</v>
      </c>
      <c r="H2484" s="6">
        <v>25000</v>
      </c>
      <c r="I2484" t="s">
        <v>1647</v>
      </c>
      <c r="J2484" t="s">
        <v>72</v>
      </c>
      <c r="K2484" t="s">
        <v>36</v>
      </c>
      <c r="L2484" t="s">
        <v>73</v>
      </c>
      <c r="M2484" t="s">
        <v>126</v>
      </c>
      <c r="N2484" s="6" t="s">
        <v>1647</v>
      </c>
      <c r="O2484" t="str">
        <f t="shared" si="153"/>
        <v>Normal</v>
      </c>
      <c r="P2484" t="str">
        <f t="shared" si="154"/>
        <v>Duplicate ID</v>
      </c>
      <c r="Q2484" t="str">
        <f t="shared" si="155"/>
        <v>0-4,999</v>
      </c>
      <c r="R2484" s="6">
        <f>IF(COUNTIF($A$2:A2484,A2484)=1,1,0)</f>
        <v>0</v>
      </c>
    </row>
    <row r="2485" spans="1:18" x14ac:dyDescent="0.25">
      <c r="A2485" s="6">
        <v>1536</v>
      </c>
      <c r="B2485" s="7">
        <v>44231</v>
      </c>
      <c r="C2485" t="s">
        <v>1648</v>
      </c>
      <c r="D2485" s="6">
        <v>2017</v>
      </c>
      <c r="E2485" s="8">
        <v>24663</v>
      </c>
      <c r="F2485" s="8">
        <v>31000</v>
      </c>
      <c r="G2485" s="8">
        <f t="shared" si="152"/>
        <v>6337</v>
      </c>
      <c r="H2485" s="6">
        <v>120000</v>
      </c>
      <c r="I2485" t="s">
        <v>41</v>
      </c>
      <c r="J2485" t="s">
        <v>72</v>
      </c>
      <c r="K2485" t="s">
        <v>36</v>
      </c>
      <c r="L2485" t="s">
        <v>100</v>
      </c>
      <c r="M2485" t="s">
        <v>90</v>
      </c>
      <c r="N2485" s="6">
        <v>0</v>
      </c>
      <c r="O2485" t="str">
        <f t="shared" si="153"/>
        <v>Normal</v>
      </c>
      <c r="P2485" t="str">
        <f t="shared" si="154"/>
        <v>Duplicate ID</v>
      </c>
      <c r="Q2485" t="str">
        <f t="shared" si="155"/>
        <v>20,000-24,999</v>
      </c>
      <c r="R2485" s="6">
        <f>IF(COUNTIF($A$2:A2485,A2485)=1,1,0)</f>
        <v>0</v>
      </c>
    </row>
    <row r="2486" spans="1:18" x14ac:dyDescent="0.25">
      <c r="A2486" s="6">
        <v>1361</v>
      </c>
      <c r="B2486" s="7">
        <v>44619</v>
      </c>
      <c r="C2486" t="s">
        <v>1648</v>
      </c>
      <c r="D2486" s="6">
        <v>2017</v>
      </c>
      <c r="E2486" s="8">
        <v>17147</v>
      </c>
      <c r="F2486" s="8">
        <v>22000</v>
      </c>
      <c r="G2486" s="8">
        <f t="shared" si="152"/>
        <v>4853</v>
      </c>
      <c r="H2486" s="6">
        <v>60000</v>
      </c>
      <c r="I2486" t="s">
        <v>69</v>
      </c>
      <c r="J2486" t="s">
        <v>35</v>
      </c>
      <c r="K2486" t="s">
        <v>1647</v>
      </c>
      <c r="L2486" t="s">
        <v>1647</v>
      </c>
      <c r="M2486" t="s">
        <v>45</v>
      </c>
      <c r="N2486" s="6">
        <v>0</v>
      </c>
      <c r="O2486" t="str">
        <f t="shared" si="153"/>
        <v>Normal</v>
      </c>
      <c r="P2486" t="str">
        <f t="shared" si="154"/>
        <v>Duplicate ID</v>
      </c>
      <c r="Q2486" t="str">
        <f t="shared" si="155"/>
        <v>15,000-19,999</v>
      </c>
      <c r="R2486" s="6">
        <f>IF(COUNTIF($A$2:A2486,A2486)=1,1,0)</f>
        <v>0</v>
      </c>
    </row>
    <row r="2487" spans="1:18" x14ac:dyDescent="0.25">
      <c r="A2487" s="6">
        <v>1163</v>
      </c>
      <c r="B2487" s="7">
        <v>44641</v>
      </c>
      <c r="C2487" t="s">
        <v>40</v>
      </c>
      <c r="D2487" s="6">
        <v>2018</v>
      </c>
      <c r="E2487" s="8">
        <v>5711</v>
      </c>
      <c r="F2487" s="8">
        <v>7000</v>
      </c>
      <c r="G2487" s="8">
        <f t="shared" si="152"/>
        <v>1289</v>
      </c>
      <c r="H2487" s="6">
        <v>120000</v>
      </c>
      <c r="I2487" t="s">
        <v>69</v>
      </c>
      <c r="J2487" t="s">
        <v>1647</v>
      </c>
      <c r="K2487" t="s">
        <v>36</v>
      </c>
      <c r="L2487" t="s">
        <v>48</v>
      </c>
      <c r="M2487" t="s">
        <v>45</v>
      </c>
      <c r="N2487" s="6">
        <v>3</v>
      </c>
      <c r="O2487" t="str">
        <f t="shared" si="153"/>
        <v>Normal</v>
      </c>
      <c r="P2487" t="str">
        <f t="shared" si="154"/>
        <v>Duplicate ID</v>
      </c>
      <c r="Q2487" t="str">
        <f t="shared" si="155"/>
        <v>5,000-9,999</v>
      </c>
      <c r="R2487" s="6">
        <f>IF(COUNTIF($A$2:A2487,A2487)=1,1,0)</f>
        <v>0</v>
      </c>
    </row>
    <row r="2488" spans="1:18" x14ac:dyDescent="0.25">
      <c r="A2488" s="6">
        <v>1349</v>
      </c>
      <c r="B2488" s="7">
        <v>44666</v>
      </c>
      <c r="C2488" t="s">
        <v>57</v>
      </c>
      <c r="D2488" s="6">
        <v>2019</v>
      </c>
      <c r="E2488" s="8">
        <v>5064</v>
      </c>
      <c r="F2488" s="8">
        <v>12000</v>
      </c>
      <c r="G2488" s="8">
        <f t="shared" si="152"/>
        <v>6936</v>
      </c>
      <c r="H2488" s="6">
        <v>120000</v>
      </c>
      <c r="I2488" t="s">
        <v>58</v>
      </c>
      <c r="J2488" t="s">
        <v>35</v>
      </c>
      <c r="K2488" t="s">
        <v>36</v>
      </c>
      <c r="L2488" t="s">
        <v>1647</v>
      </c>
      <c r="M2488" t="s">
        <v>126</v>
      </c>
      <c r="N2488" s="6">
        <v>3</v>
      </c>
      <c r="O2488" t="str">
        <f t="shared" si="153"/>
        <v>Normal</v>
      </c>
      <c r="P2488" t="str">
        <f t="shared" si="154"/>
        <v>Duplicate ID</v>
      </c>
      <c r="Q2488" t="str">
        <f t="shared" si="155"/>
        <v>5,000-9,999</v>
      </c>
      <c r="R2488" s="6">
        <f>IF(COUNTIF($A$2:A2488,A2488)=1,1,0)</f>
        <v>0</v>
      </c>
    </row>
    <row r="2489" spans="1:18" x14ac:dyDescent="0.25">
      <c r="A2489" s="6">
        <v>1575</v>
      </c>
      <c r="B2489" s="7">
        <v>44334</v>
      </c>
      <c r="C2489" t="s">
        <v>51</v>
      </c>
      <c r="D2489" s="6">
        <v>2022</v>
      </c>
      <c r="E2489" s="8">
        <v>19583</v>
      </c>
      <c r="F2489" s="8">
        <v>26000</v>
      </c>
      <c r="G2489" s="8">
        <f t="shared" si="152"/>
        <v>6417</v>
      </c>
      <c r="H2489" s="6">
        <v>25000</v>
      </c>
      <c r="I2489" t="s">
        <v>41</v>
      </c>
      <c r="J2489" t="s">
        <v>35</v>
      </c>
      <c r="K2489" t="s">
        <v>36</v>
      </c>
      <c r="L2489" t="s">
        <v>100</v>
      </c>
      <c r="M2489" t="s">
        <v>1647</v>
      </c>
      <c r="N2489" s="6">
        <v>0</v>
      </c>
      <c r="O2489" t="str">
        <f t="shared" si="153"/>
        <v>Normal</v>
      </c>
      <c r="P2489" t="str">
        <f t="shared" si="154"/>
        <v>Duplicate ID</v>
      </c>
      <c r="Q2489" t="str">
        <f t="shared" si="155"/>
        <v>15,000-19,999</v>
      </c>
      <c r="R2489" s="6">
        <f>IF(COUNTIF($A$2:A2489,A2489)=1,1,0)</f>
        <v>0</v>
      </c>
    </row>
    <row r="2490" spans="1:18" x14ac:dyDescent="0.25">
      <c r="A2490" s="6">
        <v>1434</v>
      </c>
      <c r="B2490" s="7">
        <v>44998</v>
      </c>
      <c r="C2490" t="s">
        <v>1648</v>
      </c>
      <c r="D2490" s="6">
        <v>2021</v>
      </c>
      <c r="E2490" s="8">
        <v>778</v>
      </c>
      <c r="F2490" s="8">
        <v>7000</v>
      </c>
      <c r="G2490" s="8">
        <f t="shared" si="152"/>
        <v>6222</v>
      </c>
      <c r="H2490" s="6">
        <v>25000</v>
      </c>
      <c r="I2490" t="s">
        <v>69</v>
      </c>
      <c r="J2490" t="s">
        <v>72</v>
      </c>
      <c r="K2490" t="s">
        <v>36</v>
      </c>
      <c r="L2490" t="s">
        <v>1647</v>
      </c>
      <c r="M2490" t="s">
        <v>126</v>
      </c>
      <c r="N2490" s="6">
        <v>1</v>
      </c>
      <c r="O2490" t="str">
        <f t="shared" si="153"/>
        <v>Outlier</v>
      </c>
      <c r="P2490" t="str">
        <f t="shared" si="154"/>
        <v>Duplicate ID</v>
      </c>
      <c r="Q2490" t="str">
        <f t="shared" si="155"/>
        <v>0-4,999</v>
      </c>
      <c r="R2490" s="6">
        <f>IF(COUNTIF($A$2:A2490,A2490)=1,1,0)</f>
        <v>0</v>
      </c>
    </row>
    <row r="2491" spans="1:18" x14ac:dyDescent="0.25">
      <c r="A2491" s="6">
        <v>1344</v>
      </c>
      <c r="B2491" s="7">
        <v>44770</v>
      </c>
      <c r="C2491" t="s">
        <v>57</v>
      </c>
      <c r="D2491" s="6">
        <v>2020</v>
      </c>
      <c r="E2491" s="8">
        <v>16778</v>
      </c>
      <c r="F2491" s="8">
        <v>22000</v>
      </c>
      <c r="G2491" s="8">
        <f t="shared" si="152"/>
        <v>5222</v>
      </c>
      <c r="H2491" s="6">
        <v>80000</v>
      </c>
      <c r="I2491" t="s">
        <v>41</v>
      </c>
      <c r="J2491" t="s">
        <v>35</v>
      </c>
      <c r="K2491" t="s">
        <v>1647</v>
      </c>
      <c r="L2491" t="s">
        <v>54</v>
      </c>
      <c r="M2491" t="s">
        <v>126</v>
      </c>
      <c r="N2491" s="6">
        <v>1</v>
      </c>
      <c r="O2491" t="str">
        <f t="shared" si="153"/>
        <v>Normal</v>
      </c>
      <c r="P2491" t="str">
        <f t="shared" si="154"/>
        <v>Duplicate ID</v>
      </c>
      <c r="Q2491" t="str">
        <f t="shared" si="155"/>
        <v>15,000-19,999</v>
      </c>
      <c r="R2491" s="6">
        <f>IF(COUNTIF($A$2:A2491,A2491)=1,1,0)</f>
        <v>0</v>
      </c>
    </row>
    <row r="2492" spans="1:18" x14ac:dyDescent="0.25">
      <c r="A2492" s="6">
        <v>1110</v>
      </c>
      <c r="B2492" s="7">
        <v>44602</v>
      </c>
      <c r="C2492" t="s">
        <v>1648</v>
      </c>
      <c r="D2492" s="6">
        <v>2019</v>
      </c>
      <c r="E2492" s="8">
        <v>8815</v>
      </c>
      <c r="F2492" s="8">
        <v>15000</v>
      </c>
      <c r="G2492" s="8">
        <f t="shared" si="152"/>
        <v>6185</v>
      </c>
      <c r="H2492" s="6">
        <v>40000</v>
      </c>
      <c r="I2492" t="s">
        <v>69</v>
      </c>
      <c r="J2492" t="s">
        <v>35</v>
      </c>
      <c r="K2492" t="s">
        <v>96</v>
      </c>
      <c r="L2492" t="s">
        <v>54</v>
      </c>
      <c r="M2492" t="s">
        <v>98</v>
      </c>
      <c r="N2492" s="6">
        <v>3</v>
      </c>
      <c r="O2492" t="str">
        <f t="shared" si="153"/>
        <v>Normal</v>
      </c>
      <c r="P2492" t="str">
        <f t="shared" si="154"/>
        <v>Duplicate ID</v>
      </c>
      <c r="Q2492" t="str">
        <f t="shared" si="155"/>
        <v>5,000-9,999</v>
      </c>
      <c r="R2492" s="6">
        <f>IF(COUNTIF($A$2:A2492,A2492)=1,1,0)</f>
        <v>0</v>
      </c>
    </row>
    <row r="2493" spans="1:18" x14ac:dyDescent="0.25">
      <c r="A2493" s="6">
        <v>1055</v>
      </c>
      <c r="B2493" s="7">
        <v>44708</v>
      </c>
      <c r="C2493" t="s">
        <v>32</v>
      </c>
      <c r="D2493" s="6"/>
      <c r="E2493" s="8">
        <v>15007</v>
      </c>
      <c r="F2493" s="8">
        <v>22000</v>
      </c>
      <c r="G2493" s="8">
        <f t="shared" si="152"/>
        <v>6993</v>
      </c>
      <c r="H2493" s="6">
        <v>15000</v>
      </c>
      <c r="I2493" t="s">
        <v>1647</v>
      </c>
      <c r="J2493" t="s">
        <v>35</v>
      </c>
      <c r="K2493" t="s">
        <v>36</v>
      </c>
      <c r="L2493" t="s">
        <v>48</v>
      </c>
      <c r="M2493" t="s">
        <v>45</v>
      </c>
      <c r="N2493" s="6">
        <v>1</v>
      </c>
      <c r="O2493" t="str">
        <f t="shared" si="153"/>
        <v>Normal</v>
      </c>
      <c r="P2493" t="str">
        <f t="shared" si="154"/>
        <v>Duplicate ID</v>
      </c>
      <c r="Q2493" t="str">
        <f t="shared" si="155"/>
        <v>15,000-19,999</v>
      </c>
      <c r="R2493" s="6">
        <f>IF(COUNTIF($A$2:A2493,A2493)=1,1,0)</f>
        <v>0</v>
      </c>
    </row>
    <row r="2494" spans="1:18" x14ac:dyDescent="0.25">
      <c r="A2494" s="6">
        <v>1512</v>
      </c>
      <c r="B2494" s="7">
        <v>44344</v>
      </c>
      <c r="C2494" t="s">
        <v>51</v>
      </c>
      <c r="D2494" s="6"/>
      <c r="E2494" s="8">
        <v>12056</v>
      </c>
      <c r="F2494" s="8">
        <v>18000</v>
      </c>
      <c r="G2494" s="8">
        <f t="shared" si="152"/>
        <v>5944</v>
      </c>
      <c r="H2494" s="6">
        <v>80000</v>
      </c>
      <c r="I2494" t="s">
        <v>58</v>
      </c>
      <c r="J2494" t="s">
        <v>1647</v>
      </c>
      <c r="K2494" t="s">
        <v>1647</v>
      </c>
      <c r="L2494" t="s">
        <v>100</v>
      </c>
      <c r="M2494" t="s">
        <v>126</v>
      </c>
      <c r="N2494" s="6">
        <v>0</v>
      </c>
      <c r="O2494" t="str">
        <f t="shared" si="153"/>
        <v>Normal</v>
      </c>
      <c r="P2494" t="str">
        <f t="shared" si="154"/>
        <v>Duplicate ID</v>
      </c>
      <c r="Q2494" t="str">
        <f t="shared" si="155"/>
        <v>10,000-14,999</v>
      </c>
      <c r="R2494" s="6">
        <f>IF(COUNTIF($A$2:A2494,A2494)=1,1,0)</f>
        <v>0</v>
      </c>
    </row>
    <row r="2495" spans="1:18" x14ac:dyDescent="0.25">
      <c r="A2495" s="6">
        <v>1508</v>
      </c>
      <c r="B2495" s="7">
        <v>45101</v>
      </c>
      <c r="C2495" t="s">
        <v>51</v>
      </c>
      <c r="D2495" s="6">
        <v>2015</v>
      </c>
      <c r="E2495" s="8">
        <v>13176</v>
      </c>
      <c r="F2495" s="8">
        <v>18000</v>
      </c>
      <c r="G2495" s="8">
        <f t="shared" si="152"/>
        <v>4824</v>
      </c>
      <c r="H2495" s="6">
        <v>80000</v>
      </c>
      <c r="I2495" t="s">
        <v>41</v>
      </c>
      <c r="J2495" t="s">
        <v>72</v>
      </c>
      <c r="K2495" t="s">
        <v>96</v>
      </c>
      <c r="L2495" t="s">
        <v>48</v>
      </c>
      <c r="M2495" t="s">
        <v>98</v>
      </c>
      <c r="N2495" s="6">
        <v>2</v>
      </c>
      <c r="O2495" t="str">
        <f t="shared" si="153"/>
        <v>Normal</v>
      </c>
      <c r="P2495" t="str">
        <f t="shared" si="154"/>
        <v>Duplicate ID</v>
      </c>
      <c r="Q2495" t="str">
        <f t="shared" si="155"/>
        <v>10,000-14,999</v>
      </c>
      <c r="R2495" s="6">
        <f>IF(COUNTIF($A$2:A2495,A2495)=1,1,0)</f>
        <v>0</v>
      </c>
    </row>
    <row r="2496" spans="1:18" x14ac:dyDescent="0.25">
      <c r="A2496" s="6">
        <v>1111</v>
      </c>
      <c r="B2496" s="7">
        <v>44989</v>
      </c>
      <c r="C2496" t="s">
        <v>32</v>
      </c>
      <c r="D2496" s="6">
        <v>2022</v>
      </c>
      <c r="E2496" s="8">
        <v>5240</v>
      </c>
      <c r="F2496" s="8">
        <v>12000</v>
      </c>
      <c r="G2496" s="8">
        <f t="shared" si="152"/>
        <v>6760</v>
      </c>
      <c r="H2496" s="6">
        <v>25000</v>
      </c>
      <c r="I2496" t="s">
        <v>41</v>
      </c>
      <c r="J2496" t="s">
        <v>35</v>
      </c>
      <c r="K2496" t="s">
        <v>1647</v>
      </c>
      <c r="L2496" t="s">
        <v>54</v>
      </c>
      <c r="M2496" t="s">
        <v>1647</v>
      </c>
      <c r="N2496" s="6">
        <v>2</v>
      </c>
      <c r="O2496" t="str">
        <f t="shared" si="153"/>
        <v>Normal</v>
      </c>
      <c r="P2496" t="str">
        <f t="shared" si="154"/>
        <v>Duplicate ID</v>
      </c>
      <c r="Q2496" t="str">
        <f t="shared" si="155"/>
        <v>5,000-9,999</v>
      </c>
      <c r="R2496" s="6">
        <f>IF(COUNTIF($A$2:A2496,A2496)=1,1,0)</f>
        <v>0</v>
      </c>
    </row>
    <row r="2497" spans="1:18" x14ac:dyDescent="0.25">
      <c r="A2497" s="6">
        <v>1491</v>
      </c>
      <c r="B2497" s="7">
        <v>45135</v>
      </c>
      <c r="C2497" t="s">
        <v>51</v>
      </c>
      <c r="D2497" s="6">
        <v>2017</v>
      </c>
      <c r="E2497" s="8">
        <v>14380</v>
      </c>
      <c r="F2497" s="8">
        <v>18000</v>
      </c>
      <c r="G2497" s="8">
        <f t="shared" si="152"/>
        <v>3620</v>
      </c>
      <c r="H2497" s="6">
        <v>120000</v>
      </c>
      <c r="I2497" t="s">
        <v>41</v>
      </c>
      <c r="J2497" t="s">
        <v>35</v>
      </c>
      <c r="K2497" t="s">
        <v>1647</v>
      </c>
      <c r="L2497" t="s">
        <v>1647</v>
      </c>
      <c r="M2497" t="s">
        <v>98</v>
      </c>
      <c r="N2497" s="6">
        <v>2</v>
      </c>
      <c r="O2497" t="str">
        <f t="shared" si="153"/>
        <v>Normal</v>
      </c>
      <c r="P2497" t="str">
        <f t="shared" si="154"/>
        <v>Duplicate ID</v>
      </c>
      <c r="Q2497" t="str">
        <f t="shared" si="155"/>
        <v>10,000-14,999</v>
      </c>
      <c r="R2497" s="6">
        <f>IF(COUNTIF($A$2:A2497,A2497)=1,1,0)</f>
        <v>0</v>
      </c>
    </row>
    <row r="2498" spans="1:18" x14ac:dyDescent="0.25">
      <c r="A2498" s="6">
        <v>1376</v>
      </c>
      <c r="B2498" s="7">
        <v>44382</v>
      </c>
      <c r="C2498" t="s">
        <v>51</v>
      </c>
      <c r="D2498" s="6">
        <v>2014</v>
      </c>
      <c r="E2498" s="8">
        <v>1228</v>
      </c>
      <c r="F2498" s="8">
        <v>7000</v>
      </c>
      <c r="G2498" s="8">
        <f t="shared" ref="G2498:G2501" si="156">IF(OR(F2498="",E2498=""),"",F2498-E2498)</f>
        <v>5772</v>
      </c>
      <c r="H2498" s="6">
        <v>120000</v>
      </c>
      <c r="I2498" t="s">
        <v>58</v>
      </c>
      <c r="J2498" t="s">
        <v>35</v>
      </c>
      <c r="K2498" t="s">
        <v>36</v>
      </c>
      <c r="L2498" t="s">
        <v>54</v>
      </c>
      <c r="M2498" t="s">
        <v>90</v>
      </c>
      <c r="N2498" s="6">
        <v>3</v>
      </c>
      <c r="O2498" t="str">
        <f t="shared" si="153"/>
        <v>Normal</v>
      </c>
      <c r="P2498" t="str">
        <f t="shared" si="154"/>
        <v>Duplicate ID</v>
      </c>
      <c r="Q2498" t="str">
        <f t="shared" si="155"/>
        <v>0-4,999</v>
      </c>
      <c r="R2498" s="6">
        <f>IF(COUNTIF($A$2:A2498,A2498)=1,1,0)</f>
        <v>0</v>
      </c>
    </row>
    <row r="2499" spans="1:18" x14ac:dyDescent="0.25">
      <c r="A2499" s="6">
        <v>1031</v>
      </c>
      <c r="B2499" s="7">
        <v>45138</v>
      </c>
      <c r="C2499" t="s">
        <v>40</v>
      </c>
      <c r="D2499" s="6">
        <v>2015</v>
      </c>
      <c r="E2499" s="8">
        <v>15737</v>
      </c>
      <c r="F2499" s="8">
        <v>18000</v>
      </c>
      <c r="G2499" s="8">
        <f t="shared" si="156"/>
        <v>2263</v>
      </c>
      <c r="H2499" s="6">
        <v>15000</v>
      </c>
      <c r="I2499" t="s">
        <v>58</v>
      </c>
      <c r="J2499" t="s">
        <v>72</v>
      </c>
      <c r="K2499" t="s">
        <v>36</v>
      </c>
      <c r="L2499" t="s">
        <v>1647</v>
      </c>
      <c r="M2499" t="s">
        <v>98</v>
      </c>
      <c r="N2499" s="6" t="s">
        <v>1647</v>
      </c>
      <c r="O2499" t="str">
        <f t="shared" si="153"/>
        <v>Normal</v>
      </c>
      <c r="P2499" t="str">
        <f t="shared" si="154"/>
        <v>Duplicate ID</v>
      </c>
      <c r="Q2499" t="str">
        <f t="shared" si="155"/>
        <v>15,000-19,999</v>
      </c>
      <c r="R2499" s="6">
        <f>IF(COUNTIF($A$2:A2499,A2499)=1,1,0)</f>
        <v>0</v>
      </c>
    </row>
    <row r="2500" spans="1:18" x14ac:dyDescent="0.25">
      <c r="A2500" s="6">
        <v>1029</v>
      </c>
      <c r="B2500" s="7">
        <v>44483</v>
      </c>
      <c r="C2500" t="s">
        <v>40</v>
      </c>
      <c r="D2500" s="6">
        <v>2021</v>
      </c>
      <c r="E2500" s="8">
        <v>5521</v>
      </c>
      <c r="F2500" s="8">
        <v>12000</v>
      </c>
      <c r="G2500" s="8">
        <f t="shared" si="156"/>
        <v>6479</v>
      </c>
      <c r="H2500" s="6">
        <v>15000</v>
      </c>
      <c r="I2500" t="s">
        <v>58</v>
      </c>
      <c r="J2500" t="s">
        <v>1647</v>
      </c>
      <c r="K2500" t="s">
        <v>1647</v>
      </c>
      <c r="L2500" t="s">
        <v>73</v>
      </c>
      <c r="M2500" t="s">
        <v>126</v>
      </c>
      <c r="N2500" s="6">
        <v>1</v>
      </c>
      <c r="O2500" t="str">
        <f t="shared" si="153"/>
        <v>Normal</v>
      </c>
      <c r="P2500" t="str">
        <f t="shared" si="154"/>
        <v>Duplicate ID</v>
      </c>
      <c r="Q2500" t="str">
        <f t="shared" si="155"/>
        <v>5,000-9,999</v>
      </c>
      <c r="R2500" s="6">
        <f>IF(COUNTIF($A$2:A2500,A2500)=1,1,0)</f>
        <v>0</v>
      </c>
    </row>
    <row r="2501" spans="1:18" x14ac:dyDescent="0.25">
      <c r="A2501" s="6">
        <v>1225</v>
      </c>
      <c r="B2501" s="7">
        <v>45074</v>
      </c>
      <c r="C2501" t="s">
        <v>40</v>
      </c>
      <c r="D2501" s="6"/>
      <c r="E2501" s="8">
        <v>21095</v>
      </c>
      <c r="F2501" s="8">
        <v>26000</v>
      </c>
      <c r="G2501" s="8">
        <f t="shared" si="156"/>
        <v>4905</v>
      </c>
      <c r="H2501" s="6">
        <v>60000</v>
      </c>
      <c r="I2501" t="s">
        <v>1647</v>
      </c>
      <c r="J2501" t="s">
        <v>35</v>
      </c>
      <c r="K2501" t="s">
        <v>96</v>
      </c>
      <c r="L2501" t="s">
        <v>54</v>
      </c>
      <c r="M2501" t="s">
        <v>1647</v>
      </c>
      <c r="N2501" s="6">
        <v>1</v>
      </c>
      <c r="O2501" t="str">
        <f t="shared" si="153"/>
        <v>Normal</v>
      </c>
      <c r="P2501" t="str">
        <f t="shared" si="154"/>
        <v>Duplicate ID</v>
      </c>
      <c r="Q2501" t="str">
        <f t="shared" si="155"/>
        <v>20,000-24,999</v>
      </c>
      <c r="R2501" s="6">
        <f>IF(COUNTIF($A$2:A2501,A2501)=1,1,0)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zoomScaleNormal="100" workbookViewId="0">
      <selection activeCell="G14" sqref="G14"/>
    </sheetView>
  </sheetViews>
  <sheetFormatPr defaultColWidth="8.7109375" defaultRowHeight="15" customHeight="1" x14ac:dyDescent="0.25"/>
  <cols>
    <col min="1" max="1" width="18" customWidth="1"/>
    <col min="2" max="2" width="12" customWidth="1"/>
    <col min="3" max="3" width="3" customWidth="1"/>
    <col min="4" max="4" width="18" customWidth="1"/>
    <col min="5" max="5" width="16" customWidth="1"/>
    <col min="6" max="6" width="3" customWidth="1"/>
    <col min="7" max="7" width="20" customWidth="1"/>
    <col min="8" max="8" width="16" customWidth="1"/>
    <col min="9" max="9" width="3" customWidth="1"/>
    <col min="10" max="10" width="18" customWidth="1"/>
    <col min="11" max="11" width="12" customWidth="1"/>
  </cols>
  <sheetData>
    <row r="1" spans="1:11" ht="20.25" x14ac:dyDescent="0.3">
      <c r="A1" s="15" t="s">
        <v>1649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15.75" x14ac:dyDescent="0.25">
      <c r="A3" s="14" t="s">
        <v>1650</v>
      </c>
      <c r="B3" s="14"/>
      <c r="D3" s="14" t="s">
        <v>1651</v>
      </c>
      <c r="E3" s="14"/>
      <c r="G3" s="14" t="s">
        <v>1652</v>
      </c>
      <c r="H3" s="14"/>
      <c r="J3" s="14" t="s">
        <v>1653</v>
      </c>
      <c r="K3" s="14"/>
    </row>
    <row r="4" spans="1:11" x14ac:dyDescent="0.25">
      <c r="A4" s="9" t="s">
        <v>1645</v>
      </c>
      <c r="B4" s="9" t="s">
        <v>1654</v>
      </c>
      <c r="D4" s="9" t="s">
        <v>25</v>
      </c>
      <c r="E4" s="9" t="s">
        <v>1655</v>
      </c>
      <c r="G4" s="9" t="s">
        <v>20</v>
      </c>
      <c r="H4" s="9" t="s">
        <v>1655</v>
      </c>
      <c r="J4" s="9" t="s">
        <v>28</v>
      </c>
      <c r="K4" s="9" t="s">
        <v>1654</v>
      </c>
    </row>
    <row r="5" spans="1:11" x14ac:dyDescent="0.25">
      <c r="A5" s="10" t="s">
        <v>1656</v>
      </c>
      <c r="B5" s="11">
        <f>COUNTIF(CleanData[Price_Range],A5)</f>
        <v>430</v>
      </c>
      <c r="D5" s="10" t="s">
        <v>58</v>
      </c>
      <c r="E5" s="12">
        <f>IFERROR(AVERAGEIF(CleanData[Fuel_Type],D5,CleanData[Selling_Price]),0)</f>
        <v>12874.443365695794</v>
      </c>
      <c r="G5" s="10" t="s">
        <v>51</v>
      </c>
      <c r="H5" s="12">
        <f>IFERROR(AVERAGEIF(CleanData[Car_Model],G5,CleanData[Selling_Price]),0)</f>
        <v>14287.551155115512</v>
      </c>
      <c r="J5" s="10" t="s">
        <v>54</v>
      </c>
      <c r="K5" s="11">
        <f>COUNTIF(CleanData[Region],J5)</f>
        <v>551</v>
      </c>
    </row>
    <row r="6" spans="1:11" x14ac:dyDescent="0.25">
      <c r="A6" s="10" t="s">
        <v>1657</v>
      </c>
      <c r="B6" s="11">
        <f>COUNTIF(CleanData[Price_Range],A6)</f>
        <v>579</v>
      </c>
      <c r="D6" s="10" t="s">
        <v>34</v>
      </c>
      <c r="E6" s="12">
        <f>IFERROR(AVERAGEIF(CleanData[Fuel_Type],D6,CleanData[Selling_Price]),0)</f>
        <v>13768.7875</v>
      </c>
      <c r="G6" s="10" t="s">
        <v>119</v>
      </c>
      <c r="H6" s="12">
        <f>IFERROR(AVERAGEIF(CleanData[Car_Model],G6,CleanData[Selling_Price]),0)</f>
        <v>13054.641693811074</v>
      </c>
      <c r="J6" s="10" t="s">
        <v>73</v>
      </c>
      <c r="K6" s="11">
        <f>COUNTIF(CleanData[Region],J6)</f>
        <v>559</v>
      </c>
    </row>
    <row r="7" spans="1:11" x14ac:dyDescent="0.25">
      <c r="A7" s="10" t="s">
        <v>1658</v>
      </c>
      <c r="B7" s="11">
        <f>COUNTIF(CleanData[Price_Range],A7)</f>
        <v>461</v>
      </c>
      <c r="D7" s="10" t="s">
        <v>69</v>
      </c>
      <c r="E7" s="12">
        <f>IFERROR(AVERAGEIF(CleanData[Fuel_Type],D7,CleanData[Selling_Price]),0)</f>
        <v>13711.239031770045</v>
      </c>
      <c r="G7" s="10" t="s">
        <v>57</v>
      </c>
      <c r="H7" s="12">
        <f>IFERROR(AVERAGEIF(CleanData[Car_Model],G7,CleanData[Selling_Price]),0)</f>
        <v>13074.450160771705</v>
      </c>
      <c r="J7" s="10" t="s">
        <v>100</v>
      </c>
      <c r="K7" s="11">
        <f>COUNTIF(CleanData[Region],J7)</f>
        <v>549</v>
      </c>
    </row>
    <row r="8" spans="1:11" x14ac:dyDescent="0.25">
      <c r="A8" s="10" t="s">
        <v>1659</v>
      </c>
      <c r="B8" s="11">
        <f>COUNTIF(CleanData[Price_Range],A8)</f>
        <v>427</v>
      </c>
      <c r="D8" s="10" t="s">
        <v>41</v>
      </c>
      <c r="E8" s="12">
        <f>IFERROR(AVERAGEIF(CleanData[Fuel_Type],D8,CleanData[Selling_Price]),0)</f>
        <v>13302.504273504273</v>
      </c>
      <c r="G8" s="10" t="s">
        <v>32</v>
      </c>
      <c r="H8" s="12">
        <f>IFERROR(AVERAGEIF(CleanData[Car_Model],G8,CleanData[Selling_Price]),0)</f>
        <v>13205.453125</v>
      </c>
      <c r="J8" s="10" t="s">
        <v>48</v>
      </c>
      <c r="K8" s="11">
        <f>COUNTIF(CleanData[Region],J8)</f>
        <v>570</v>
      </c>
    </row>
    <row r="9" spans="1:11" x14ac:dyDescent="0.25">
      <c r="A9" s="10" t="s">
        <v>1660</v>
      </c>
      <c r="B9" s="11">
        <f>COUNTIF(CleanData[Price_Range],A9)</f>
        <v>345</v>
      </c>
      <c r="D9" s="10" t="s">
        <v>1647</v>
      </c>
      <c r="E9" s="12">
        <f>IFERROR(AVERAGEIF(CleanData[Fuel_Type],D9,CleanData[Selling_Price]),0)</f>
        <v>13259.553797468354</v>
      </c>
      <c r="G9" s="10" t="s">
        <v>1648</v>
      </c>
      <c r="H9" s="12">
        <f>IFERROR(AVERAGEIF(CleanData[Car_Model],G9,CleanData[Selling_Price]),0)</f>
        <v>12959.493902439024</v>
      </c>
      <c r="J9" s="10" t="s">
        <v>1647</v>
      </c>
      <c r="K9" s="11">
        <f>COUNTIF(CleanData[Region],J9)</f>
        <v>271</v>
      </c>
    </row>
    <row r="10" spans="1:11" x14ac:dyDescent="0.25">
      <c r="A10" s="10" t="s">
        <v>1661</v>
      </c>
      <c r="B10" s="11">
        <f>COUNTIF(CleanData[Price_Range],A10)</f>
        <v>258</v>
      </c>
      <c r="D10" s="10"/>
      <c r="E10" s="10"/>
      <c r="G10" s="10" t="s">
        <v>40</v>
      </c>
      <c r="H10" s="12">
        <f>IFERROR(AVERAGEIF(CleanData[Car_Model],G10,CleanData[Selling_Price]),0)</f>
        <v>13550.836734693878</v>
      </c>
      <c r="J10" s="10"/>
      <c r="K10" s="10"/>
    </row>
    <row r="11" spans="1:11" x14ac:dyDescent="0.25">
      <c r="A11" s="10"/>
      <c r="B11" s="10"/>
      <c r="D11" s="10"/>
      <c r="E11" s="10"/>
      <c r="G11" s="10" t="s">
        <v>79</v>
      </c>
      <c r="H11" s="12">
        <f>IFERROR(AVERAGEIF(CleanData[Car_Model],G11,CleanData[Selling_Price]),0)</f>
        <v>13548.279141104294</v>
      </c>
      <c r="J11" s="10"/>
      <c r="K11" s="10"/>
    </row>
  </sheetData>
  <mergeCells count="5">
    <mergeCell ref="A1:K1"/>
    <mergeCell ref="A3:B3"/>
    <mergeCell ref="D3:E3"/>
    <mergeCell ref="G3:H3"/>
    <mergeCell ref="J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showGridLines="0" zoomScaleNormal="100" workbookViewId="0">
      <selection activeCell="M18" sqref="M18"/>
    </sheetView>
  </sheetViews>
  <sheetFormatPr defaultColWidth="8.7109375" defaultRowHeight="15" customHeight="1" x14ac:dyDescent="0.25"/>
  <sheetData>
    <row r="1" spans="1:23" ht="20.25" x14ac:dyDescent="0.3">
      <c r="A1" s="15" t="s">
        <v>1662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0_Overview</vt:lpstr>
      <vt:lpstr>1_Raw_Data</vt:lpstr>
      <vt:lpstr>2_Clean_Data</vt:lpstr>
      <vt:lpstr>3_Pivot</vt:lpstr>
      <vt:lpstr>4_Charts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Cateasca</dc:creator>
  <cp:lastModifiedBy>Cateasca</cp:lastModifiedBy>
  <dcterms:created xsi:type="dcterms:W3CDTF">2026-03-18T13:30:37Z</dcterms:created>
  <dcterms:modified xsi:type="dcterms:W3CDTF">2026-03-18T13:30:37Z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2026-03-18T13:19:18Z</dcterms:created>
  <dc:creator>openpyxl</dc:creator>
  <dc:description/>
  <dc:language>en-US</dc:language>
  <cp:lastModifiedBy/>
  <dcterms:modified xsi:type="dcterms:W3CDTF">2026-03-18T13:20:41Z</dcterms:modified>
  <cp:revision>0</cp:revision>
  <dc:subject/>
  <dc:title/>
</cp:coreProperties>
</file>